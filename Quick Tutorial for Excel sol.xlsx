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6.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7.xml" ContentType="application/vnd.openxmlformats-officedocument.drawing+xml"/>
  <Override PartName="/xl/tables/table6.xml" ContentType="application/vnd.openxmlformats-officedocument.spreadsheetml.table+xml"/>
  <Override PartName="/xl/pivotTables/pivotTable1.xml" ContentType="application/vnd.openxmlformats-officedocument.spreadsheetml.pivotTable+xml"/>
  <Override PartName="/xl/drawings/drawing8.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9.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drawings/drawing10.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drawings/drawing11.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https://d.docs.live.net/bae856a02f8316af/Documents/"/>
    </mc:Choice>
  </mc:AlternateContent>
  <xr:revisionPtr revIDLastSave="49" documentId="8_{AFF424C2-4734-4662-8B9A-7BA9494C3694}" xr6:coauthVersionLast="47" xr6:coauthVersionMax="47" xr10:uidLastSave="{52905345-FFD8-43FC-8ED0-060AA0B4E23A}"/>
  <bookViews>
    <workbookView xWindow="-120" yWindow="-120" windowWidth="20730" windowHeight="11040" tabRatio="703" xr2:uid="{00000000-000D-0000-FFFF-FFFF00000000}"/>
  </bookViews>
  <sheets>
    <sheet name="1. Add" sheetId="1" r:id="rId1"/>
    <sheet name="2. Fill" sheetId="2" r:id="rId2"/>
    <sheet name="3. Split" sheetId="3" r:id="rId3"/>
    <sheet name="4. Transpose" sheetId="4" r:id="rId4"/>
    <sheet name="5. Sort &amp; filter" sheetId="5" r:id="rId5"/>
    <sheet name="6. Tables" sheetId="6" r:id="rId6"/>
    <sheet name="7. Drop-downs" sheetId="7" r:id="rId7"/>
    <sheet name="Sheet1" sheetId="12" r:id="rId8"/>
    <sheet name="8. Analyze" sheetId="8" r:id="rId9"/>
    <sheet name="9. Charts" sheetId="9" r:id="rId10"/>
    <sheet name="10. PivotTables" sheetId="10" r:id="rId11"/>
    <sheet name="Excel Shortcut Keys" sheetId="11" r:id="rId12"/>
  </sheets>
  <definedNames>
    <definedName name="_xlnm._FilterDatabase" localSheetId="4" hidden="1">'5. Sort &amp; filter'!$C$5:$G$13</definedName>
    <definedName name="ExtraCredit">'1. Add'!$F$10:$G$15</definedName>
    <definedName name="Fruit">'1. Add'!$C$3:$D$7</definedName>
    <definedName name="Items">'1. Add'!$C$10:$D$15</definedName>
    <definedName name="Meat">'1. Add'!$F$3:$G$7</definedName>
    <definedName name="MoreFruit">'1. Add'!$C$37:$D$42</definedName>
    <definedName name="MoreItem">'1. Add'!$C$47:$D$51</definedName>
    <definedName name="MoreItems">'1. Add'!$F$47:$G$51</definedName>
    <definedName name="SUMExtraCredit">'1. Add'!$F$10:$G$15</definedName>
    <definedName name="SUMIF">'1. Add'!$C$72:$D$77</definedName>
    <definedName name="SUMIFExtraCredit">'1. Add'!$F$72:$G$77</definedName>
    <definedName name="Total">'1. Add'!$E$53:$E$54</definedName>
  </definedNames>
  <calcPr calcId="191029"/>
  <pivotCaches>
    <pivotCache cacheId="1" r:id="rId13"/>
    <pivotCache cacheId="2" r:id="rId1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5" roundtripDataSignature="AMtx7mhTeOP5FjxFwNlr7Sg+mmd13uueVQ=="/>
    </ext>
  </extLst>
</workbook>
</file>

<file path=xl/calcChain.xml><?xml version="1.0" encoding="utf-8"?>
<calcChain xmlns="http://schemas.openxmlformats.org/spreadsheetml/2006/main">
  <c r="E15" i="2" l="1"/>
  <c r="G15" i="2"/>
  <c r="E12" i="2"/>
  <c r="G12" i="2" s="1"/>
  <c r="E13" i="2"/>
  <c r="G13" i="2"/>
  <c r="E14" i="2"/>
  <c r="G14" i="2"/>
  <c r="C15" i="2"/>
  <c r="G8" i="1" l="1"/>
  <c r="D8" i="1"/>
  <c r="E5" i="2"/>
  <c r="G5" i="2" s="1"/>
  <c r="E6" i="2"/>
  <c r="G6" i="2" s="1"/>
  <c r="E7" i="2"/>
  <c r="G7" i="2" s="1"/>
  <c r="G16" i="1"/>
  <c r="D16" i="1"/>
  <c r="H34" i="6"/>
  <c r="H35" i="6"/>
  <c r="H36" i="6"/>
  <c r="H37" i="6"/>
  <c r="H38" i="6"/>
  <c r="H39" i="6"/>
  <c r="H40" i="6"/>
  <c r="H41" i="6"/>
  <c r="C40" i="4" a="1"/>
  <c r="D43" i="4" s="1"/>
  <c r="C40" i="10"/>
  <c r="C39" i="10"/>
  <c r="C38" i="10"/>
  <c r="C37" i="10"/>
  <c r="C36" i="10"/>
  <c r="C35" i="10"/>
  <c r="C9" i="10"/>
  <c r="C8" i="10"/>
  <c r="C7" i="10"/>
  <c r="C6" i="10"/>
  <c r="C5" i="10"/>
  <c r="C4" i="10"/>
  <c r="D73" i="9"/>
  <c r="D72" i="9"/>
  <c r="D71" i="9"/>
  <c r="D70" i="9"/>
  <c r="D69" i="9"/>
  <c r="D68" i="9"/>
  <c r="C11" i="9"/>
  <c r="C10" i="9"/>
  <c r="C9" i="9"/>
  <c r="C8" i="9"/>
  <c r="C7" i="9"/>
  <c r="C6" i="9"/>
  <c r="C55" i="5"/>
  <c r="C54" i="5"/>
  <c r="C53" i="5"/>
  <c r="C52" i="5"/>
  <c r="C51" i="5"/>
  <c r="C50" i="5"/>
  <c r="C32" i="5"/>
  <c r="C36" i="5"/>
  <c r="C34" i="5"/>
  <c r="C35" i="5"/>
  <c r="C37" i="5"/>
  <c r="C33" i="5"/>
  <c r="F56" i="3"/>
  <c r="H56" i="3" s="1"/>
  <c r="E56" i="3"/>
  <c r="E11" i="2"/>
  <c r="G11" i="2" s="1"/>
  <c r="E4" i="2"/>
  <c r="G4" i="2" s="1"/>
  <c r="G78" i="1"/>
  <c r="D78" i="1"/>
  <c r="E54" i="1"/>
  <c r="D42" i="1"/>
  <c r="C43" i="4" l="1"/>
  <c r="D44" i="4"/>
  <c r="D42" i="4"/>
  <c r="C42" i="4"/>
  <c r="D45" i="4"/>
  <c r="D41" i="4"/>
  <c r="C45" i="4"/>
  <c r="C41" i="4"/>
  <c r="D40" i="4"/>
  <c r="C44" i="4"/>
  <c r="C40" i="4"/>
  <c r="G56" i="3"/>
</calcChain>
</file>

<file path=xl/sharedStrings.xml><?xml version="1.0" encoding="utf-8"?>
<sst xmlns="http://schemas.openxmlformats.org/spreadsheetml/2006/main" count="850" uniqueCount="499">
  <si>
    <t>Add numbers like a champ</t>
  </si>
  <si>
    <t>Here are some ways to add up numbers in Excel:</t>
  </si>
  <si>
    <t xml:space="preserve">Cells C3 through D7 contain data with two columns. One for Fruit, and one for Amount. </t>
  </si>
  <si>
    <t>Fruit</t>
  </si>
  <si>
    <t>Amount</t>
  </si>
  <si>
    <t>Meat</t>
  </si>
  <si>
    <t>Go to D8 by pressing CTRL+G, type D8, and then press ENTER.</t>
  </si>
  <si>
    <t>Apples</t>
  </si>
  <si>
    <t>Beef</t>
  </si>
  <si>
    <t>Type =SUM(D4:D7), then press ENTER.</t>
  </si>
  <si>
    <t>Oranges</t>
  </si>
  <si>
    <t>Chicken</t>
  </si>
  <si>
    <t xml:space="preserve">The result is 170. </t>
  </si>
  <si>
    <t>Bananas</t>
  </si>
  <si>
    <t>Pork</t>
  </si>
  <si>
    <t>Here's another way to add, using a shortcut key. Cells F3 through G7 contain data with two columns: Meat and Amount.</t>
  </si>
  <si>
    <t>Lemons</t>
  </si>
  <si>
    <t>Fish</t>
  </si>
  <si>
    <t>Go to cell G8. Press ALT+=, then press ENTER.</t>
  </si>
  <si>
    <t>The result in cell G8 is 140.</t>
  </si>
  <si>
    <t>Here's another way to add. Cells C10 through D15 have two columns of data: Item and Amount.</t>
  </si>
  <si>
    <t>Item</t>
  </si>
  <si>
    <t>Now add only the numbers over 50. Go to cell D16. Type =SUMIF(D11:D15,"&gt;50"), then press Enter. The result is 100.</t>
  </si>
  <si>
    <t>Bread</t>
  </si>
  <si>
    <t>EXTRA CREDIT: Cells F10 through G15 contain data with two columns: Item and Amount. Go to cell G16. Try adding another SUMIF formula here. Add amounts in column G, cells G11 to G15 but add amounts that are less than 100. The result should be 160.</t>
  </si>
  <si>
    <t>Donuts</t>
  </si>
  <si>
    <t>Dive down for more detail: Go to A27. Or, to proceed to the next step, press CTRL+PAGE DOWN.</t>
  </si>
  <si>
    <t>Cookies</t>
  </si>
  <si>
    <t>Cakes</t>
  </si>
  <si>
    <t>Pies</t>
  </si>
  <si>
    <t xml:space="preserve">More about the SUM function </t>
  </si>
  <si>
    <t>In some of the above tips, we taught you how to use the SUM function. Here are more details about it.</t>
  </si>
  <si>
    <t xml:space="preserve">Cells C37 through D41 contain data with two columns: Fruit and Amount. </t>
  </si>
  <si>
    <t>The formula in cell D42: =SUM(D38:D41).</t>
  </si>
  <si>
    <t>If the SUM function in cell D42 could talk, it would say this: Sum up the values in cells D38, D39, D40, and D41.</t>
  </si>
  <si>
    <t>Here's another way it can be used:</t>
  </si>
  <si>
    <t xml:space="preserve">Cells C47 through D48 contain data with two columns: Item and Amount. </t>
  </si>
  <si>
    <t xml:space="preserve">Cells F47 through G51 contain data with two columns: Item and Amount. </t>
  </si>
  <si>
    <t>Cells E53 through E54 contain data with one column: Total.</t>
  </si>
  <si>
    <t>The formula in cell E54: =SUM(D48, G48:G51,100).</t>
  </si>
  <si>
    <t>If the formula in cell E54 could talk, it would say: Sum the following: the value in cell D48, the values in cells G48, G49, G50, and G51, and 100.</t>
  </si>
  <si>
    <t>The formula in cell E54 uses the following:</t>
  </si>
  <si>
    <t xml:space="preserve">• A single cell reference, which is the "address" or "name" of a cell. D48 is the single cell reference in the formula above. </t>
  </si>
  <si>
    <t xml:space="preserve">• A range of cells, which is a series of cells starting at one cell and ending at another. G48:G51 is the range of cells in the formula. </t>
  </si>
  <si>
    <t xml:space="preserve">• A constant, which is the number 100. </t>
  </si>
  <si>
    <t xml:space="preserve">IMPORTANT DETAIL: Go to cell E54. You'll notice the 100 toward the end of the formula. Although it's possible to put numbers in a formula like this, we don't recommend it unless it's absolutely necessary. This is known as a constant, and it's easy to forget that it's there. We recommend referring to another cell instead, like cell D16. That way it's easily seen and not hidden inside a formula. </t>
  </si>
  <si>
    <t>Go to cell A66 for the next instruction.</t>
  </si>
  <si>
    <t>Table</t>
  </si>
  <si>
    <t>Cars</t>
  </si>
  <si>
    <t>Trucks</t>
  </si>
  <si>
    <t>Bikes</t>
  </si>
  <si>
    <t>Skates</t>
  </si>
  <si>
    <t>Total:</t>
  </si>
  <si>
    <t xml:space="preserve">More about the SUMIF function </t>
  </si>
  <si>
    <t xml:space="preserve">We also showed you the SUMIF function at the top of this sheet in cells A10 and A11. The SUMIF function sums up totals based on a criterion. </t>
  </si>
  <si>
    <t xml:space="preserve">Cells C72 through D77 contain data with two columns: Item and Amount. </t>
  </si>
  <si>
    <t>The formula in cell D78: =SUMIF(D73:D77,"&gt;50").</t>
  </si>
  <si>
    <t>If the SUMIF function could talk, it would say this: Sum up some values based on this criterion, look through these cells D73 through D77, and if the value is greater than 50 sum it up.</t>
  </si>
  <si>
    <t>NOTE: If you find you are making a lot of SUMIF formulas, you might find that a PivotTable is a better solution. See the PivotTable worksheet for more information.</t>
  </si>
  <si>
    <t xml:space="preserve">Cells F72 through G77 contain data with two columns: Item and Amount. </t>
  </si>
  <si>
    <t xml:space="preserve">GOOD TO KNOW: Go to cell G78. The formula in cell G78: =SUMIF(G73:G77, "&gt;=50") is different from the formula in cell D78. Specifically, the sum criteria is "&gt;=50" which means greater than or equal to 50. There are other operators you can use like "&lt;=50" which is less than or equal to 50. And there's "&lt;&gt;50" which is not equals 50. 
</t>
  </si>
  <si>
    <t>Go to cell A86 to go to the next instruction.</t>
  </si>
  <si>
    <t>More information on the web</t>
  </si>
  <si>
    <t>All about the SUM function</t>
  </si>
  <si>
    <t>All about the SUMIF function</t>
  </si>
  <si>
    <t>Use Excel as your calculator</t>
  </si>
  <si>
    <t>Free Excel training online</t>
  </si>
  <si>
    <t>Go back to top by pressing CTRL+HOME. To proceed to the next step, press CTRL+PAGE DOWN.</t>
  </si>
  <si>
    <t>Save time by filling cells automatically</t>
  </si>
  <si>
    <t>Here’s how to use the fill feature in Excel:</t>
  </si>
  <si>
    <t>Cells C3 through G7 contain data with five columns: "This:" column, which contains the number 50 in each cell; "Plus this:" column, which contains the numbers 50, 60, 70, and 80; "Equals:" column, with cell E4 containing a sum of cells C4 and D4; "Plus this:" column, which contains the number 75 in each cell; and "Equals:" column with cell G4 containing the sum of cells E4 and F4.</t>
  </si>
  <si>
    <t>This:</t>
  </si>
  <si>
    <t>Plus this:</t>
  </si>
  <si>
    <t>Equals:</t>
  </si>
  <si>
    <t xml:space="preserve">Go to cell E4. Press CTRL+G, type E4, then press Enter. </t>
  </si>
  <si>
    <t>Select cells E4, E5, E6, and E7 by holding the SHIFT key while pressing the ARROW DOWN key, then press CTRL+D. Excel will automatically fill the cells with the totals: 110, 120, and 130. People call this “filling down.”</t>
  </si>
  <si>
    <t>EXTRA CREDIT: Go to cell G4 and repeat the fill down steps above.</t>
  </si>
  <si>
    <t>Cells C10 through G14 contain data with five columns. These columns contain the heading from C3 to G3 and the values from cells C4 to G7 after executing steps in cells A5 and A6.</t>
  </si>
  <si>
    <t>Go to cell C15. Select cells C15, D15, E15, F15, and G15. This time press CTRL+R to fill the cells. This is known as “filling right.”</t>
  </si>
  <si>
    <t>Dive down for more detail: Go to cell A27. Or, to proceed to the next step, press CTRL+PAGE DOWN.</t>
  </si>
  <si>
    <t>Use the fill handle to copy cells</t>
  </si>
  <si>
    <t>Sometimes you don't need the numbers to change as you fill. Instead, you just want to copy values to other adjacent cells. Here's how to do that:</t>
  </si>
  <si>
    <t xml:space="preserve">Cells C33 to cell F37 contain four columns: Department, Category, Product, and Count. </t>
  </si>
  <si>
    <t>Go to cell C34. Select C34, C35, C36, C37 and press CTRL+D. The value in C34 is filled down into the selected cells.</t>
  </si>
  <si>
    <t>Go to cell A64 for the next instruction.</t>
  </si>
  <si>
    <t>Dept.</t>
  </si>
  <si>
    <t>Category</t>
  </si>
  <si>
    <t>Product</t>
  </si>
  <si>
    <t>Count</t>
  </si>
  <si>
    <t>Produce</t>
  </si>
  <si>
    <t>Apple</t>
  </si>
  <si>
    <t>Orange</t>
  </si>
  <si>
    <t>Banana</t>
  </si>
  <si>
    <t>Pears</t>
  </si>
  <si>
    <t>Jan</t>
  </si>
  <si>
    <t>Week 1</t>
  </si>
  <si>
    <t>Qrtr 1</t>
  </si>
  <si>
    <t>Intervals</t>
  </si>
  <si>
    <t>Fill data automatically in worksheet cells</t>
  </si>
  <si>
    <t>Fill a formula down into adjacent cells</t>
  </si>
  <si>
    <t>Data stuffed into one column? Split it.</t>
  </si>
  <si>
    <t>Go to cell D5. Press CTRL+G, type D5, then press Enter. Type the first name that is in the Email column in cell C5: Nancy.</t>
  </si>
  <si>
    <t>Go to cell D6. Press CTRL+E, a shortcut for Flash Fill.</t>
  </si>
  <si>
    <t xml:space="preserve">Flash Fill detects when you type a consistent pattern, and fills the cells once the pattern is detected. </t>
  </si>
  <si>
    <t>Email</t>
  </si>
  <si>
    <t>First name</t>
  </si>
  <si>
    <t>Last name</t>
  </si>
  <si>
    <t>Try another way to Flash Fill: Go to cell E5.</t>
  </si>
  <si>
    <t>Nancy.Smith@contoso.com</t>
  </si>
  <si>
    <t>Smith</t>
  </si>
  <si>
    <t>Press ALT+H to enter the Home tab above the ribbon, then press FI to select Fill options. Arrow down to select Flash Fill from the list or press F. Now the last names are in their own column, from cells E5 through E9.</t>
  </si>
  <si>
    <t>Andy.North@fabrikam.com</t>
  </si>
  <si>
    <t>Jan.Kotas@relecloud.com</t>
  </si>
  <si>
    <t>Mariya.Jones@contoso.com</t>
  </si>
  <si>
    <t xml:space="preserve">Yvonne.McKay@fabrikam.com </t>
  </si>
  <si>
    <t>Split a column based on delimiters.</t>
  </si>
  <si>
    <t>Flash Fill is pretty handy. But if you want to split data into more than one column all at once, then it's not the best tool for the job. Try Text to Columns in this situation:</t>
  </si>
  <si>
    <t xml:space="preserve">Go to cell C32. Select all cells C32 through C39: Nancy all the way down to Yvonne. </t>
  </si>
  <si>
    <t>Press ALT+A to enter the Data tab above the ribbon, then press E to select Text to Columns within the Data Tools section. Convert Text to Columns Wizard - Step 1 of 3 appears. Make sure that Delimited radio button is selected, then press Enter. Use the Tab key to navigate the dialogue.</t>
  </si>
  <si>
    <t>Convert Text to Columns Wizard - Step 2 of 3: Tab to find the Comma option under Delimiters. Make sure that Comma is the only checkbox selected, then tab to select Next and press Enter.</t>
  </si>
  <si>
    <t>Data</t>
  </si>
  <si>
    <t>Company name</t>
  </si>
  <si>
    <t xml:space="preserve">Convert Text to Columns Wizard - Step 3 of 3: press Tab and select only the General option. </t>
  </si>
  <si>
    <t>Nancy,Smith,Contoso Ltd.</t>
  </si>
  <si>
    <t>Finally, press tab until you enter the Destination text box. Type $D$32, then press Enter.</t>
  </si>
  <si>
    <t>Andy,North,Fabrikam Inc.</t>
  </si>
  <si>
    <t>WORTH EXPLORING: There's another way of working with data. You can query an external source, and you can split the data that comes from the source. You do that once, and the data is refreshable and easy to work with from that moment on. Curious? Select the Data tab (ALT+A), then explore the options in the Get &amp; Transform area (press one of the following: PN, FT, FW, PT, PR, or X). Or, go to cell A80 for More information on the web.</t>
  </si>
  <si>
    <t>Jan,Kotas,Relecloud</t>
  </si>
  <si>
    <t>Go to cell A49 for the next instruction.</t>
  </si>
  <si>
    <t>Mariya,Jones,Contoso Ltd.</t>
  </si>
  <si>
    <t>Steven,Thorpe,Relecloud</t>
  </si>
  <si>
    <t>Michael,Neipper,Fabrikam Inc.</t>
  </si>
  <si>
    <t>Robert,Zare,Relecloud</t>
  </si>
  <si>
    <t>Yvonne,McKay,Contoso Ltd.</t>
  </si>
  <si>
    <t>Split a column with formulas</t>
  </si>
  <si>
    <t>You might want to write a formula to split data. This way, if the original data gets updated, then the split data will get updated as well. This is more advanced. But it is possible when using a handful of functions: LEFT, RIGHT, FIND, and LEN. For more information on each these functions, see the links at the bottom of this sheet under More information on the web starting in cell A80. But if you’re curious, here’s how we split cell C56.</t>
  </si>
  <si>
    <t>Go to cell E56: Yvonne.  We used the LEFT function to extract characters from the left side of cell C56. And to specify the number of characters to extract, we used the FIND function. Here's how the formula "=LEFT(C56,FIND(" ",C56)-1)" works:</t>
  </si>
  <si>
    <t xml:space="preserve">The left function extracts a specified number of characters from the left side of cell C56.
</t>
  </si>
  <si>
    <t xml:space="preserve">The Find function is used to determine the number of characters to extract. Here's how the Find function works: Find the character position number of the first space in cell C56. Then subtract 1 to exclude the space itself.
</t>
  </si>
  <si>
    <t>The result is Yvonne.</t>
  </si>
  <si>
    <t xml:space="preserve">Then we created a [Helper column]. This was just to “help” extract the other text in the cell. It’s meant to be temporary and something one could always hide later. </t>
  </si>
  <si>
    <t>Name inside one cell</t>
  </si>
  <si>
    <t>[Helper column]</t>
  </si>
  <si>
    <t>Middle name</t>
  </si>
  <si>
    <t xml:space="preserve">Select cell F56: Francis McKay in the [Helper column]. You’ll see that we used the RIGHT, LEN, and FIND functions to extract characters from the first space in cell C56, up until the end of the cell. </t>
  </si>
  <si>
    <t>Yvonne Francis McKay</t>
  </si>
  <si>
    <t>Here's how this formula "=RIGHT(C56,LEN(C56)-FIND(" ",C56))" works:</t>
  </si>
  <si>
    <t>The Right function extracts a specified number of characters from the right side of cell C56.</t>
  </si>
  <si>
    <t xml:space="preserve">In this case, the LEN function is used to determine the number of characters to extract. Here's how the LEN function works: Count the number of characters in cell C56 and subtract the number of characters from the Find function, which finds the character position number of the first space in cell C56 and returns the number of characters up until the space. </t>
  </si>
  <si>
    <t>The result is Francis McKay.</t>
  </si>
  <si>
    <t xml:space="preserve">Select cell G56: Francis. Here we used almost the same formula as in cell A51, but instead of extracting characters from cell C56, it extracts them from cell F56. 
</t>
  </si>
  <si>
    <t xml:space="preserve">Select cell H56: McKay. This is the same formula as in step A57, but it extracts characters from F56 instead of cell C56. </t>
  </si>
  <si>
    <t>Go to cell A79 to go to the next instruction.</t>
  </si>
  <si>
    <t>Split text into different columns</t>
  </si>
  <si>
    <t xml:space="preserve">All about Get &amp; Transform </t>
  </si>
  <si>
    <t>All about the LEFT function</t>
  </si>
  <si>
    <t>All about the RIGHT function</t>
  </si>
  <si>
    <t>All about the FIND function</t>
  </si>
  <si>
    <t>All about the LEN function</t>
  </si>
  <si>
    <t>Switch data around by transposing it</t>
  </si>
  <si>
    <t>When you need to rotate columns and rows, you transpose them in Excel.</t>
  </si>
  <si>
    <t>Cells C5 to H6 contain two rows of Items and Amounts. Select cells C5 to H6.</t>
  </si>
  <si>
    <t>Now you'll copy the cells. Press CTRL+C.</t>
  </si>
  <si>
    <t>Select cell C9.</t>
  </si>
  <si>
    <t xml:space="preserve">Press ALT+H to enter the Home tab above the ribbon, then press V to select Paste options. Arrow down or press S to select Paste Special. </t>
  </si>
  <si>
    <t>Press Tab until you find Transpose. Press the Space Bar to select Transpose, then press Enter.</t>
  </si>
  <si>
    <t xml:space="preserve">EXPERT TIP: The shortcut key for Paste Special is CTRL+ALT+V. 
</t>
  </si>
  <si>
    <t xml:space="preserve"> to proceed to the next step</t>
  </si>
  <si>
    <t>Transpose with a formula</t>
  </si>
  <si>
    <t>Sometimes you don't want to copy and paste to transpose. In this case, you can use a formula to transpose rows and columns. Here's how to do that:</t>
  </si>
  <si>
    <t xml:space="preserve">To transpose this data, you need to select some blank cells first. Since the data in cells C33 to H34 on the right has six columns and two rows, you need to select the opposite: two columns and six rows. Do this by selecting cells C40 to D45. </t>
  </si>
  <si>
    <t xml:space="preserve">This is kind of tricky, so pay close attention. With those cells still selected, type the following: =TRANSPOSE(C33:H34) but don’t press Enter. Instead press CTRL+SHIFT+ENTER. If you get an error or #VALUE! as a result, try again starting at instruction in cell A29. 
</t>
  </si>
  <si>
    <t>Select any of the transposed cells, for example cell C41. Look at the formula at the top of Excel. You’ll see that the formula looks like this: {=TRANSPOSE(C33:H34)}</t>
  </si>
  <si>
    <t xml:space="preserve">Select  another transposed cell from cells C40 to D45, for example cell D43. Look at the formula bar again. The formula is the same as in cell C41. Why? Because this is an array formula.
</t>
  </si>
  <si>
    <t>Go to cell A54 for the next instruction.</t>
  </si>
  <si>
    <t>What's an array formula?</t>
  </si>
  <si>
    <t>An array formula can perform calculations on more than one cell in an array. In the example above, the array is the original data set is cells C33:H34. The TRANSPOSE function then switches the horizontal orientation of the cells to a vertical orientation. </t>
  </si>
  <si>
    <t xml:space="preserve">You always finish an array formula with CTRL+SHIFT+ENTER, not just ENTER. Pressing CTRL+SHIFT+ENTER calculates the function against the array. When you're done, Excel puts special brackets { } around the formula. These brackets are a visual clue that the selected cell is part of an array formula. You can't type these brackets yourself. Excel puts them in when you press CTRL+SHIFT+ENTER. </t>
  </si>
  <si>
    <t>KEEP IN MIND…
There are three things to keep in mind when using an array formula: 
1) Always select multiple cells first, and then with those cells selected, start typing the array formula. That's the key: Select multiple cells first, then start typing.
2) When you're done typing an array formula, press  CTRL+SHIFT +ENTER.
3) Once you enter an array formula, you cannot interrupt that new array. For example, you cannot type over or delete just one of the cells. You also cannot insert a new row or column within that array.  If you need to any of that, select all of the cells that have the array formula, press Delete, and then make your changes and recreate the formula.</t>
  </si>
  <si>
    <t xml:space="preserve">EXCEL SPEAK: Because array formulas require CTRL+SHIFT+ENTER, some people informally call array formulas, "CSE formulas." 
</t>
  </si>
  <si>
    <t>Go to cell A72 for the next instruction.</t>
  </si>
  <si>
    <t>Transpose (rotate) data from rows to columns or vice versa</t>
  </si>
  <si>
    <t>All about the TRANSPOSE function</t>
  </si>
  <si>
    <t>Create an array formula</t>
  </si>
  <si>
    <t>Sort and filter with ease</t>
  </si>
  <si>
    <t>Cells C5 to G13 contain five columns: Departments, Categories, and Amounts for the months Oct, Nov, Dec.</t>
  </si>
  <si>
    <t xml:space="preserve">Let's say you want the departments in alphabetical order. Select the Department column, go to cell C5. Press CTRL+G, type C5, then press Enter. Now press ALT+H to enter the Home tab above the ribbon, then press S to enter the Sort &amp; Filter options. Use the arrow keys to find the option to Sort A to Z, or press S, then press Enter. </t>
  </si>
  <si>
    <t xml:space="preserve">Sort December's amounts from big to small. Select the December column cell, go to G5, then select cells G5 through G13. Press ALT+H to enter the Home tab above the ribbon, then press S for Sort &amp; Filter options. Notice the options changed from Sort A to Z to Sort Largest to Smallest and so forth. Use the arrow keys to find the option to Sort Largest to Smallest, then press Enter. </t>
  </si>
  <si>
    <t>Now you'll filter the data so that only the Bakery rows appear. Go to cell G5, Dec. Press CTRL+A to select all of the cells, then press ALT+H to enter the Home tab. Press S to enter the Sort &amp; Filter options, then use the arrow keys to find the Filter option or press F.</t>
  </si>
  <si>
    <t>Department</t>
  </si>
  <si>
    <t>Oct</t>
  </si>
  <si>
    <t>Nov</t>
  </si>
  <si>
    <t>Dec</t>
  </si>
  <si>
    <t>Filter buttons appear on the top row from cell C5 to G5. Go to the Department cell, C5, and press ALT+DOWN ARROW then DOWN ARROW and SPACE BAR to clear the Select All checkbox. Then, use the arrow keys to find Bakery and press Space Bar, then press Enter.</t>
  </si>
  <si>
    <t xml:space="preserve">EXTRA CREDIT: Try sorting alphabetically by two columns. Here's how: First sort Department alphabetically (refer to steps in cell A3 above). Then select the Home tab and Sort &amp; Filter options. Find Custom Sort and add a second level for Category. After you select OK, Department will be sorted, and within each department, Category rows will be sorted in alphabetical order as well. </t>
  </si>
  <si>
    <t>Bakery</t>
  </si>
  <si>
    <t>Desserts</t>
  </si>
  <si>
    <t>Veggies</t>
  </si>
  <si>
    <t>Deli</t>
  </si>
  <si>
    <t>Salads</t>
  </si>
  <si>
    <t>Breads</t>
  </si>
  <si>
    <t>Sandwiches</t>
  </si>
  <si>
    <t>Sort by date, or by color even</t>
  </si>
  <si>
    <t>There are many ways to sort in Excel. Here are just two more ways to sort:</t>
  </si>
  <si>
    <t>Cells C31 through F31 contain data with four columns: Expense date, Employee, Food, and Hotel.</t>
  </si>
  <si>
    <t>You want the Expense dates in order. So, select Expense date header, cell C31, then press ALT+DOWN ARROW and use the arrow keys to find Sort Oldest to Newest. Press Enter. The rows get sorted in ascending date order by the Expense date.</t>
  </si>
  <si>
    <t>Someone filled three cells with yellow. You can sort the rows by that color. Go to cell F31, then press ALT+DOWN ARROW and use the arrow keys to find the Sort by Color option.  Press Right Arrow to select the highlight color "yellow" rgb color 255, 255, 0, then Press Enter. The highlighted cells are automatically sorted to the top within the column.</t>
  </si>
  <si>
    <t>Expense date</t>
  </si>
  <si>
    <t>Employee</t>
  </si>
  <si>
    <t>Food</t>
  </si>
  <si>
    <t>Hotel</t>
  </si>
  <si>
    <t xml:space="preserve">IMPORTANT DETAIL: You can't clear a sort order like you can a filter. So if you don't want your sort to stick, undo it by pressing CTRL+Z.
</t>
  </si>
  <si>
    <t>Jackie</t>
  </si>
  <si>
    <t>Go to cell A43 for the next instruction.</t>
  </si>
  <si>
    <t>Mark</t>
  </si>
  <si>
    <t>Dave</t>
  </si>
  <si>
    <t>Tricia</t>
  </si>
  <si>
    <t>Jeff</t>
  </si>
  <si>
    <t>Laura</t>
  </si>
  <si>
    <t>More ways to filter data</t>
  </si>
  <si>
    <t>Cells C49 through F49 contain data with four columns: Expense date, Employee, Food, and Hotel.</t>
  </si>
  <si>
    <t xml:space="preserve">Go to cell F49: Hotel. Press ALT+DOWN ARROW, then use the arrow keys to find Number Filters option. Press RIGHT ARROW to enter Number Filters list and use the arrow keys to find the Above Average option, then press Enter. Excel calculates the average amount of the Hotel column, and then shows only rows with amounts greater than that average. </t>
  </si>
  <si>
    <t>Now add a second filter. Go to cell E49: Food. Press ALT+DOWN ARROW, then use the arrow keys to find the Number Filters option. Press RIGHT ARROW to enter the Number Filters list. Use the arrow keys to find the Greater than... option, then type 25 and press Enter. Of the three rows that were filtered for above average, Excel shows two rows with Food amounts greater than 25</t>
  </si>
  <si>
    <t>Go to cell A60 for the next instruction.</t>
  </si>
  <si>
    <t>Sort data in a range or table</t>
  </si>
  <si>
    <t>Filter data in a range or table</t>
  </si>
  <si>
    <t>Tables make things a lot easier</t>
  </si>
  <si>
    <t>A table gives you special features and conveniences. Here’s how to create one:</t>
  </si>
  <si>
    <t>Cells C5 through G13 contain data. Go to any cell within that region, for example, cell D8. Press CTRL+G, type D8, then press Enter.</t>
  </si>
  <si>
    <t>Press ALT+N to enter the Insert tab above the ribbon, then press T and press Enter. Or, press shortcut key combination CTRL+T, then Enter.</t>
  </si>
  <si>
    <t>Now you have a table, which is a collection of cells that has special features. For starters: A table gives you banded rows for easier reading.</t>
  </si>
  <si>
    <t xml:space="preserve">You can also create new rows easily. Go to the empty cell under cell C13: Meat. Type some text, then press Enter. A new row for the table appears. </t>
  </si>
  <si>
    <t>You can also create columns easily:  Go to any cell between H5 and H14, for example H10. Type some text, then press Enter. A new column for the table appears. Repeat the process to add a new column in column I.</t>
  </si>
  <si>
    <t>Notice how the two columns are created, formatted, and the text Jan and Feb are filled in cells H5 and I5 for you.</t>
  </si>
  <si>
    <t xml:space="preserve">EXTRA CREDIT: Try changing the table style. First select a cell inside the table between cells C5 and I14. The Table Tools Design tab will appear at the top of Excel. Press ALT+JT to enter the Design tab above the ribbon, then press S to enter Table Styles. Use arrow keys to navigate the options and select a table style you like.
</t>
  </si>
  <si>
    <t>Sandwich</t>
  </si>
  <si>
    <t>Calculated columns in tables</t>
  </si>
  <si>
    <t>One example of a convenience that tables give you: calculated columns. You type a formula once, and it gets automatically filled down for you. Here’s how it works:</t>
  </si>
  <si>
    <t>Cells C33 through H41 contain data with six columns: Department, Category, Oct, Nov, Dec, and Total.</t>
  </si>
  <si>
    <t>Go to cell H34: Total.</t>
  </si>
  <si>
    <t>Press ALT+=, then press Enter.</t>
  </si>
  <si>
    <t xml:space="preserve">The SUM formula gets automatically filled down for you so that you don’t have to do it yourself. </t>
  </si>
  <si>
    <t>Go to cell A47 for the next instruction.</t>
  </si>
  <si>
    <t>Total</t>
  </si>
  <si>
    <t>Total rows in tables</t>
  </si>
  <si>
    <t>Another convenience in tables are total rows. Instead of typing a SUM formula, Excel can make that total for you with a flip of a switch. And the same goes for the AVERAGE formula, and many others. Here’s how it works:</t>
  </si>
  <si>
    <t>Cells C54 through E61 contain data with three columns: Department, Category, and Sales.</t>
  </si>
  <si>
    <t>Go to any cell within the range above, for example cell D57.</t>
  </si>
  <si>
    <t>At the top of the Excel window, the Table Tools Design tab will appear. Press ALT+JT to enter the Design tab above the ribbon, then press T to select Total Row from within the Table Styles Options.</t>
  </si>
  <si>
    <t>A new row is added at the bottom of the table in cells C62 through E62.</t>
  </si>
  <si>
    <t xml:space="preserve">The total of $24,000 is added to the total row, in cell E62 . </t>
  </si>
  <si>
    <t>Sales</t>
  </si>
  <si>
    <t>But what if you wanted to know the average? Select cell E62: $24,000.</t>
  </si>
  <si>
    <t>Press ALT+DOWN ARROW, then use the arrow keys to find the Average option and press Enter. The average amount of $3,000 appears.</t>
  </si>
  <si>
    <t xml:space="preserve">GOOD TO KNOW: There's a shortcut for showing and hiding the total row. Select inside the table, then press CTRL+SHIFT+T.
</t>
  </si>
  <si>
    <t>Overview of Excel tables</t>
  </si>
  <si>
    <t>Total the data in an Excel table</t>
  </si>
  <si>
    <t>Use calculated columns in an Excel table</t>
  </si>
  <si>
    <t xml:space="preserve"> press CTRL+PAGE DOWN.</t>
  </si>
  <si>
    <t>Insert a drop-down list</t>
  </si>
  <si>
    <t xml:space="preserve">Drop-down lists make data entry easier for people. Here's how to do one: </t>
  </si>
  <si>
    <t>Cells C3 through D15 contain data with two columns: Food and Department.</t>
  </si>
  <si>
    <t>We want only three department names to be valid entries for each of the foods on the right. Those departments are Produce, Meat and Bakery.</t>
  </si>
  <si>
    <t>Go to cell D4. Press CTRL+G, type D4, then press Enter. Select all cells from D4 to D15.</t>
  </si>
  <si>
    <t>On the Data tab, select Data Validation, or press ALT+DL to open the Data Validation dialogue box. Tab to Allow and select List. Press the tab key again.</t>
  </si>
  <si>
    <t>In the Source text box, type Produce, Meat, Bakery. Make sure to put commas in between each name. Press Enter when you’re done.</t>
  </si>
  <si>
    <t>Now select cell D4, which is the cell next to Apples in C4. Press ALT+DOWN ARROW. You'll see a drop-down menu with the three items you added: Produce, Meat, and Bakery.</t>
  </si>
  <si>
    <t>Broccoli</t>
  </si>
  <si>
    <t>GOOD TO KNOW: Drop-down lists help ensure people enter valid data. So it makes sense that drop-downs are a part of a larger group of features known as data validation. 
There are other data validation methods. For example, you can restrict entry to whole numbers, dates, or even minimum and maximum amounts. There are many options available, and you can read more about them by selecting the link in cell A61.</t>
  </si>
  <si>
    <t>Kale</t>
  </si>
  <si>
    <t>Ham</t>
  </si>
  <si>
    <t>Best practice for drop-downs: Use a table.</t>
  </si>
  <si>
    <t>We just taught you how to insert a drop-down menu for the list of departments. But what if that list changes? For example, what if there is a new department called Dairy? You’d have to update the data validation dialog box. But there’s a more efficient way by creating a table first:</t>
  </si>
  <si>
    <t>Cells C31 through D43 contain data with two columns: Food and Department. Cells F31 through F34 contain data with one column: Department.</t>
  </si>
  <si>
    <t xml:space="preserve">From cells F31 to F34, select a cell with a department. For example, select cell F33: Meat. </t>
  </si>
  <si>
    <t>Create a table by pressing CTRL+T, then Enter.</t>
  </si>
  <si>
    <t>Now you’ll set up the data validation again. Under cell D31: Department, select all of the blank cells from D32 through D43.</t>
  </si>
  <si>
    <t>On the Data tab, select Data Validation, or press ALT+DL to open the Data Validation dialogue box. Tab to Allow and press DOWN ARROW to select List. Press the tab key again.</t>
  </si>
  <si>
    <t>In the Source text box, type =$F$32:$F$34, then press Enter.</t>
  </si>
  <si>
    <t>You selected the values within the single column starting in cell F31: Department.</t>
  </si>
  <si>
    <t>Now go to cell D32 and press ALT+DOWN ARROW. There are only three departments in the drop-down list: Produce, Meat and Bakery. But if you add a new department in column F under cell F35: Bakery, this list will get updated with the new department. Try it.</t>
  </si>
  <si>
    <t xml:space="preserve">EXPERT TIP: Often people put their validation lists like this out of the way on another sheet. That way others won't be tempted to change the list.
</t>
  </si>
  <si>
    <t>Apply data validation to cells</t>
  </si>
  <si>
    <t>Create a drop-down list</t>
  </si>
  <si>
    <t>Analyze data quickly</t>
  </si>
  <si>
    <t>Here’s how to analyze data so that you can spot patterns and trends quickly:</t>
  </si>
  <si>
    <t>Cells C5 through G13 contain data in five columns: Department, Category, Oct, Nov, and Dec.</t>
  </si>
  <si>
    <t>Go to a cell in the table between cells C5 through G13, for example go to cell E9, then press CTRL+Q. A Quick Analysis panel appears.</t>
  </si>
  <si>
    <t>Press Tab key to enter Formatting options, then press Enter to select Data Bars.</t>
  </si>
  <si>
    <t xml:space="preserve"> The cells under Oct, Nov, and Dec columns, cells E6 through G13 get special data bars that visualize their amounts.</t>
  </si>
  <si>
    <t>Now let's say you want to get rid of the data bars. Select the entire range of cells from C5 through G13, then press CTRL+Q to bring up the Quick Analysis panel again.</t>
  </si>
  <si>
    <t>Press Tab key to enter Formatting options, then press RIGHT ARROW to find Clear…, then press Enter.</t>
  </si>
  <si>
    <t xml:space="preserve">GOOD TO KNOW: When you select cells, this Quick Analysis button appears. Aptly named, don't you think? You can always access the button by using the shortcut key: CRTL+Q. If you ever have a question about the data you selected, select this option and see if it gives you some answers. </t>
  </si>
  <si>
    <t>Quickly make a chart</t>
  </si>
  <si>
    <t>You can always use the Insert tab and create a chart. But here is another way to make a chart, using the Quick Analysis option. This time though, we'll use the keyboard shortcut:</t>
  </si>
  <si>
    <t>Cells C34 through G42 contain data with five columns: Department, Category, Oct, Nov, and Dec.</t>
  </si>
  <si>
    <t>Go to a cell inside the table between cells C34 and G42,  for example go to cell D38, then press Ctrl+Q.</t>
  </si>
  <si>
    <t>The Quick Analysis panel appears. Press RIGHT ARROW until you find Charts.</t>
  </si>
  <si>
    <t>Press the Tab key to enter the Charts options and Enter to select Clustered… .</t>
  </si>
  <si>
    <t>A new clustered column chart appears and is selected. Use your arrow keys to move it anywhere you’d like. Within the chart each product has three columns, one for each month of sales: Oct, Nov, and Dec.</t>
  </si>
  <si>
    <t>Quickly make sparklines</t>
  </si>
  <si>
    <t>Let's say you want little trend lines to the right of this data to show how the amounts go up or down during the three months. You don't have to make 8 little line charts. You can make sparklines instead.</t>
  </si>
  <si>
    <t>Cells C54 through G62 contain data with five columns: Department, Category, Oct, Nov, and Dec.</t>
  </si>
  <si>
    <t>Go to a cell inside the table between cells C55 and G62, then press Ctrl+Q.</t>
  </si>
  <si>
    <t>On the Quick Analysis panel that appears, press the RIGHT ARROW until you find Sparklines, then press Tab to select the Line option. Press Enter to add Sparklines to the table.</t>
  </si>
  <si>
    <t>Sparklines appear to the right of the Dec column in cells H55 through H62. Each line represents the data for that row, and shows whether the amounts go up or down.</t>
  </si>
  <si>
    <t>To clear the sparklines, select cells H55 through H62. Press ALT+JD to enter The Sparkline Tools Design tab above the ribbon. Press C to select the Clear option, then press C again to select to Clear Selected Sparklines.</t>
  </si>
  <si>
    <t>Go to cell A68 for the next instruction.</t>
  </si>
  <si>
    <t>Analyze your data instantly</t>
  </si>
  <si>
    <t>Analyze trends in data using sparklines</t>
  </si>
  <si>
    <t>Great charts recommended for you</t>
  </si>
  <si>
    <t>Cells C5 through D11 contain data with two columns: Year and Conference attendance.</t>
  </si>
  <si>
    <t>Go to any cell in the table between cells C5 and D11, for example go to cell C6. Press CTRL+G, type C6, then press Enter.</t>
  </si>
  <si>
    <t>Now press ALT+N to enter The Insert Charts tab above the ribbon. Press R to bring up Recommended Charts options.</t>
  </si>
  <si>
    <t>Several recommendations will appear. Press Tab to enter the list and use the arrow keys to find an option called Clustered Columns, then press Enter.</t>
  </si>
  <si>
    <t>Year</t>
  </si>
  <si>
    <t>Conference attendance</t>
  </si>
  <si>
    <t>A column chart appears showing total number of conference attendees per year. Use the arrow keys to move the chart anywhere you'd like.</t>
  </si>
  <si>
    <t xml:space="preserve">Now you'll add a trendline. Select the chart you just created, and press ALT+JC to enter the Chart Tools Design tab above the ribbon. </t>
  </si>
  <si>
    <t>Press A to Add chart element, then press DOWN ARROW to find the Trendline option. Press RIGHT ARROW to open the Trendline options then DOWN ARROW to navigate to the Linear option, then press Enter. Now you have a trendline that shows the general direction of the units sold over time.</t>
  </si>
  <si>
    <t xml:space="preserve">EXTRA CREDIT: Want a data table directly under the chart? Select the chart. Press ALT+JC, to enter the Chart Tools Design tab. Then press A to Add Chart Element. Press DOWN ARROW to find the Data Table option then press RIGHT ARROW to open the Data Table options. Press DOWN ARROW until you find the With Legend Keys option. Select With Legend Keys, then press Enter to add Legend Keys to the chart.
</t>
  </si>
  <si>
    <t>Horizontal and vertical axes</t>
  </si>
  <si>
    <t xml:space="preserve">In school you might have learned that there is an x-axis and a y-axis. Excel has these two axes as well, but it calls them something different. </t>
  </si>
  <si>
    <t>In Excel this is what they are called:</t>
  </si>
  <si>
    <t xml:space="preserve">• The x-axis along the bottom is called the horizontal axis. </t>
  </si>
  <si>
    <t xml:space="preserve">• The y-axis that runs up and down is called the vertical axis. </t>
  </si>
  <si>
    <t xml:space="preserve">Each axis can either be a value axis or a category axis. </t>
  </si>
  <si>
    <t xml:space="preserve">• A value axis represents numerical values. For example, a value axis can represent dollars, hours, duration, temperature, and so on.  The vertical axis in the chart on the right starting in cell D30 is a value axis. </t>
  </si>
  <si>
    <t xml:space="preserve">• A category axis represents things like dates, people names, product names. The horizontal axis in the chart on the right starting in cell D30 has years so this is a category axis. </t>
  </si>
  <si>
    <t>Go to cell A52 for the next instruction.</t>
  </si>
  <si>
    <t>Secondary axis</t>
  </si>
  <si>
    <t>You can also use a secondary axis in a chart. A secondary axis is an additional value axis that can show different values than the other value axis.</t>
  </si>
  <si>
    <t>A popular example is in the chart on the right starting in cell D52. It's the same as the chart above, but it has an additional secondary vertical axis that represents the sales amounts for each month. Some would say that by having a secondary axis, you almost have “two charts in one.” That’s true. This chart is both a column chart and a line chart. These kind of charts are called Combo charts in Excel. If you’re interested in this kind of chart, select the hyperlink in cell A70.</t>
  </si>
  <si>
    <t>Cells D67 through F73 contain data with three columns: Date, Conference attendance, and Food sales. Food Sales column contains data that supports the secondary axis for the chart described above.</t>
  </si>
  <si>
    <t xml:space="preserve">EXTRA CREDIT: Try making a combo chart. Select the entire table from cells D67 through F73. Use the Quick Analysis option, CTRL+Q, to find the Charts option. Press Tab to enter the Charts options, then press RIGHT ARROW to select More... . The Recommended Charts options appear. Press RIGHT ARROW to select the All Charts tab, then press DOWN ARROW until you find the Combo option, listed at the bottom. Tab twice to enter the Series name: . Press DOWN ARROW twice to find "Food Sales", then press Tab twice to select the Secondary Axis option. Press SPACE BAR to enable this option, then press Enter. 
</t>
  </si>
  <si>
    <t>Date</t>
  </si>
  <si>
    <t>Food sales</t>
  </si>
  <si>
    <t>Create a chart from start to finish</t>
  </si>
  <si>
    <t>Create a combo chart with a secondary axis</t>
  </si>
  <si>
    <t>Available chart types in Office</t>
  </si>
  <si>
    <t>Summarize data with PivotTables</t>
  </si>
  <si>
    <t>Cells C3 through F9 contain data with four columns: Date, Salesperson, Product, and Amount.</t>
  </si>
  <si>
    <t>Look through the Date, Salesperson, Product and Amount columns. Can you quickly identify which product is the most profitable? Or which salesperson is the leading seller? That’s where the PivotTable in cells E11 through F15 can help.</t>
  </si>
  <si>
    <t>Salesperson</t>
  </si>
  <si>
    <t xml:space="preserve">When we created the PivotTable, we clicked a few buttons so that the data could be summarized. Now we know which product is the most profitable. </t>
  </si>
  <si>
    <t>Anne</t>
  </si>
  <si>
    <t>Beer</t>
  </si>
  <si>
    <t xml:space="preserve">Next you’ll pivot the data so that you can find out which salesperson is the leading seller. Press CTRL+G, type E12, then press Enter. Your selection is now inside the PivotTable. </t>
  </si>
  <si>
    <t>Wine</t>
  </si>
  <si>
    <t xml:space="preserve">Press SHIFT+F6 until  you enter the PivotTable Fields pane. If the pane isn't open, press ALT+JT, then L to launch the PivotTable Fields pane. Focus will default to the Search text box: "Type words to search for" edit. Press TAB until you reach Product button. Press Spacebar to enter the context menu, then press DOWN ARROW until you access Remove field. Press Enter. </t>
  </si>
  <si>
    <t xml:space="preserve">Now, press TAB until you access the categories list: Date, Salesperson, Product and Amount. Use your arrows to find the Salesperson checkbox. Press Spacebar to add the Salesperson field. Then press SHIFT+F6 until you access the PivotTableSample table. Then move to cell F12. Anne is the leading salesperson with 2150. </t>
  </si>
  <si>
    <t>Soda</t>
  </si>
  <si>
    <t>Mariya</t>
  </si>
  <si>
    <t>Row Labels</t>
  </si>
  <si>
    <t>Sum of Amount</t>
  </si>
  <si>
    <t>Grand Total</t>
  </si>
  <si>
    <t>Create a PivotTable</t>
  </si>
  <si>
    <t>Now you’ll create the PivotTable yourself so that you know how to make one when you need to summarize data.</t>
  </si>
  <si>
    <t>Cells C34 through F40 contain data with four columns: Date, Salesperson, Product, and Amount.</t>
  </si>
  <si>
    <t>Select a cell inside the table. For example go to cell E38, then press ALT+JT to enter the Design menu above the ribbon. Press V to insert a PivotTable.</t>
  </si>
  <si>
    <t>A Create PivotTable dialogue appears. Focus is on Select a table or range. Leave this radio button option selected press Tab to choose where you want the PivotTable report to be placed. The default option is selected: New Worksheet. Press DOWN ARROW to select Existing Worksheet. Press Tab to enter the Location text box and type C42, then press Enter.</t>
  </si>
  <si>
    <t xml:space="preserve">The PivotTable Fields pane appears on the right. Press SHIFT+F6 until you come to  the Search text box: Type words to search for edit. </t>
  </si>
  <si>
    <t>Press Tab to enter the list of categories. Press DOWN ARROW to find Product checkbox. Press Spacebar to select Product.
When you do that, the Product field gets added to the Rows area at the bottom of the pane. And, the product data appears as Row labels in the new PivotTable.</t>
  </si>
  <si>
    <t xml:space="preserve">Now press DOWN ARROW to find Amount checkbox. 
When you do that, the Amount field will get added to the Values area at the bottom of the pane. And, at the same time the amounts are totaled for each product in the PivotTable.
</t>
  </si>
  <si>
    <t>Congratulations, you made a PivotTable. But there is a lot more you can do. So go to cell A60 if you want to learn more.</t>
  </si>
  <si>
    <t>Go to cell A58 for the next instruction.</t>
  </si>
  <si>
    <t>Create a PivotTable to analyze worksheet data</t>
  </si>
  <si>
    <t>Use the Field List to arrange fields in a PivotTable</t>
  </si>
  <si>
    <t>Workbook shortcut keys</t>
  </si>
  <si>
    <t>Cell formatting shortcuts</t>
  </si>
  <si>
    <t>Additional cell formatting shortcuts</t>
  </si>
  <si>
    <t>Row and Column formatting shortcuts</t>
  </si>
  <si>
    <t>Pivot Table shortcuts</t>
  </si>
  <si>
    <t>Create a new workbook</t>
  </si>
  <si>
    <t>Ctrl + N</t>
  </si>
  <si>
    <t>Edit a cell</t>
  </si>
  <si>
    <t>F2</t>
  </si>
  <si>
    <t>Add a comment to a cell</t>
  </si>
  <si>
    <t>Shift + F2</t>
  </si>
  <si>
    <t>Select the entire row</t>
  </si>
  <si>
    <t>Shift + Space</t>
  </si>
  <si>
    <t>Group Pivot table items</t>
  </si>
  <si>
    <t>Alt + Shift + Right arrow</t>
  </si>
  <si>
    <t>Open an existing workbook</t>
  </si>
  <si>
    <t>Ctrl + O</t>
  </si>
  <si>
    <t>Copy and paste cells</t>
  </si>
  <si>
    <t>Ctrl + C, Ctrl + V</t>
  </si>
  <si>
    <t>Display find and replace</t>
  </si>
  <si>
    <t> Ctrl + H</t>
  </si>
  <si>
    <t>Select the entire column</t>
  </si>
  <si>
    <t>Ctrl + Space</t>
  </si>
  <si>
    <t>Ungroup Pivot table items</t>
  </si>
  <si>
    <t>Alt + Shift + Left arrow</t>
  </si>
  <si>
    <t>Save a workbook/spreadsheet</t>
  </si>
  <si>
    <t>Ctrl + S</t>
  </si>
  <si>
    <t>Bold and italicize the fon</t>
  </si>
  <si>
    <t>Ctrl B, Ctrl I</t>
  </si>
  <si>
    <t>Activate Filter</t>
  </si>
  <si>
    <t>Alt + Down Arrow</t>
  </si>
  <si>
    <t>Select the entire worksheet</t>
  </si>
  <si>
    <t>Ctrl + Shift + Space</t>
  </si>
  <si>
    <t>Hide Pivot table item</t>
  </si>
  <si>
    <t>Ctrl + -</t>
  </si>
  <si>
    <t>Close current workbook</t>
  </si>
  <si>
    <t>Ctrl + W</t>
  </si>
  <si>
    <t>Underline to the cell content</t>
  </si>
  <si>
    <t>Ctrl + U</t>
  </si>
  <si>
    <t>Insert the current date</t>
  </si>
  <si>
    <t>Ctrl + ;</t>
  </si>
  <si>
    <t>To move to the edge of the worksheet</t>
  </si>
  <si>
    <t>Ctrl + Right arrow</t>
  </si>
  <si>
    <t>Create a Pivot chart on the same worksheet</t>
  </si>
  <si>
    <t>Alt + F1</t>
  </si>
  <si>
    <t>Close Excel</t>
  </si>
  <si>
    <t>Ctrl + F4</t>
  </si>
  <si>
    <t>Center align cell contents</t>
  </si>
  <si>
    <t>Alt+H+A+ C</t>
  </si>
  <si>
    <t>Insert current time</t>
  </si>
  <si>
    <t>Ctrl + Shit + :</t>
  </si>
  <si>
    <t>To delete a column</t>
  </si>
  <si>
    <t>Alt+H+D+C</t>
  </si>
  <si>
    <t>Create a Pivot chart on a new worksheet</t>
  </si>
  <si>
    <t>F11</t>
  </si>
  <si>
    <t>To move to the next sheet</t>
  </si>
  <si>
    <t>Ctrl + PageDown</t>
  </si>
  <si>
    <t>To fill colour</t>
  </si>
  <si>
    <t> Alt + H + H</t>
  </si>
  <si>
    <t>Insert a Hyperlink</t>
  </si>
  <si>
    <t>Ctrl + k</t>
  </si>
  <si>
    <t>To delete a row</t>
  </si>
  <si>
    <t>Shift + Space, Ctrl + - (minus)</t>
  </si>
  <si>
    <t>To move to the previous sheet</t>
  </si>
  <si>
    <t>Ctrl + PageUp</t>
  </si>
  <si>
    <t>Add a border</t>
  </si>
  <si>
    <t>Alt + H + B</t>
  </si>
  <si>
    <t>To apply the currency format</t>
  </si>
  <si>
    <t>Ctrl + Shift + $</t>
  </si>
  <si>
    <t>To hide selected row</t>
  </si>
  <si>
    <t>Ctrl + 9</t>
  </si>
  <si>
    <t>Go to the Data tab</t>
  </si>
  <si>
    <t>Alt + A</t>
  </si>
  <si>
    <t>Remove outline border</t>
  </si>
  <si>
    <t>Ctrl + Shift + _</t>
  </si>
  <si>
    <t>To apply the percent format</t>
  </si>
  <si>
    <t>Ctrl + Shift + %</t>
  </si>
  <si>
    <t>To unhide selected row</t>
  </si>
  <si>
    <t>Ctrl + Shift + 9</t>
  </si>
  <si>
    <t>Go to the View tab</t>
  </si>
  <si>
    <t> Alt + W</t>
  </si>
  <si>
    <t>Add outline to the select cells</t>
  </si>
  <si>
    <t>Ctrl + Shift + &amp;</t>
  </si>
  <si>
    <t>Go to the “Tell me what you want to do” box</t>
  </si>
  <si>
    <t>Alt + Q</t>
  </si>
  <si>
    <t>To hide a selected column</t>
  </si>
  <si>
    <t>Ctrl + 0</t>
  </si>
  <si>
    <t>Go the formula tab</t>
  </si>
  <si>
    <t>Alt + M</t>
  </si>
  <si>
    <t>Move to the previous cell</t>
  </si>
  <si>
    <t>Shift + Tab</t>
  </si>
  <si>
    <t>To unhide a selected column</t>
  </si>
  <si>
    <t>Ctrl + Shift + 0</t>
  </si>
  <si>
    <t>Move to the next cell</t>
  </si>
  <si>
    <t>Tab</t>
  </si>
  <si>
    <t>Group rows or columns</t>
  </si>
  <si>
    <t>Select cells on the right</t>
  </si>
  <si>
    <t> Ctrl + Shift + Right arrow</t>
  </si>
  <si>
    <t>Ungroup rows or columns</t>
  </si>
  <si>
    <t>Select cells on the left</t>
  </si>
  <si>
    <t>Ctrl + Shift + Left Arrow</t>
  </si>
  <si>
    <t>Select the column from the selected cell to the end of the table</t>
  </si>
  <si>
    <t>Ctrl + Shift + Down Arrow</t>
  </si>
  <si>
    <t>Select the data above the selected cell</t>
  </si>
  <si>
    <t> Ctrl + Shift + Up Arrow</t>
  </si>
  <si>
    <t>Sum of Nov</t>
  </si>
  <si>
    <t>Qrtr 2</t>
  </si>
  <si>
    <t>Qrtr 3</t>
  </si>
  <si>
    <t>Qrtr 4</t>
  </si>
  <si>
    <t>o</t>
  </si>
  <si>
    <t>Feb</t>
  </si>
  <si>
    <t>Mar</t>
  </si>
  <si>
    <t>Week 2</t>
  </si>
  <si>
    <t>Week 3</t>
  </si>
  <si>
    <t>Week 4</t>
  </si>
  <si>
    <t>Nancy</t>
  </si>
  <si>
    <t>Contoso Ltd.</t>
  </si>
  <si>
    <t>Andy</t>
  </si>
  <si>
    <t>North</t>
  </si>
  <si>
    <t>Fabrikam Inc.</t>
  </si>
  <si>
    <t>Kotas</t>
  </si>
  <si>
    <t>Relecloud</t>
  </si>
  <si>
    <t>Jones</t>
  </si>
  <si>
    <t>Steven</t>
  </si>
  <si>
    <t>Thorpe</t>
  </si>
  <si>
    <t>Michael</t>
  </si>
  <si>
    <t>Neipper</t>
  </si>
  <si>
    <t>Robert</t>
  </si>
  <si>
    <t>Zare</t>
  </si>
  <si>
    <t>Yvonne</t>
  </si>
  <si>
    <t>McKay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</si>
</sst>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0_);\(&quot;$&quot;#,##0\)"/>
    <numFmt numFmtId="165" formatCode="&quot;$&quot;#,##0_);[Red]\(&quot;$&quot;#,##0\)"/>
    <numFmt numFmtId="166" formatCode="_(&quot;$&quot;* #,##0_);_(&quot;$&quot;* \(#,##0\);_(&quot;$&quot;* &quot;-&quot;_);_(@_)"/>
  </numFmts>
  <fonts count="18" x14ac:knownFonts="1">
    <font>
      <sz val="11"/>
      <color theme="1"/>
      <name val="Calibri"/>
      <scheme val="minor"/>
    </font>
    <font>
      <sz val="11"/>
      <color theme="1"/>
      <name val="Calibri"/>
      <family val="2"/>
      <scheme val="minor"/>
    </font>
    <font>
      <sz val="11"/>
      <color theme="1"/>
      <name val="Calibri"/>
      <family val="2"/>
      <scheme val="minor"/>
    </font>
    <font>
      <sz val="11"/>
      <color theme="0"/>
      <name val="Calibri"/>
      <family val="2"/>
    </font>
    <font>
      <sz val="26"/>
      <color rgb="FF3A3838"/>
      <name val="Calibri"/>
      <family val="2"/>
    </font>
    <font>
      <sz val="11"/>
      <color theme="1"/>
      <name val="Calibri"/>
      <family val="2"/>
    </font>
    <font>
      <sz val="12"/>
      <color rgb="FF3F3F3F"/>
      <name val="Calibri"/>
      <family val="2"/>
    </font>
    <font>
      <u/>
      <sz val="11"/>
      <color theme="0"/>
      <name val="Calibri"/>
      <family val="2"/>
    </font>
    <font>
      <b/>
      <sz val="11"/>
      <color theme="1"/>
      <name val="Calibri"/>
      <family val="2"/>
    </font>
    <font>
      <sz val="11"/>
      <color theme="1"/>
      <name val="Calibri"/>
      <family val="2"/>
      <scheme val="minor"/>
    </font>
    <font>
      <sz val="26"/>
      <color rgb="FF3A3838"/>
      <name val="Quattrocento Sans"/>
      <family val="2"/>
    </font>
    <font>
      <sz val="12"/>
      <color rgb="FF3F3F3F"/>
      <name val="Quattrocento Sans"/>
      <family val="2"/>
    </font>
    <font>
      <sz val="15"/>
      <color theme="0"/>
      <name val="Calibri"/>
      <family val="2"/>
    </font>
    <font>
      <sz val="11"/>
      <name val="Calibri"/>
      <family val="2"/>
    </font>
    <font>
      <sz val="11"/>
      <color rgb="FF000000"/>
      <name val="Calibri"/>
      <family val="2"/>
    </font>
    <font>
      <sz val="11"/>
      <color rgb="FF000000"/>
      <name val="Arial"/>
      <family val="2"/>
    </font>
    <font>
      <sz val="11"/>
      <color theme="1"/>
      <name val="Calibri"/>
      <family val="2"/>
    </font>
    <font>
      <sz val="8"/>
      <name val="Calibri"/>
      <family val="2"/>
      <scheme val="minor"/>
    </font>
  </fonts>
  <fills count="11">
    <fill>
      <patternFill patternType="none"/>
    </fill>
    <fill>
      <patternFill patternType="gray125"/>
    </fill>
    <fill>
      <patternFill patternType="solid">
        <fgColor rgb="FF339966"/>
        <bgColor rgb="FF339966"/>
      </patternFill>
    </fill>
    <fill>
      <patternFill patternType="solid">
        <fgColor rgb="FFF2F2F2"/>
        <bgColor rgb="FFF2F2F2"/>
      </patternFill>
    </fill>
    <fill>
      <patternFill patternType="solid">
        <fgColor rgb="FFFFFF99"/>
        <bgColor rgb="FFFFFF99"/>
      </patternFill>
    </fill>
    <fill>
      <patternFill patternType="solid">
        <fgColor rgb="FFFFFF00"/>
        <bgColor rgb="FFFFFF00"/>
      </patternFill>
    </fill>
    <fill>
      <patternFill patternType="solid">
        <fgColor theme="5"/>
        <bgColor theme="5"/>
      </patternFill>
    </fill>
    <fill>
      <patternFill patternType="solid">
        <fgColor theme="9"/>
        <bgColor theme="9"/>
      </patternFill>
    </fill>
    <fill>
      <patternFill patternType="solid">
        <fgColor rgb="FF2E75B5"/>
        <bgColor rgb="FF2E75B5"/>
      </patternFill>
    </fill>
    <fill>
      <patternFill patternType="solid">
        <fgColor rgb="FFBF9000"/>
        <bgColor rgb="FFBF9000"/>
      </patternFill>
    </fill>
    <fill>
      <patternFill patternType="solid">
        <fgColor rgb="FF6E747A"/>
        <bgColor rgb="FF6E747A"/>
      </patternFill>
    </fill>
  </fills>
  <borders count="25">
    <border>
      <left/>
      <right/>
      <top/>
      <bottom/>
      <diagonal/>
    </border>
    <border>
      <left/>
      <right/>
      <top/>
      <bottom/>
      <diagonal/>
    </border>
    <border>
      <left style="thin">
        <color rgb="FFB2B2B2"/>
      </left>
      <right style="thin">
        <color rgb="FFB2B2B2"/>
      </right>
      <top style="thin">
        <color rgb="FFB2B2B2"/>
      </top>
      <bottom style="thin">
        <color rgb="FFB2B2B2"/>
      </bottom>
      <diagonal/>
    </border>
    <border>
      <left style="thick">
        <color rgb="FFF4B183"/>
      </left>
      <right style="thick">
        <color rgb="FFF4B183"/>
      </right>
      <top style="thick">
        <color rgb="FFF4B183"/>
      </top>
      <bottom style="thick">
        <color rgb="FFF4B183"/>
      </bottom>
      <diagonal/>
    </border>
    <border>
      <left/>
      <right/>
      <top/>
      <bottom style="thin">
        <color rgb="FF000000"/>
      </bottom>
      <diagonal/>
    </border>
    <border>
      <left style="thin">
        <color rgb="FF339966"/>
      </left>
      <right/>
      <top/>
      <bottom/>
      <diagonal/>
    </border>
    <border>
      <left/>
      <right/>
      <top style="thin">
        <color rgb="FF339966"/>
      </top>
      <bottom/>
      <diagonal/>
    </border>
    <border>
      <left/>
      <right style="thin">
        <color rgb="FF339966"/>
      </right>
      <top/>
      <bottom/>
      <diagonal/>
    </border>
    <border>
      <left style="thin">
        <color rgb="FF339966"/>
      </left>
      <right/>
      <top/>
      <bottom style="thin">
        <color rgb="FF339966"/>
      </bottom>
      <diagonal/>
    </border>
    <border>
      <left/>
      <right/>
      <top/>
      <bottom style="thin">
        <color rgb="FF339966"/>
      </bottom>
      <diagonal/>
    </border>
    <border>
      <left/>
      <right style="thin">
        <color rgb="FF339966"/>
      </right>
      <top/>
      <bottom style="thin">
        <color rgb="FF339966"/>
      </bottom>
      <diagonal/>
    </border>
    <border>
      <left/>
      <right/>
      <top/>
      <bottom style="thin">
        <color rgb="FF000000"/>
      </bottom>
      <diagonal/>
    </border>
    <border>
      <left/>
      <right/>
      <top style="thin">
        <color rgb="FF000000"/>
      </top>
      <bottom/>
      <diagonal/>
    </border>
    <border>
      <left/>
      <right/>
      <top/>
      <bottom/>
      <diagonal/>
    </border>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top/>
      <bottom/>
      <diagonal/>
    </border>
    <border>
      <left style="thin">
        <color rgb="FFABABAB"/>
      </left>
      <right style="thin">
        <color rgb="FFABABAB"/>
      </right>
      <top/>
      <bottom/>
      <diagonal/>
    </border>
    <border>
      <left style="thin">
        <color rgb="FFABABAB"/>
      </left>
      <right/>
      <top/>
      <bottom style="thin">
        <color rgb="FFABABAB"/>
      </bottom>
      <diagonal/>
    </border>
    <border>
      <left style="thin">
        <color rgb="FFABABAB"/>
      </left>
      <right style="thin">
        <color rgb="FFABABAB"/>
      </right>
      <top/>
      <bottom style="thin">
        <color rgb="FFABABAB"/>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s>
  <cellStyleXfs count="1">
    <xf numFmtId="0" fontId="0" fillId="0" borderId="0"/>
  </cellStyleXfs>
  <cellXfs count="63">
    <xf numFmtId="0" fontId="0" fillId="0" borderId="0" xfId="0"/>
    <xf numFmtId="0" fontId="3" fillId="0" borderId="0" xfId="0" applyFont="1"/>
    <xf numFmtId="0" fontId="4" fillId="0" borderId="0" xfId="0" applyFont="1"/>
    <xf numFmtId="0" fontId="5" fillId="0" borderId="0" xfId="0" applyFont="1"/>
    <xf numFmtId="0" fontId="6" fillId="0" borderId="0" xfId="0" applyFont="1"/>
    <xf numFmtId="0" fontId="3" fillId="2" borderId="1" xfId="0" applyFont="1" applyFill="1" applyBorder="1"/>
    <xf numFmtId="0" fontId="5" fillId="3" borderId="1" xfId="0" applyFont="1" applyFill="1" applyBorder="1"/>
    <xf numFmtId="0" fontId="5" fillId="0" borderId="0" xfId="0" applyFont="1" applyAlignment="1">
      <alignment horizontal="left"/>
    </xf>
    <xf numFmtId="0" fontId="6" fillId="0" borderId="0" xfId="0" applyFont="1" applyAlignment="1">
      <alignment horizontal="left"/>
    </xf>
    <xf numFmtId="0" fontId="5" fillId="4" borderId="2" xfId="0" applyFont="1" applyFill="1" applyBorder="1"/>
    <xf numFmtId="0" fontId="5" fillId="3" borderId="3" xfId="0" applyFont="1" applyFill="1" applyBorder="1"/>
    <xf numFmtId="0" fontId="7" fillId="0" borderId="0" xfId="0" applyFont="1"/>
    <xf numFmtId="0" fontId="3" fillId="0" borderId="0" xfId="0" applyFont="1" applyAlignment="1">
      <alignment wrapText="1"/>
    </xf>
    <xf numFmtId="0" fontId="5" fillId="3" borderId="4" xfId="0" applyFont="1" applyFill="1" applyBorder="1"/>
    <xf numFmtId="0" fontId="8" fillId="3" borderId="1" xfId="0" applyFont="1" applyFill="1" applyBorder="1"/>
    <xf numFmtId="0" fontId="5" fillId="0" borderId="5" xfId="0" applyFont="1" applyBorder="1"/>
    <xf numFmtId="0" fontId="5" fillId="0" borderId="6" xfId="0" applyFont="1" applyBorder="1"/>
    <xf numFmtId="0" fontId="5" fillId="0" borderId="7" xfId="0" applyFont="1" applyBorder="1"/>
    <xf numFmtId="0" fontId="5" fillId="0" borderId="8" xfId="0" applyFont="1" applyBorder="1"/>
    <xf numFmtId="0" fontId="5" fillId="0" borderId="9" xfId="0" applyFont="1" applyBorder="1"/>
    <xf numFmtId="0" fontId="5" fillId="0" borderId="10" xfId="0" applyFont="1" applyBorder="1"/>
    <xf numFmtId="0" fontId="5" fillId="0" borderId="11" xfId="0" applyFont="1" applyBorder="1"/>
    <xf numFmtId="0" fontId="5" fillId="0" borderId="12" xfId="0" applyFont="1" applyBorder="1"/>
    <xf numFmtId="164" fontId="5" fillId="3" borderId="1" xfId="0" applyNumberFormat="1" applyFont="1" applyFill="1" applyBorder="1"/>
    <xf numFmtId="164" fontId="5" fillId="0" borderId="0" xfId="0" applyNumberFormat="1" applyFont="1"/>
    <xf numFmtId="0" fontId="9" fillId="0" borderId="0" xfId="0" applyFont="1"/>
    <xf numFmtId="14" fontId="5" fillId="0" borderId="0" xfId="0" applyNumberFormat="1" applyFont="1"/>
    <xf numFmtId="165" fontId="5" fillId="0" borderId="0" xfId="0" applyNumberFormat="1" applyFont="1"/>
    <xf numFmtId="165" fontId="5" fillId="5" borderId="1" xfId="0" applyNumberFormat="1" applyFont="1" applyFill="1" applyBorder="1"/>
    <xf numFmtId="0" fontId="10" fillId="0" borderId="0" xfId="0" applyFont="1"/>
    <xf numFmtId="0" fontId="11" fillId="0" borderId="0" xfId="0" applyFont="1"/>
    <xf numFmtId="0" fontId="11" fillId="0" borderId="0" xfId="0" applyFont="1" applyAlignment="1">
      <alignment horizontal="left"/>
    </xf>
    <xf numFmtId="166" fontId="5" fillId="0" borderId="0" xfId="0" applyNumberFormat="1" applyFont="1" applyAlignment="1">
      <alignment horizontal="right"/>
    </xf>
    <xf numFmtId="0" fontId="14" fillId="0" borderId="0" xfId="0" applyFont="1"/>
    <xf numFmtId="0" fontId="15" fillId="0" borderId="0" xfId="0" applyFont="1"/>
    <xf numFmtId="0" fontId="5" fillId="0" borderId="1" xfId="0" applyFont="1" applyBorder="1"/>
    <xf numFmtId="0" fontId="5" fillId="3" borderId="0" xfId="0" applyFont="1" applyFill="1"/>
    <xf numFmtId="164" fontId="5" fillId="0" borderId="1" xfId="0" applyNumberFormat="1" applyFont="1" applyBorder="1"/>
    <xf numFmtId="164" fontId="5" fillId="3" borderId="0" xfId="0" applyNumberFormat="1" applyFont="1" applyFill="1"/>
    <xf numFmtId="165" fontId="5" fillId="0" borderId="1" xfId="0" applyNumberFormat="1" applyFont="1" applyBorder="1"/>
    <xf numFmtId="165" fontId="5" fillId="5" borderId="0" xfId="0" applyNumberFormat="1" applyFont="1" applyFill="1"/>
    <xf numFmtId="0" fontId="2" fillId="0" borderId="0" xfId="0" applyFont="1"/>
    <xf numFmtId="0" fontId="16" fillId="4" borderId="2" xfId="0" applyFont="1" applyFill="1" applyBorder="1"/>
    <xf numFmtId="0" fontId="0" fillId="0" borderId="15" xfId="0" applyBorder="1"/>
    <xf numFmtId="0" fontId="0" fillId="0" borderId="15" xfId="0" pivotButton="1"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15" xfId="0" applyBorder="1" applyAlignment="1">
      <alignment horizontal="left"/>
    </xf>
    <xf numFmtId="0" fontId="0" fillId="0" borderId="16" xfId="0" applyBorder="1" applyAlignment="1">
      <alignment horizontal="left"/>
    </xf>
    <xf numFmtId="0" fontId="0" fillId="0" borderId="22" xfId="0" applyBorder="1"/>
    <xf numFmtId="0" fontId="0" fillId="0" borderId="24" xfId="0" applyBorder="1" applyAlignment="1">
      <alignment horizontal="left"/>
    </xf>
    <xf numFmtId="0" fontId="0" fillId="0" borderId="23" xfId="0" applyBorder="1"/>
    <xf numFmtId="0" fontId="1" fillId="0" borderId="0" xfId="0" applyFont="1"/>
    <xf numFmtId="0" fontId="5" fillId="0" borderId="14" xfId="0" applyFont="1" applyBorder="1"/>
    <xf numFmtId="0" fontId="12" fillId="6" borderId="13" xfId="0" applyFont="1" applyFill="1" applyBorder="1" applyAlignment="1">
      <alignment horizontal="center"/>
    </xf>
    <xf numFmtId="0" fontId="13" fillId="0" borderId="14" xfId="0" applyFont="1" applyBorder="1"/>
    <xf numFmtId="0" fontId="12" fillId="7" borderId="13" xfId="0" applyFont="1" applyFill="1" applyBorder="1" applyAlignment="1">
      <alignment horizontal="center"/>
    </xf>
    <xf numFmtId="0" fontId="12" fillId="8" borderId="13" xfId="0" applyFont="1" applyFill="1" applyBorder="1" applyAlignment="1">
      <alignment horizontal="center"/>
    </xf>
    <xf numFmtId="0" fontId="12" fillId="9" borderId="13" xfId="0" applyFont="1" applyFill="1" applyBorder="1" applyAlignment="1">
      <alignment horizontal="center"/>
    </xf>
    <xf numFmtId="0" fontId="12" fillId="10" borderId="13" xfId="0" applyFont="1" applyFill="1" applyBorder="1" applyAlignment="1">
      <alignment horizontal="center"/>
    </xf>
  </cellXfs>
  <cellStyles count="1">
    <cellStyle name="Normal" xfId="0" builtinId="0"/>
  </cellStyles>
  <dxfs count="44">
    <dxf>
      <font>
        <b val="0"/>
        <i val="0"/>
        <strike val="0"/>
        <condense val="0"/>
        <extend val="0"/>
        <outline val="0"/>
        <shadow val="0"/>
        <u val="none"/>
        <vertAlign val="baseline"/>
        <sz val="11"/>
        <color theme="1"/>
        <name val="Calibri"/>
        <scheme val="none"/>
      </font>
      <fill>
        <patternFill patternType="solid">
          <fgColor rgb="FFF2F2F2"/>
          <bgColor rgb="FFF2F2F2"/>
        </patternFill>
      </fill>
    </dxf>
    <dxf>
      <font>
        <b val="0"/>
        <i val="0"/>
        <strike val="0"/>
        <condense val="0"/>
        <extend val="0"/>
        <outline val="0"/>
        <shadow val="0"/>
        <u val="none"/>
        <vertAlign val="baseline"/>
        <sz val="11"/>
        <color theme="1"/>
        <name val="Calibri"/>
        <scheme val="none"/>
      </font>
      <fill>
        <patternFill patternType="solid">
          <fgColor rgb="FFF2F2F2"/>
          <bgColor rgb="FFF2F2F2"/>
        </patternFill>
      </fill>
    </dxf>
    <dxf>
      <font>
        <b val="0"/>
        <i val="0"/>
        <strike val="0"/>
        <condense val="0"/>
        <extend val="0"/>
        <outline val="0"/>
        <shadow val="0"/>
        <u val="none"/>
        <vertAlign val="baseline"/>
        <sz val="11"/>
        <color theme="0"/>
        <name val="Calibri"/>
        <scheme val="none"/>
      </font>
      <fill>
        <patternFill patternType="solid">
          <fgColor rgb="FF339966"/>
          <bgColor rgb="FF339966"/>
        </patternFill>
      </fill>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ill>
        <patternFill patternType="solid">
          <fgColor rgb="FFFFFF00"/>
          <bgColor rgb="FFFFFF00"/>
        </patternFill>
      </fill>
    </dxf>
    <dxf>
      <fill>
        <patternFill patternType="solid">
          <fgColor rgb="FFFFFFFF"/>
          <bgColor rgb="FFFFFFFF"/>
        </patternFill>
      </fill>
    </dxf>
    <dxf>
      <fill>
        <patternFill patternType="solid">
          <fgColor rgb="FFF2F2F2"/>
          <bgColor rgb="FFF2F2F2"/>
        </patternFill>
      </fill>
    </dxf>
    <dxf>
      <fill>
        <patternFill patternType="solid">
          <fgColor rgb="FF339966"/>
          <bgColor rgb="FF339966"/>
        </patternFill>
      </fill>
    </dxf>
    <dxf>
      <fill>
        <patternFill patternType="solid">
          <fgColor rgb="FFFFFFFF"/>
          <bgColor rgb="FFFFFFFF"/>
        </patternFill>
      </fill>
    </dxf>
    <dxf>
      <fill>
        <patternFill patternType="solid">
          <fgColor rgb="FFF2F2F2"/>
          <bgColor rgb="FFF2F2F2"/>
        </patternFill>
      </fill>
    </dxf>
    <dxf>
      <fill>
        <patternFill patternType="solid">
          <fgColor rgb="FF339966"/>
          <bgColor rgb="FF339966"/>
        </patternFill>
      </fill>
    </dxf>
    <dxf>
      <fill>
        <patternFill patternType="solid">
          <fgColor rgb="FFFFFFFF"/>
          <bgColor rgb="FFFFFFFF"/>
        </patternFill>
      </fill>
    </dxf>
    <dxf>
      <fill>
        <patternFill patternType="solid">
          <fgColor rgb="FFF2F2F2"/>
          <bgColor rgb="FFF2F2F2"/>
        </patternFill>
      </fill>
    </dxf>
    <dxf>
      <fill>
        <patternFill patternType="solid">
          <fgColor rgb="FF339966"/>
          <bgColor rgb="FF339966"/>
        </patternFill>
      </fill>
    </dxf>
    <dxf>
      <fill>
        <patternFill patternType="solid">
          <fgColor rgb="FFFFFFFF"/>
          <bgColor rgb="FFFFFFFF"/>
        </patternFill>
      </fill>
    </dxf>
    <dxf>
      <fill>
        <patternFill patternType="solid">
          <fgColor rgb="FFF2F2F2"/>
          <bgColor rgb="FFF2F2F2"/>
        </patternFill>
      </fill>
    </dxf>
    <dxf>
      <fill>
        <patternFill patternType="solid">
          <fgColor rgb="FF339966"/>
          <bgColor rgb="FF339966"/>
        </patternFill>
      </fill>
    </dxf>
    <dxf>
      <fill>
        <patternFill patternType="solid">
          <fgColor rgb="FFFFFFFF"/>
          <bgColor rgb="FFFFFFFF"/>
        </patternFill>
      </fill>
    </dxf>
    <dxf>
      <fill>
        <patternFill patternType="solid">
          <fgColor rgb="FFF2F2F2"/>
          <bgColor rgb="FFF2F2F2"/>
        </patternFill>
      </fill>
    </dxf>
    <dxf>
      <fill>
        <patternFill patternType="solid">
          <fgColor rgb="FF339966"/>
          <bgColor rgb="FF339966"/>
        </patternFill>
      </fill>
    </dxf>
    <dxf>
      <fill>
        <patternFill patternType="solid">
          <fgColor rgb="FFFFFFFF"/>
          <bgColor rgb="FFFFFFFF"/>
        </patternFill>
      </fill>
    </dxf>
    <dxf>
      <fill>
        <patternFill patternType="solid">
          <fgColor rgb="FFF2F2F2"/>
          <bgColor rgb="FFF2F2F2"/>
        </patternFill>
      </fill>
    </dxf>
    <dxf>
      <fill>
        <patternFill patternType="solid">
          <fgColor rgb="FF339966"/>
          <bgColor rgb="FF339966"/>
        </patternFill>
      </fill>
    </dxf>
    <dxf>
      <fill>
        <patternFill patternType="solid">
          <fgColor rgb="FFFFFFFF"/>
          <bgColor rgb="FFFFFFFF"/>
        </patternFill>
      </fill>
    </dxf>
    <dxf>
      <fill>
        <patternFill patternType="solid">
          <fgColor rgb="FFF2F2F2"/>
          <bgColor rgb="FFF2F2F2"/>
        </patternFill>
      </fill>
    </dxf>
    <dxf>
      <fill>
        <patternFill patternType="solid">
          <fgColor rgb="FF339966"/>
          <bgColor rgb="FF339966"/>
        </patternFill>
      </fill>
    </dxf>
    <dxf>
      <fill>
        <patternFill patternType="solid">
          <fgColor rgb="FFFFFFFF"/>
          <bgColor rgb="FFFFFFFF"/>
        </patternFill>
      </fill>
    </dxf>
    <dxf>
      <fill>
        <patternFill patternType="solid">
          <fgColor rgb="FFF2F2F2"/>
          <bgColor rgb="FFF2F2F2"/>
        </patternFill>
      </fill>
    </dxf>
    <dxf>
      <fill>
        <patternFill patternType="solid">
          <fgColor rgb="FF339966"/>
          <bgColor rgb="FF339966"/>
        </patternFill>
      </fill>
    </dxf>
    <dxf>
      <fill>
        <patternFill patternType="solid">
          <fgColor rgb="FFFFFFFF"/>
          <bgColor rgb="FFFFFFFF"/>
        </patternFill>
      </fill>
    </dxf>
    <dxf>
      <fill>
        <patternFill patternType="solid">
          <fgColor rgb="FFF2F2F2"/>
          <bgColor rgb="FFF2F2F2"/>
        </patternFill>
      </fill>
    </dxf>
    <dxf>
      <fill>
        <patternFill patternType="solid">
          <fgColor rgb="FF339966"/>
          <bgColor rgb="FF339966"/>
        </patternFill>
      </fill>
    </dxf>
    <dxf>
      <fill>
        <patternFill patternType="solid">
          <fgColor rgb="FFFFFFFF"/>
          <bgColor rgb="FFFFFFFF"/>
        </patternFill>
      </fill>
    </dxf>
    <dxf>
      <fill>
        <patternFill patternType="solid">
          <fgColor rgb="FFF2F2F2"/>
          <bgColor rgb="FFF2F2F2"/>
        </patternFill>
      </fill>
    </dxf>
    <dxf>
      <fill>
        <patternFill patternType="solid">
          <fgColor rgb="FF339966"/>
          <bgColor rgb="FF339966"/>
        </patternFill>
      </fill>
    </dxf>
    <dxf>
      <fill>
        <patternFill patternType="solid">
          <fgColor rgb="FFFFFFFF"/>
          <bgColor rgb="FFFFFFFF"/>
        </patternFill>
      </fill>
    </dxf>
    <dxf>
      <fill>
        <patternFill patternType="solid">
          <fgColor rgb="FFF2F2F2"/>
          <bgColor rgb="FFF2F2F2"/>
        </patternFill>
      </fill>
    </dxf>
    <dxf>
      <fill>
        <patternFill patternType="solid">
          <fgColor rgb="FF339966"/>
          <bgColor rgb="FF339966"/>
        </patternFill>
      </fill>
    </dxf>
  </dxfs>
  <tableStyles count="11">
    <tableStyle name="5. Sort &amp; filter-style" pivot="0" count="3" xr9:uid="{00000000-0011-0000-FFFF-FFFF00000000}">
      <tableStyleElement type="headerRow" dxfId="43"/>
      <tableStyleElement type="firstRowStripe" dxfId="42"/>
      <tableStyleElement type="secondRowStripe" dxfId="41"/>
    </tableStyle>
    <tableStyle name="5. Sort &amp; filter-style 2" pivot="0" count="3" xr9:uid="{00000000-0011-0000-FFFF-FFFF01000000}">
      <tableStyleElement type="headerRow" dxfId="40"/>
      <tableStyleElement type="firstRowStripe" dxfId="39"/>
      <tableStyleElement type="secondRowStripe" dxfId="38"/>
    </tableStyle>
    <tableStyle name="6. Tables-style" pivot="0" count="3" xr9:uid="{00000000-0011-0000-FFFF-FFFF02000000}">
      <tableStyleElement type="headerRow" dxfId="37"/>
      <tableStyleElement type="firstRowStripe" dxfId="36"/>
      <tableStyleElement type="secondRowStripe" dxfId="35"/>
    </tableStyle>
    <tableStyle name="6. Tables-style 2" pivot="0" count="3" xr9:uid="{00000000-0011-0000-FFFF-FFFF03000000}">
      <tableStyleElement type="headerRow" dxfId="34"/>
      <tableStyleElement type="firstRowStripe" dxfId="33"/>
      <tableStyleElement type="secondRowStripe" dxfId="32"/>
    </tableStyle>
    <tableStyle name="8. Analyze-style" pivot="0" count="3" xr9:uid="{00000000-0011-0000-FFFF-FFFF04000000}">
      <tableStyleElement type="headerRow" dxfId="31"/>
      <tableStyleElement type="firstRowStripe" dxfId="30"/>
      <tableStyleElement type="secondRowStripe" dxfId="29"/>
    </tableStyle>
    <tableStyle name="8. Analyze-style 2" pivot="0" count="3" xr9:uid="{00000000-0011-0000-FFFF-FFFF05000000}">
      <tableStyleElement type="headerRow" dxfId="28"/>
      <tableStyleElement type="firstRowStripe" dxfId="27"/>
      <tableStyleElement type="secondRowStripe" dxfId="26"/>
    </tableStyle>
    <tableStyle name="8. Analyze-style 3" pivot="0" count="3" xr9:uid="{00000000-0011-0000-FFFF-FFFF06000000}">
      <tableStyleElement type="headerRow" dxfId="25"/>
      <tableStyleElement type="firstRowStripe" dxfId="24"/>
      <tableStyleElement type="secondRowStripe" dxfId="23"/>
    </tableStyle>
    <tableStyle name="9. Charts-style" pivot="0" count="3" xr9:uid="{00000000-0011-0000-FFFF-FFFF07000000}">
      <tableStyleElement type="headerRow" dxfId="22"/>
      <tableStyleElement type="firstRowStripe" dxfId="21"/>
      <tableStyleElement type="secondRowStripe" dxfId="20"/>
    </tableStyle>
    <tableStyle name="9. Charts-style 2" pivot="0" count="3" xr9:uid="{00000000-0011-0000-FFFF-FFFF08000000}">
      <tableStyleElement type="headerRow" dxfId="19"/>
      <tableStyleElement type="firstRowStripe" dxfId="18"/>
      <tableStyleElement type="secondRowStripe" dxfId="17"/>
    </tableStyle>
    <tableStyle name="10. PivotTables-style" pivot="0" count="3" xr9:uid="{00000000-0011-0000-FFFF-FFFF09000000}">
      <tableStyleElement type="headerRow" dxfId="16"/>
      <tableStyleElement type="firstRowStripe" dxfId="15"/>
      <tableStyleElement type="secondRowStripe" dxfId="14"/>
    </tableStyle>
    <tableStyle name="10. PivotTables-style 2" pivot="0" count="3" xr9:uid="{00000000-0011-0000-FFFF-FFFF0A000000}">
      <tableStyleElement type="headerRow" dxfId="13"/>
      <tableStyleElement type="firstRowStripe" dxfId="12"/>
      <tableStyleElement type="secondRowStripe" dxfId="1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[Quick Tutorial for Excel (2) (1).xlsx]Sheet1!PivotTable6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Sum of Nov by Department</a:t>
            </a:r>
          </a:p>
        </c:rich>
      </c:tx>
      <c:layout>
        <c:manualLayout>
          <c:xMode val="edge"/>
          <c:yMode val="edge"/>
          <c:x val="1.569335083114609E-3"/>
          <c:y val="3.6089238845144378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Sheet1!$A$4:$A$7</c:f>
              <c:strCache>
                <c:ptCount val="4"/>
                <c:pt idx="0">
                  <c:v>Bakery</c:v>
                </c:pt>
                <c:pt idx="1">
                  <c:v>Deli</c:v>
                </c:pt>
                <c:pt idx="2">
                  <c:v>Meat</c:v>
                </c:pt>
                <c:pt idx="3">
                  <c:v>Produce</c:v>
                </c:pt>
              </c:strCache>
            </c:strRef>
          </c:cat>
          <c:val>
            <c:numRef>
              <c:f>Sheet1!$B$4:$B$7</c:f>
              <c:numCache>
                <c:formatCode>General</c:formatCode>
                <c:ptCount val="4"/>
                <c:pt idx="0">
                  <c:v>95000</c:v>
                </c:pt>
                <c:pt idx="1">
                  <c:v>75000</c:v>
                </c:pt>
                <c:pt idx="2">
                  <c:v>192000</c:v>
                </c:pt>
                <c:pt idx="3">
                  <c:v>110000</c:v>
                </c:pt>
              </c:numCache>
            </c:numRef>
          </c:val>
          <c:extLst>
            <c:ext xmlns:c16="http://schemas.microsoft.com/office/drawing/2014/chart" uri="{C3380CC4-5D6E-409C-BE32-E72D297353CC}">
              <c16:uniqueId val="{00000000-C46A-4226-AC48-B0EEFEACCC28}"/>
            </c:ext>
          </c:extLst>
        </c:ser>
        <c:dLbls>
          <c:showLegendKey val="0"/>
          <c:showVal val="0"/>
          <c:showCatName val="0"/>
          <c:showSerName val="0"/>
          <c:showPercent val="0"/>
          <c:showBubbleSize val="0"/>
        </c:dLbls>
        <c:gapWidth val="219"/>
        <c:overlap val="-27"/>
        <c:axId val="587277912"/>
        <c:axId val="593126336"/>
      </c:barChart>
      <c:catAx>
        <c:axId val="587277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126336"/>
        <c:crosses val="autoZero"/>
        <c:auto val="1"/>
        <c:lblAlgn val="ctr"/>
        <c:lblOffset val="100"/>
        <c:noMultiLvlLbl val="0"/>
      </c:catAx>
      <c:valAx>
        <c:axId val="593126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2779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spPr>
            <a:solidFill>
              <a:srgbClr val="5B9BD5"/>
            </a:solidFill>
            <a:ln cmpd="sng">
              <a:solidFill>
                <a:srgbClr val="000000"/>
              </a:solidFill>
            </a:ln>
          </c:spPr>
          <c:invertIfNegative val="1"/>
          <c:cat>
            <c:numRef>
              <c:f>'9. Charts'!$D$68:$D$73</c:f>
              <c:numCache>
                <c:formatCode>General</c:formatCode>
                <c:ptCount val="6"/>
                <c:pt idx="0">
                  <c:v>2018</c:v>
                </c:pt>
                <c:pt idx="1">
                  <c:v>2019</c:v>
                </c:pt>
                <c:pt idx="2">
                  <c:v>2020</c:v>
                </c:pt>
                <c:pt idx="3">
                  <c:v>2021</c:v>
                </c:pt>
                <c:pt idx="4">
                  <c:v>2022</c:v>
                </c:pt>
                <c:pt idx="5">
                  <c:v>2023</c:v>
                </c:pt>
              </c:numCache>
            </c:numRef>
          </c:cat>
          <c:val>
            <c:numRef>
              <c:f>'9. Charts'!$E$68:$E$73</c:f>
              <c:numCache>
                <c:formatCode>General</c:formatCode>
                <c:ptCount val="6"/>
                <c:pt idx="0">
                  <c:v>500</c:v>
                </c:pt>
                <c:pt idx="1">
                  <c:v>800</c:v>
                </c:pt>
                <c:pt idx="2">
                  <c:v>1000</c:v>
                </c:pt>
                <c:pt idx="3">
                  <c:v>900</c:v>
                </c:pt>
                <c:pt idx="4">
                  <c:v>1000</c:v>
                </c:pt>
                <c:pt idx="5">
                  <c:v>1200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BE19-4F39-820C-D07946C40958}"/>
            </c:ext>
          </c:extLst>
        </c:ser>
        <c:dLbls>
          <c:showLegendKey val="0"/>
          <c:showVal val="0"/>
          <c:showCatName val="0"/>
          <c:showSerName val="0"/>
          <c:showPercent val="0"/>
          <c:showBubbleSize val="0"/>
        </c:dLbls>
        <c:gapWidth val="150"/>
        <c:axId val="406551004"/>
        <c:axId val="1501760018"/>
      </c:barChart>
      <c:lineChart>
        <c:grouping val="standard"/>
        <c:varyColors val="0"/>
        <c:ser>
          <c:idx val="1"/>
          <c:order val="1"/>
          <c:spPr>
            <a:ln w="28575" cmpd="sng">
              <a:solidFill>
                <a:schemeClr val="accent2"/>
              </a:solidFill>
            </a:ln>
          </c:spPr>
          <c:marker>
            <c:symbol val="none"/>
          </c:marker>
          <c:cat>
            <c:numRef>
              <c:f>'9. Charts'!$D$68:$D$73</c:f>
              <c:numCache>
                <c:formatCode>General</c:formatCode>
                <c:ptCount val="6"/>
                <c:pt idx="0">
                  <c:v>2018</c:v>
                </c:pt>
                <c:pt idx="1">
                  <c:v>2019</c:v>
                </c:pt>
                <c:pt idx="2">
                  <c:v>2020</c:v>
                </c:pt>
                <c:pt idx="3">
                  <c:v>2021</c:v>
                </c:pt>
                <c:pt idx="4">
                  <c:v>2022</c:v>
                </c:pt>
                <c:pt idx="5">
                  <c:v>2023</c:v>
                </c:pt>
              </c:numCache>
            </c:numRef>
          </c:cat>
          <c:val>
            <c:numRef>
              <c:f>'9. Charts'!$F$68:$F$73</c:f>
              <c:numCache>
                <c:formatCode>"$"#,##0_);\("$"#,##0\)</c:formatCode>
                <c:ptCount val="6"/>
                <c:pt idx="0">
                  <c:v>5000</c:v>
                </c:pt>
                <c:pt idx="1">
                  <c:v>11200</c:v>
                </c:pt>
                <c:pt idx="2">
                  <c:v>30000</c:v>
                </c:pt>
                <c:pt idx="3">
                  <c:v>25000</c:v>
                </c:pt>
                <c:pt idx="4">
                  <c:v>5000</c:v>
                </c:pt>
                <c:pt idx="5">
                  <c:v>8000</c:v>
                </c:pt>
              </c:numCache>
            </c:numRef>
          </c:val>
          <c:smooth val="0"/>
          <c:extLst>
            <c:ext xmlns:c16="http://schemas.microsoft.com/office/drawing/2014/chart" uri="{C3380CC4-5D6E-409C-BE32-E72D297353CC}">
              <c16:uniqueId val="{00000001-BE19-4F39-820C-D07946C40958}"/>
            </c:ext>
          </c:extLst>
        </c:ser>
        <c:dLbls>
          <c:showLegendKey val="0"/>
          <c:showVal val="0"/>
          <c:showCatName val="0"/>
          <c:showSerName val="0"/>
          <c:showPercent val="0"/>
          <c:showBubbleSize val="0"/>
        </c:dLbls>
        <c:marker val="1"/>
        <c:smooth val="0"/>
        <c:axId val="406551004"/>
        <c:axId val="1501760018"/>
      </c:lineChart>
      <c:catAx>
        <c:axId val="406551004"/>
        <c:scaling>
          <c:orientation val="minMax"/>
        </c:scaling>
        <c:delete val="0"/>
        <c:axPos val="b"/>
        <c:title>
          <c:tx>
            <c:rich>
              <a:bodyPr/>
              <a:lstStyle/>
              <a:p>
                <a:pPr lvl="0">
                  <a:defRPr b="0">
                    <a:solidFill>
                      <a:srgbClr val="000000"/>
                    </a:solidFill>
                    <a:latin typeface="+mn-lt"/>
                  </a:defRPr>
                </a:pPr>
                <a:endParaRPr lang="en-IN"/>
              </a:p>
            </c:rich>
          </c:tx>
          <c:overlay val="0"/>
        </c:title>
        <c:numFmt formatCode="General" sourceLinked="1"/>
        <c:majorTickMark val="out"/>
        <c:minorTickMark val="none"/>
        <c:tickLblPos val="nextTo"/>
        <c:txPr>
          <a:bodyPr/>
          <a:lstStyle/>
          <a:p>
            <a:pPr lvl="0">
              <a:defRPr sz="1100" b="0" i="0">
                <a:solidFill>
                  <a:srgbClr val="000000"/>
                </a:solidFill>
                <a:latin typeface="+mn-lt"/>
              </a:defRPr>
            </a:pPr>
            <a:endParaRPr lang="en-US"/>
          </a:p>
        </c:txPr>
        <c:crossAx val="1501760018"/>
        <c:crosses val="autoZero"/>
        <c:auto val="1"/>
        <c:lblAlgn val="ctr"/>
        <c:lblOffset val="100"/>
        <c:noMultiLvlLbl val="1"/>
      </c:catAx>
      <c:valAx>
        <c:axId val="150176001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IN"/>
              </a:p>
            </c:rich>
          </c:tx>
          <c:overlay val="0"/>
        </c:title>
        <c:numFmt formatCode="General" sourceLinked="1"/>
        <c:majorTickMark val="none"/>
        <c:minorTickMark val="none"/>
        <c:tickLblPos val="nextTo"/>
        <c:spPr>
          <a:ln/>
        </c:spPr>
        <c:txPr>
          <a:bodyPr/>
          <a:lstStyle/>
          <a:p>
            <a:pPr lvl="0">
              <a:defRPr sz="1100" b="0" i="0">
                <a:solidFill>
                  <a:srgbClr val="000000"/>
                </a:solidFill>
                <a:latin typeface="+mn-lt"/>
              </a:defRPr>
            </a:pPr>
            <a:endParaRPr lang="en-US"/>
          </a:p>
        </c:txPr>
        <c:crossAx val="406551004"/>
        <c:crosses val="autoZero"/>
        <c:crossBetween val="between"/>
      </c:valAx>
    </c:plotArea>
    <c:legend>
      <c:legendPos val="b"/>
      <c:overlay val="0"/>
      <c:txPr>
        <a:bodyPr/>
        <a:lstStyle/>
        <a:p>
          <a:pPr lvl="0">
            <a:defRPr sz="11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spPr>
            <a:solidFill>
              <a:srgbClr val="5B9BD5"/>
            </a:solidFill>
            <a:ln cmpd="sng">
              <a:solidFill>
                <a:srgbClr val="000000"/>
              </a:solidFill>
            </a:ln>
          </c:spPr>
          <c:invertIfNegative val="1"/>
          <c:cat>
            <c:numRef>
              <c:f>'9. Charts'!$C$6:$C$11</c:f>
              <c:numCache>
                <c:formatCode>General</c:formatCode>
                <c:ptCount val="6"/>
                <c:pt idx="0">
                  <c:v>2018</c:v>
                </c:pt>
                <c:pt idx="1">
                  <c:v>2019</c:v>
                </c:pt>
                <c:pt idx="2">
                  <c:v>2020</c:v>
                </c:pt>
                <c:pt idx="3">
                  <c:v>2021</c:v>
                </c:pt>
                <c:pt idx="4">
                  <c:v>2022</c:v>
                </c:pt>
                <c:pt idx="5">
                  <c:v>2023</c:v>
                </c:pt>
              </c:numCache>
            </c:numRef>
          </c:cat>
          <c:val>
            <c:numRef>
              <c:f>'9. Charts'!$D$6:$D$11</c:f>
              <c:numCache>
                <c:formatCode>General</c:formatCode>
                <c:ptCount val="6"/>
                <c:pt idx="0">
                  <c:v>500</c:v>
                </c:pt>
                <c:pt idx="1">
                  <c:v>800</c:v>
                </c:pt>
                <c:pt idx="2">
                  <c:v>1000</c:v>
                </c:pt>
                <c:pt idx="3">
                  <c:v>900</c:v>
                </c:pt>
                <c:pt idx="4">
                  <c:v>1000</c:v>
                </c:pt>
                <c:pt idx="5">
                  <c:v>1200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27C8-4A24-9ED5-625CDD929085}"/>
            </c:ext>
          </c:extLst>
        </c:ser>
        <c:dLbls>
          <c:showLegendKey val="0"/>
          <c:showVal val="0"/>
          <c:showCatName val="0"/>
          <c:showSerName val="0"/>
          <c:showPercent val="0"/>
          <c:showBubbleSize val="0"/>
        </c:dLbls>
        <c:gapWidth val="150"/>
        <c:axId val="102357730"/>
        <c:axId val="1920298943"/>
      </c:barChart>
      <c:catAx>
        <c:axId val="102357730"/>
        <c:scaling>
          <c:orientation val="minMax"/>
        </c:scaling>
        <c:delete val="0"/>
        <c:axPos val="b"/>
        <c:title>
          <c:tx>
            <c:rich>
              <a:bodyPr/>
              <a:lstStyle/>
              <a:p>
                <a:pPr lvl="0">
                  <a:defRPr b="0">
                    <a:solidFill>
                      <a:srgbClr val="000000"/>
                    </a:solidFill>
                    <a:latin typeface="+mn-lt"/>
                  </a:defRPr>
                </a:pPr>
                <a:endParaRPr lang="en-IN"/>
              </a:p>
            </c:rich>
          </c:tx>
          <c:overlay val="0"/>
        </c:title>
        <c:numFmt formatCode="General" sourceLinked="1"/>
        <c:majorTickMark val="none"/>
        <c:minorTickMark val="none"/>
        <c:tickLblPos val="nextTo"/>
        <c:txPr>
          <a:bodyPr/>
          <a:lstStyle/>
          <a:p>
            <a:pPr lvl="0">
              <a:defRPr sz="1100" b="0" i="0">
                <a:solidFill>
                  <a:srgbClr val="000000"/>
                </a:solidFill>
                <a:latin typeface="+mn-lt"/>
              </a:defRPr>
            </a:pPr>
            <a:endParaRPr lang="en-US"/>
          </a:p>
        </c:txPr>
        <c:crossAx val="1920298943"/>
        <c:crosses val="autoZero"/>
        <c:auto val="1"/>
        <c:lblAlgn val="ctr"/>
        <c:lblOffset val="100"/>
        <c:noMultiLvlLbl val="1"/>
      </c:catAx>
      <c:valAx>
        <c:axId val="1920298943"/>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IN"/>
              </a:p>
            </c:rich>
          </c:tx>
          <c:overlay val="0"/>
        </c:title>
        <c:numFmt formatCode="General" sourceLinked="1"/>
        <c:majorTickMark val="none"/>
        <c:minorTickMark val="none"/>
        <c:tickLblPos val="nextTo"/>
        <c:spPr>
          <a:ln/>
        </c:spPr>
        <c:txPr>
          <a:bodyPr/>
          <a:lstStyle/>
          <a:p>
            <a:pPr lvl="0">
              <a:defRPr sz="1100" b="0" i="0">
                <a:solidFill>
                  <a:srgbClr val="000000"/>
                </a:solidFill>
                <a:latin typeface="+mn-lt"/>
              </a:defRPr>
            </a:pPr>
            <a:endParaRPr lang="en-US"/>
          </a:p>
        </c:txPr>
        <c:crossAx val="102357730"/>
        <c:crosses val="autoZero"/>
        <c:crossBetween val="between"/>
      </c:valAx>
    </c:plotArea>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246981627296588"/>
          <c:y val="0.17634259259259263"/>
          <c:w val="0.87753018372703417"/>
          <c:h val="0.72088764946048411"/>
        </c:manualLayout>
      </c:layout>
      <c:barChart>
        <c:barDir val="col"/>
        <c:grouping val="clustered"/>
        <c:varyColors val="0"/>
        <c:ser>
          <c:idx val="0"/>
          <c:order val="0"/>
          <c:tx>
            <c:strRef>
              <c:f>'9. Charts'!$D$5</c:f>
              <c:strCache>
                <c:ptCount val="1"/>
                <c:pt idx="0">
                  <c:v>Conference attendance</c:v>
                </c:pt>
              </c:strCache>
            </c:strRef>
          </c:tx>
          <c:spPr>
            <a:solidFill>
              <a:schemeClr val="accent1"/>
            </a:solidFill>
            <a:ln>
              <a:noFill/>
            </a:ln>
            <a:effectLst/>
          </c:spPr>
          <c:invertIfNegative val="0"/>
          <c:trendline>
            <c:spPr>
              <a:ln w="19050" cap="rnd">
                <a:solidFill>
                  <a:schemeClr val="accent1"/>
                </a:solidFill>
                <a:prstDash val="sysDot"/>
              </a:ln>
              <a:effectLst/>
            </c:spPr>
            <c:trendlineType val="linear"/>
            <c:dispRSqr val="0"/>
            <c:dispEq val="0"/>
          </c:trendline>
          <c:cat>
            <c:numRef>
              <c:f>'9. Charts'!$C$6:$C$11</c:f>
              <c:numCache>
                <c:formatCode>General</c:formatCode>
                <c:ptCount val="6"/>
                <c:pt idx="0">
                  <c:v>2018</c:v>
                </c:pt>
                <c:pt idx="1">
                  <c:v>2019</c:v>
                </c:pt>
                <c:pt idx="2">
                  <c:v>2020</c:v>
                </c:pt>
                <c:pt idx="3">
                  <c:v>2021</c:v>
                </c:pt>
                <c:pt idx="4">
                  <c:v>2022</c:v>
                </c:pt>
                <c:pt idx="5">
                  <c:v>2023</c:v>
                </c:pt>
              </c:numCache>
            </c:numRef>
          </c:cat>
          <c:val>
            <c:numRef>
              <c:f>'9. Charts'!$D$6:$D$11</c:f>
              <c:numCache>
                <c:formatCode>General</c:formatCode>
                <c:ptCount val="6"/>
                <c:pt idx="0">
                  <c:v>500</c:v>
                </c:pt>
                <c:pt idx="1">
                  <c:v>800</c:v>
                </c:pt>
                <c:pt idx="2">
                  <c:v>1000</c:v>
                </c:pt>
                <c:pt idx="3">
                  <c:v>900</c:v>
                </c:pt>
                <c:pt idx="4">
                  <c:v>1000</c:v>
                </c:pt>
                <c:pt idx="5">
                  <c:v>1200</c:v>
                </c:pt>
              </c:numCache>
            </c:numRef>
          </c:val>
          <c:extLst>
            <c:ext xmlns:c16="http://schemas.microsoft.com/office/drawing/2014/chart" uri="{C3380CC4-5D6E-409C-BE32-E72D297353CC}">
              <c16:uniqueId val="{00000000-8F47-474B-A003-CB87AA853430}"/>
            </c:ext>
          </c:extLst>
        </c:ser>
        <c:dLbls>
          <c:showLegendKey val="0"/>
          <c:showVal val="0"/>
          <c:showCatName val="0"/>
          <c:showSerName val="0"/>
          <c:showPercent val="0"/>
          <c:showBubbleSize val="0"/>
        </c:dLbls>
        <c:gapWidth val="219"/>
        <c:overlap val="-27"/>
        <c:axId val="593143256"/>
        <c:axId val="593138216"/>
      </c:barChart>
      <c:catAx>
        <c:axId val="593143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138216"/>
        <c:crosses val="autoZero"/>
        <c:auto val="1"/>
        <c:lblAlgn val="ctr"/>
        <c:lblOffset val="100"/>
        <c:noMultiLvlLbl val="0"/>
      </c:catAx>
      <c:valAx>
        <c:axId val="593138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1432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42060411198600178"/>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'9. Charts'!$D$67</c:f>
              <c:strCache>
                <c:ptCount val="1"/>
                <c:pt idx="0">
                  <c:v>Date</c:v>
                </c:pt>
              </c:strCache>
            </c:strRef>
          </c:tx>
          <c:spPr>
            <a:solidFill>
              <a:schemeClr val="accent1"/>
            </a:solidFill>
            <a:ln>
              <a:noFill/>
            </a:ln>
            <a:effectLst/>
          </c:spPr>
          <c:invertIfNegative val="0"/>
          <c:val>
            <c:numRef>
              <c:f>'9. Charts'!$D$68:$D$73</c:f>
              <c:numCache>
                <c:formatCode>General</c:formatCode>
                <c:ptCount val="6"/>
                <c:pt idx="0">
                  <c:v>2018</c:v>
                </c:pt>
                <c:pt idx="1">
                  <c:v>2019</c:v>
                </c:pt>
                <c:pt idx="2">
                  <c:v>2020</c:v>
                </c:pt>
                <c:pt idx="3">
                  <c:v>2021</c:v>
                </c:pt>
                <c:pt idx="4">
                  <c:v>2022</c:v>
                </c:pt>
                <c:pt idx="5">
                  <c:v>2023</c:v>
                </c:pt>
              </c:numCache>
            </c:numRef>
          </c:val>
          <c:extLst>
            <c:ext xmlns:c16="http://schemas.microsoft.com/office/drawing/2014/chart" uri="{C3380CC4-5D6E-409C-BE32-E72D297353CC}">
              <c16:uniqueId val="{00000000-087E-403F-BB2F-B8C68EE9E365}"/>
            </c:ext>
          </c:extLst>
        </c:ser>
        <c:ser>
          <c:idx val="1"/>
          <c:order val="1"/>
          <c:tx>
            <c:strRef>
              <c:f>'9. Charts'!$E$67</c:f>
              <c:strCache>
                <c:ptCount val="1"/>
                <c:pt idx="0">
                  <c:v>Conference attendance</c:v>
                </c:pt>
              </c:strCache>
            </c:strRef>
          </c:tx>
          <c:spPr>
            <a:solidFill>
              <a:schemeClr val="accent2"/>
            </a:solidFill>
            <a:ln>
              <a:noFill/>
            </a:ln>
            <a:effectLst/>
          </c:spPr>
          <c:invertIfNegative val="0"/>
          <c:val>
            <c:numRef>
              <c:f>'9. Charts'!$E$68:$E$73</c:f>
              <c:numCache>
                <c:formatCode>General</c:formatCode>
                <c:ptCount val="6"/>
                <c:pt idx="0">
                  <c:v>500</c:v>
                </c:pt>
                <c:pt idx="1">
                  <c:v>800</c:v>
                </c:pt>
                <c:pt idx="2">
                  <c:v>1000</c:v>
                </c:pt>
                <c:pt idx="3">
                  <c:v>900</c:v>
                </c:pt>
                <c:pt idx="4">
                  <c:v>1000</c:v>
                </c:pt>
                <c:pt idx="5">
                  <c:v>1200</c:v>
                </c:pt>
              </c:numCache>
            </c:numRef>
          </c:val>
          <c:extLst>
            <c:ext xmlns:c16="http://schemas.microsoft.com/office/drawing/2014/chart" uri="{C3380CC4-5D6E-409C-BE32-E72D297353CC}">
              <c16:uniqueId val="{00000001-087E-403F-BB2F-B8C68EE9E365}"/>
            </c:ext>
          </c:extLst>
        </c:ser>
        <c:dLbls>
          <c:showLegendKey val="0"/>
          <c:showVal val="0"/>
          <c:showCatName val="0"/>
          <c:showSerName val="0"/>
          <c:showPercent val="0"/>
          <c:showBubbleSize val="0"/>
        </c:dLbls>
        <c:gapWidth val="219"/>
        <c:overlap val="-27"/>
        <c:axId val="593149736"/>
        <c:axId val="593147216"/>
      </c:barChart>
      <c:lineChart>
        <c:grouping val="standard"/>
        <c:varyColors val="0"/>
        <c:ser>
          <c:idx val="2"/>
          <c:order val="2"/>
          <c:tx>
            <c:strRef>
              <c:f>'9. Charts'!$F$67</c:f>
              <c:strCache>
                <c:ptCount val="1"/>
                <c:pt idx="0">
                  <c:v>Food sales</c:v>
                </c:pt>
              </c:strCache>
            </c:strRef>
          </c:tx>
          <c:spPr>
            <a:ln w="28575" cap="rnd">
              <a:solidFill>
                <a:schemeClr val="accent3"/>
              </a:solidFill>
              <a:round/>
            </a:ln>
            <a:effectLst/>
          </c:spPr>
          <c:marker>
            <c:symbol val="none"/>
          </c:marker>
          <c:val>
            <c:numRef>
              <c:f>'9. Charts'!$F$68:$F$73</c:f>
              <c:numCache>
                <c:formatCode>"$"#,##0_);\("$"#,##0\)</c:formatCode>
                <c:ptCount val="6"/>
                <c:pt idx="0">
                  <c:v>5000</c:v>
                </c:pt>
                <c:pt idx="1">
                  <c:v>11200</c:v>
                </c:pt>
                <c:pt idx="2">
                  <c:v>30000</c:v>
                </c:pt>
                <c:pt idx="3">
                  <c:v>25000</c:v>
                </c:pt>
                <c:pt idx="4">
                  <c:v>5000</c:v>
                </c:pt>
                <c:pt idx="5">
                  <c:v>8000</c:v>
                </c:pt>
              </c:numCache>
            </c:numRef>
          </c:val>
          <c:smooth val="0"/>
          <c:extLst>
            <c:ext xmlns:c16="http://schemas.microsoft.com/office/drawing/2014/chart" uri="{C3380CC4-5D6E-409C-BE32-E72D297353CC}">
              <c16:uniqueId val="{00000002-087E-403F-BB2F-B8C68EE9E365}"/>
            </c:ext>
          </c:extLst>
        </c:ser>
        <c:dLbls>
          <c:showLegendKey val="0"/>
          <c:showVal val="0"/>
          <c:showCatName val="0"/>
          <c:showSerName val="0"/>
          <c:showPercent val="0"/>
          <c:showBubbleSize val="0"/>
        </c:dLbls>
        <c:marker val="1"/>
        <c:smooth val="0"/>
        <c:axId val="593135696"/>
        <c:axId val="593134976"/>
      </c:lineChart>
      <c:catAx>
        <c:axId val="59314973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147216"/>
        <c:crosses val="autoZero"/>
        <c:auto val="1"/>
        <c:lblAlgn val="ctr"/>
        <c:lblOffset val="100"/>
        <c:noMultiLvlLbl val="0"/>
      </c:catAx>
      <c:valAx>
        <c:axId val="593147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149736"/>
        <c:crosses val="autoZero"/>
        <c:crossBetween val="between"/>
      </c:valAx>
      <c:valAx>
        <c:axId val="593134976"/>
        <c:scaling>
          <c:orientation val="minMax"/>
        </c:scaling>
        <c:delete val="0"/>
        <c:axPos val="r"/>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135696"/>
        <c:crosses val="max"/>
        <c:crossBetween val="between"/>
      </c:valAx>
      <c:catAx>
        <c:axId val="593135696"/>
        <c:scaling>
          <c:orientation val="minMax"/>
        </c:scaling>
        <c:delete val="1"/>
        <c:axPos val="b"/>
        <c:majorTickMark val="out"/>
        <c:minorTickMark val="none"/>
        <c:tickLblPos val="nextTo"/>
        <c:crossAx val="59313497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6.png"/><Relationship Id="rId3" Type="http://schemas.openxmlformats.org/officeDocument/2006/relationships/hyperlink" Target="https://go.microsoft.com/fwlink/?linkid=844719" TargetMode="External"/><Relationship Id="rId7" Type="http://schemas.openxmlformats.org/officeDocument/2006/relationships/hyperlink" Target="https://go.microsoft.com/fwlink/?linkid=844737" TargetMode="External"/><Relationship Id="rId12" Type="http://schemas.openxmlformats.org/officeDocument/2006/relationships/image" Target="../media/image5.png"/><Relationship Id="rId2" Type="http://schemas.openxmlformats.org/officeDocument/2006/relationships/hyperlink" Target="#'2.%20Fill'!A1"/><Relationship Id="rId1" Type="http://schemas.openxmlformats.org/officeDocument/2006/relationships/hyperlink" Target="#'1.%20Add'!A1"/><Relationship Id="rId6" Type="http://schemas.openxmlformats.org/officeDocument/2006/relationships/hyperlink" Target="https://go.microsoft.com/fwlink/?linkid=844732" TargetMode="External"/><Relationship Id="rId11" Type="http://schemas.openxmlformats.org/officeDocument/2006/relationships/image" Target="../media/image4.png"/><Relationship Id="rId5" Type="http://schemas.openxmlformats.org/officeDocument/2006/relationships/hyperlink" Target="https://go.microsoft.com/fwlink/?linkid=844727" TargetMode="External"/><Relationship Id="rId10" Type="http://schemas.openxmlformats.org/officeDocument/2006/relationships/image" Target="../media/image3.png"/><Relationship Id="rId4" Type="http://schemas.openxmlformats.org/officeDocument/2006/relationships/image" Target="../media/image1.png"/><Relationship Id="rId9" Type="http://schemas.openxmlformats.org/officeDocument/2006/relationships/hyperlink" Target="#'10.%20PivotTables'!A1"/></Relationships>
</file>

<file path=xl/drawings/_rels/drawing2.xml.rels><?xml version="1.0" encoding="UTF-8" standalone="yes"?>
<Relationships xmlns="http://schemas.openxmlformats.org/package/2006/relationships"><Relationship Id="rId8" Type="http://schemas.openxmlformats.org/officeDocument/2006/relationships/hyperlink" Target="https://go.microsoft.com/fwlink/?linkid=844745" TargetMode="External"/><Relationship Id="rId3" Type="http://schemas.openxmlformats.org/officeDocument/2006/relationships/image" Target="../media/image2.png"/><Relationship Id="rId7" Type="http://schemas.openxmlformats.org/officeDocument/2006/relationships/image" Target="../media/image1.png"/><Relationship Id="rId2" Type="http://schemas.openxmlformats.org/officeDocument/2006/relationships/image" Target="../media/image5.png"/><Relationship Id="rId1" Type="http://schemas.openxmlformats.org/officeDocument/2006/relationships/hyperlink" Target="#'3.%20Split'!A1"/><Relationship Id="rId6" Type="http://schemas.openxmlformats.org/officeDocument/2006/relationships/hyperlink" Target="https://go.microsoft.com/fwlink/?linkid=844741" TargetMode="External"/><Relationship Id="rId5" Type="http://schemas.openxmlformats.org/officeDocument/2006/relationships/hyperlink" Target="#'2.%20Fill'!A1"/><Relationship Id="rId10" Type="http://schemas.openxmlformats.org/officeDocument/2006/relationships/image" Target="../media/image9.png"/><Relationship Id="rId4" Type="http://schemas.openxmlformats.org/officeDocument/2006/relationships/image" Target="../media/image7.png"/><Relationship Id="rId9" Type="http://schemas.openxmlformats.org/officeDocument/2006/relationships/image" Target="../media/image8.png"/></Relationships>
</file>

<file path=xl/drawings/_rels/drawing3.xml.rels><?xml version="1.0" encoding="UTF-8" standalone="yes"?>
<Relationships xmlns="http://schemas.openxmlformats.org/package/2006/relationships"><Relationship Id="rId8" Type="http://schemas.openxmlformats.org/officeDocument/2006/relationships/hyperlink" Target="https://go.microsoft.com/fwlink/?linkid=844733" TargetMode="External"/><Relationship Id="rId3" Type="http://schemas.openxmlformats.org/officeDocument/2006/relationships/hyperlink" Target="#'4.%20Transpose'!A1"/><Relationship Id="rId7" Type="http://schemas.openxmlformats.org/officeDocument/2006/relationships/hyperlink" Target="https://go.microsoft.com/fwlink/?linkid=844729" TargetMode="External"/><Relationship Id="rId12" Type="http://schemas.openxmlformats.org/officeDocument/2006/relationships/image" Target="../media/image11.png"/><Relationship Id="rId2" Type="http://schemas.openxmlformats.org/officeDocument/2006/relationships/hyperlink" Target="#'3.%20Split'!A1"/><Relationship Id="rId1" Type="http://schemas.openxmlformats.org/officeDocument/2006/relationships/image" Target="../media/image2.png"/><Relationship Id="rId6" Type="http://schemas.openxmlformats.org/officeDocument/2006/relationships/hyperlink" Target="https://go.microsoft.com/fwlink/?linkid=844751" TargetMode="External"/><Relationship Id="rId11" Type="http://schemas.openxmlformats.org/officeDocument/2006/relationships/image" Target="../media/image10.png"/><Relationship Id="rId5" Type="http://schemas.openxmlformats.org/officeDocument/2006/relationships/image" Target="../media/image1.png"/><Relationship Id="rId10" Type="http://schemas.openxmlformats.org/officeDocument/2006/relationships/hyperlink" Target="https://go.microsoft.com/fwlink/?linkid=844740" TargetMode="External"/><Relationship Id="rId4" Type="http://schemas.openxmlformats.org/officeDocument/2006/relationships/hyperlink" Target="https://go.microsoft.com/fwlink/?linkid=844748" TargetMode="External"/><Relationship Id="rId9" Type="http://schemas.openxmlformats.org/officeDocument/2006/relationships/hyperlink" Target="https://go.microsoft.com/fwlink/?linkid=844736" TargetMode="External"/></Relationships>
</file>

<file path=xl/drawings/_rels/drawing4.xml.rels><?xml version="1.0" encoding="UTF-8" standalone="yes"?>
<Relationships xmlns="http://schemas.openxmlformats.org/package/2006/relationships"><Relationship Id="rId8" Type="http://schemas.openxmlformats.org/officeDocument/2006/relationships/hyperlink" Target="https://go.microsoft.com/fwlink/?linkid=844752" TargetMode="External"/><Relationship Id="rId3" Type="http://schemas.openxmlformats.org/officeDocument/2006/relationships/image" Target="../media/image13.png"/><Relationship Id="rId7" Type="http://schemas.openxmlformats.org/officeDocument/2006/relationships/hyperlink" Target="https://go.microsoft.com/fwlink/?linkid=844747" TargetMode="External"/><Relationship Id="rId2" Type="http://schemas.openxmlformats.org/officeDocument/2006/relationships/image" Target="../media/image12.png"/><Relationship Id="rId1" Type="http://schemas.openxmlformats.org/officeDocument/2006/relationships/hyperlink" Target="#'5.%20Sort%20&amp;%20filter'!A1"/><Relationship Id="rId6" Type="http://schemas.openxmlformats.org/officeDocument/2006/relationships/image" Target="../media/image1.png"/><Relationship Id="rId5" Type="http://schemas.openxmlformats.org/officeDocument/2006/relationships/hyperlink" Target="https://go.microsoft.com/fwlink/?linkid=844743" TargetMode="External"/><Relationship Id="rId10" Type="http://schemas.openxmlformats.org/officeDocument/2006/relationships/image" Target="../media/image15.png"/><Relationship Id="rId4" Type="http://schemas.openxmlformats.org/officeDocument/2006/relationships/hyperlink" Target="#'4.%20Transpose'!A1"/><Relationship Id="rId9" Type="http://schemas.openxmlformats.org/officeDocument/2006/relationships/image" Target="../media/image14.png"/></Relationships>
</file>

<file path=xl/drawings/_rels/drawing5.xml.rels><?xml version="1.0" encoding="UTF-8" standalone="yes"?>
<Relationships xmlns="http://schemas.openxmlformats.org/package/2006/relationships"><Relationship Id="rId8" Type="http://schemas.openxmlformats.org/officeDocument/2006/relationships/hyperlink" Target="https://go.microsoft.com/fwlink/?linkid=844750" TargetMode="External"/><Relationship Id="rId3" Type="http://schemas.openxmlformats.org/officeDocument/2006/relationships/image" Target="../media/image16.png"/><Relationship Id="rId7" Type="http://schemas.openxmlformats.org/officeDocument/2006/relationships/image" Target="../media/image1.png"/><Relationship Id="rId2" Type="http://schemas.openxmlformats.org/officeDocument/2006/relationships/hyperlink" Target="#'6.%20Tables'!A1"/><Relationship Id="rId1" Type="http://schemas.openxmlformats.org/officeDocument/2006/relationships/image" Target="../media/image5.png"/><Relationship Id="rId6" Type="http://schemas.openxmlformats.org/officeDocument/2006/relationships/hyperlink" Target="https://go.microsoft.com/fwlink/?linkid=844746" TargetMode="External"/><Relationship Id="rId5" Type="http://schemas.openxmlformats.org/officeDocument/2006/relationships/hyperlink" Target="#'5.%20Sort%20&amp;%20filter'!A1"/><Relationship Id="rId4" Type="http://schemas.openxmlformats.org/officeDocument/2006/relationships/image" Target="../media/image3.png"/></Relationships>
</file>

<file path=xl/drawings/_rels/drawing6.xml.rels><?xml version="1.0" encoding="UTF-8" standalone="yes"?>
<Relationships xmlns="http://schemas.openxmlformats.org/package/2006/relationships"><Relationship Id="rId8" Type="http://schemas.openxmlformats.org/officeDocument/2006/relationships/hyperlink" Target="https://go.microsoft.com/fwlink/?linkid=844726" TargetMode="External"/><Relationship Id="rId3" Type="http://schemas.openxmlformats.org/officeDocument/2006/relationships/image" Target="../media/image2.png"/><Relationship Id="rId7" Type="http://schemas.openxmlformats.org/officeDocument/2006/relationships/hyperlink" Target="#'6.%20Tables'!A1"/><Relationship Id="rId2" Type="http://schemas.openxmlformats.org/officeDocument/2006/relationships/image" Target="../media/image17.png"/><Relationship Id="rId1" Type="http://schemas.openxmlformats.org/officeDocument/2006/relationships/hyperlink" Target="#'7.%20Drop-downs'!A1"/><Relationship Id="rId6" Type="http://schemas.openxmlformats.org/officeDocument/2006/relationships/image" Target="../media/image18.png"/><Relationship Id="rId11" Type="http://schemas.openxmlformats.org/officeDocument/2006/relationships/hyperlink" Target="https://go.microsoft.com/fwlink/?linkid=844731" TargetMode="External"/><Relationship Id="rId5" Type="http://schemas.openxmlformats.org/officeDocument/2006/relationships/image" Target="../media/image8.png"/><Relationship Id="rId10" Type="http://schemas.openxmlformats.org/officeDocument/2006/relationships/hyperlink" Target="https://go.microsoft.com/fwlink/?linkid=844728" TargetMode="External"/><Relationship Id="rId4" Type="http://schemas.openxmlformats.org/officeDocument/2006/relationships/image" Target="../media/image5.png"/><Relationship Id="rId9" Type="http://schemas.openxmlformats.org/officeDocument/2006/relationships/image" Target="../media/image1.png"/></Relationships>
</file>

<file path=xl/drawings/_rels/drawing7.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image" Target="../media/image20.png"/><Relationship Id="rId7" Type="http://schemas.openxmlformats.org/officeDocument/2006/relationships/hyperlink" Target="https://go.microsoft.com/fwlink/?linkid=844735" TargetMode="External"/><Relationship Id="rId2" Type="http://schemas.openxmlformats.org/officeDocument/2006/relationships/image" Target="../media/image19.png"/><Relationship Id="rId1" Type="http://schemas.openxmlformats.org/officeDocument/2006/relationships/hyperlink" Target="#'8.%20Analyze'!A1"/><Relationship Id="rId6" Type="http://schemas.openxmlformats.org/officeDocument/2006/relationships/hyperlink" Target="#'7.%20Drop-downs'!A1"/><Relationship Id="rId5" Type="http://schemas.openxmlformats.org/officeDocument/2006/relationships/image" Target="../media/image2.png"/><Relationship Id="rId4" Type="http://schemas.openxmlformats.org/officeDocument/2006/relationships/image" Target="../media/image15.png"/><Relationship Id="rId9" Type="http://schemas.openxmlformats.org/officeDocument/2006/relationships/hyperlink" Target="https://go.microsoft.com/fwlink/?linkid=844742" TargetMode="External"/></Relationships>
</file>

<file path=xl/drawings/_rels/drawing8.xml.rels><?xml version="1.0" encoding="UTF-8" standalone="yes"?>
<Relationships xmlns="http://schemas.openxmlformats.org/package/2006/relationships"><Relationship Id="rId1" Type="http://schemas.openxmlformats.org/officeDocument/2006/relationships/chart" Target="../charts/chart1.xml"/></Relationships>
</file>

<file path=xl/drawings/_rels/drawing9.xml.rels><?xml version="1.0" encoding="UTF-8" standalone="yes"?>
<Relationships xmlns="http://schemas.openxmlformats.org/package/2006/relationships"><Relationship Id="rId3" Type="http://schemas.openxmlformats.org/officeDocument/2006/relationships/hyperlink" Target="https://go.microsoft.com/fwlink/?linkid=844725" TargetMode="External"/><Relationship Id="rId7" Type="http://schemas.openxmlformats.org/officeDocument/2006/relationships/image" Target="../media/image2.png"/><Relationship Id="rId2" Type="http://schemas.openxmlformats.org/officeDocument/2006/relationships/hyperlink" Target="#'9.%20Charts'!A1"/><Relationship Id="rId1" Type="http://schemas.openxmlformats.org/officeDocument/2006/relationships/hyperlink" Target="#'8.%20Analyze'!A1"/><Relationship Id="rId6" Type="http://schemas.openxmlformats.org/officeDocument/2006/relationships/image" Target="../media/image21.png"/><Relationship Id="rId5" Type="http://schemas.openxmlformats.org/officeDocument/2006/relationships/hyperlink" Target="https://go.microsoft.com/fwlink/?linkid=844730" TargetMode="External"/><Relationship Id="rId4" Type="http://schemas.openxmlformats.org/officeDocument/2006/relationships/image" Target="../media/image1.png"/></Relationships>
</file>

<file path=xl/drawings/_rels/drawing10.xml.rels><?xml version="1.0" encoding="UTF-8" standalone="yes"?>
<Relationships xmlns="http://schemas.openxmlformats.org/package/2006/relationships"><Relationship Id="rId8" Type="http://schemas.openxmlformats.org/officeDocument/2006/relationships/hyperlink" Target="https://go.microsoft.com/fwlink/?linkid=844738" TargetMode="External"/><Relationship Id="rId3" Type="http://schemas.openxmlformats.org/officeDocument/2006/relationships/image" Target="../media/image5.png"/><Relationship Id="rId7" Type="http://schemas.openxmlformats.org/officeDocument/2006/relationships/image" Target="../media/image1.png"/><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hyperlink" Target="https://go.microsoft.com/fwlink/?linkid=844734" TargetMode="External"/><Relationship Id="rId11" Type="http://schemas.openxmlformats.org/officeDocument/2006/relationships/chart" Target="../charts/chart5.xml"/><Relationship Id="rId5" Type="http://schemas.openxmlformats.org/officeDocument/2006/relationships/hyperlink" Target="#'9.%20Charts'!A1"/><Relationship Id="rId10" Type="http://schemas.openxmlformats.org/officeDocument/2006/relationships/chart" Target="../charts/chart4.xml"/><Relationship Id="rId4" Type="http://schemas.openxmlformats.org/officeDocument/2006/relationships/hyperlink" Target="#'10.%20PivotTables'!A1"/><Relationship Id="rId9" Type="http://schemas.openxmlformats.org/officeDocument/2006/relationships/hyperlink" Target="https://go.microsoft.com/fwlink/?linkid=844739" TargetMode="External"/></Relationships>
</file>

<file path=xl/drawings/_rels/drawing11.xml.rels><?xml version="1.0" encoding="UTF-8" standalone="yes"?>
<Relationships xmlns="http://schemas.openxmlformats.org/package/2006/relationships"><Relationship Id="rId3" Type="http://schemas.openxmlformats.org/officeDocument/2006/relationships/hyperlink" Target="#'10.%20PivotTables'!A1"/><Relationship Id="rId2" Type="http://schemas.openxmlformats.org/officeDocument/2006/relationships/image" Target="../media/image22.png"/><Relationship Id="rId1" Type="http://schemas.openxmlformats.org/officeDocument/2006/relationships/hyperlink" Target="#'Learn%20more'!A1"/><Relationship Id="rId6" Type="http://schemas.openxmlformats.org/officeDocument/2006/relationships/hyperlink" Target="https://go.microsoft.com/fwlink/?linkid=844749" TargetMode="External"/><Relationship Id="rId5" Type="http://schemas.openxmlformats.org/officeDocument/2006/relationships/image" Target="../media/image1.png"/><Relationship Id="rId4" Type="http://schemas.openxmlformats.org/officeDocument/2006/relationships/hyperlink" Target="https://go.microsoft.com/fwlink/?linkid=844744" TargetMode="External"/></Relationships>
</file>

<file path=xl/drawings/drawing1.xml><?xml version="1.0" encoding="utf-8"?>
<xdr:wsDr xmlns:xdr="http://schemas.openxmlformats.org/drawingml/2006/spreadsheetDrawing" xmlns:a="http://schemas.openxmlformats.org/drawingml/2006/main">
  <xdr:oneCellAnchor>
    <xdr:from>
      <xdr:col>0</xdr:col>
      <xdr:colOff>323850</xdr:colOff>
      <xdr:row>84</xdr:row>
      <xdr:rowOff>171450</xdr:rowOff>
    </xdr:from>
    <xdr:ext cx="5695950" cy="4000500"/>
    <xdr:grpSp>
      <xdr:nvGrpSpPr>
        <xdr:cNvPr id="2" name="Shape 2">
          <a:extLst>
            <a:ext uri="{FF2B5EF4-FFF2-40B4-BE49-F238E27FC236}">
              <a16:creationId xmlns:a16="http://schemas.microsoft.com/office/drawing/2014/main" id="{00000000-0008-0000-0000-000002000000}"/>
            </a:ext>
          </a:extLst>
        </xdr:cNvPr>
        <xdr:cNvGrpSpPr/>
      </xdr:nvGrpSpPr>
      <xdr:grpSpPr>
        <a:xfrm>
          <a:off x="323850" y="16925925"/>
          <a:ext cx="5695950" cy="4000500"/>
          <a:chOff x="2498025" y="1779752"/>
          <a:chExt cx="5695950" cy="4000500"/>
        </a:xfrm>
      </xdr:grpSpPr>
      <xdr:grpSp>
        <xdr:nvGrpSpPr>
          <xdr:cNvPr id="3" name="Shape 3" descr="More information on the web, contains links to the web&#10;Back to top&#10;Next step">
            <a:extLst>
              <a:ext uri="{FF2B5EF4-FFF2-40B4-BE49-F238E27FC236}">
                <a16:creationId xmlns:a16="http://schemas.microsoft.com/office/drawing/2014/main" id="{00000000-0008-0000-0000-000003000000}"/>
              </a:ext>
            </a:extLst>
          </xdr:cNvPr>
          <xdr:cNvGrpSpPr/>
        </xdr:nvGrpSpPr>
        <xdr:grpSpPr>
          <a:xfrm>
            <a:off x="2498025" y="1779752"/>
            <a:ext cx="5695950" cy="4000500"/>
            <a:chOff x="323850" y="16837044"/>
            <a:chExt cx="5737224" cy="3702054"/>
          </a:xfrm>
        </xdr:grpSpPr>
        <xdr:sp macro="" textlink="">
          <xdr:nvSpPr>
            <xdr:cNvPr id="4" name="Shape 4">
              <a:extLst>
                <a:ext uri="{FF2B5EF4-FFF2-40B4-BE49-F238E27FC236}">
                  <a16:creationId xmlns:a16="http://schemas.microsoft.com/office/drawing/2014/main" id="{00000000-0008-0000-0000-000004000000}"/>
                </a:ext>
              </a:extLst>
            </xdr:cNvPr>
            <xdr:cNvSpPr/>
          </xdr:nvSpPr>
          <xdr:spPr>
            <a:xfrm>
              <a:off x="323850" y="16837044"/>
              <a:ext cx="5737200" cy="370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5">
              <a:extLst>
                <a:ext uri="{FF2B5EF4-FFF2-40B4-BE49-F238E27FC236}">
                  <a16:creationId xmlns:a16="http://schemas.microsoft.com/office/drawing/2014/main" id="{00000000-0008-0000-0000-000005000000}"/>
                </a:ext>
              </a:extLst>
            </xdr:cNvPr>
            <xdr:cNvSpPr/>
          </xdr:nvSpPr>
          <xdr:spPr>
            <a:xfrm>
              <a:off x="323850" y="16837044"/>
              <a:ext cx="5737224" cy="3702054"/>
            </a:xfrm>
            <a:prstGeom prst="rect">
              <a:avLst/>
            </a:prstGeom>
            <a:solidFill>
              <a:srgbClr val="F5F5F5"/>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6" name="Shape 6" descr="More information on the web&#10;">
              <a:extLst>
                <a:ext uri="{FF2B5EF4-FFF2-40B4-BE49-F238E27FC236}">
                  <a16:creationId xmlns:a16="http://schemas.microsoft.com/office/drawing/2014/main" id="{00000000-0008-0000-0000-000006000000}"/>
                </a:ext>
              </a:extLst>
            </xdr:cNvPr>
            <xdr:cNvSpPr txBox="1"/>
          </xdr:nvSpPr>
          <xdr:spPr>
            <a:xfrm>
              <a:off x="555599" y="16955741"/>
              <a:ext cx="5257825" cy="471853"/>
            </a:xfrm>
            <a:prstGeom prst="rect">
              <a:avLst/>
            </a:prstGeom>
            <a:noFill/>
            <a:ln>
              <a:noFill/>
            </a:ln>
          </xdr:spPr>
          <xdr:txBody>
            <a:bodyPr spcFirstLastPara="1" wrap="square" lIns="0" tIns="45700" rIns="0" bIns="45700" anchor="t" anchorCtr="0">
              <a:noAutofit/>
            </a:bodyPr>
            <a:lstStyle/>
            <a:p>
              <a:pPr marL="0" marR="0" lvl="0" indent="0" algn="l" rtl="0">
                <a:lnSpc>
                  <a:spcPct val="100000"/>
                </a:lnSpc>
                <a:spcBef>
                  <a:spcPts val="0"/>
                </a:spcBef>
                <a:spcAft>
                  <a:spcPts val="0"/>
                </a:spcAft>
                <a:buClr>
                  <a:srgbClr val="3A3838"/>
                </a:buClr>
                <a:buSzPts val="2200"/>
                <a:buFont typeface="Quattrocento Sans"/>
                <a:buNone/>
              </a:pPr>
              <a:r>
                <a:rPr lang="en-US" sz="2200" b="0" i="0" u="none" strike="noStrike" cap="none">
                  <a:solidFill>
                    <a:srgbClr val="3A3838"/>
                  </a:solidFill>
                  <a:latin typeface="Quattrocento Sans"/>
                  <a:ea typeface="Quattrocento Sans"/>
                  <a:cs typeface="Quattrocento Sans"/>
                  <a:sym typeface="Quattrocento Sans"/>
                </a:rPr>
                <a:t>More information on the web</a:t>
              </a:r>
              <a:endParaRPr sz="2200" b="0">
                <a:solidFill>
                  <a:srgbClr val="3A3838"/>
                </a:solidFill>
                <a:latin typeface="Quattrocento Sans"/>
                <a:ea typeface="Quattrocento Sans"/>
                <a:cs typeface="Quattrocento Sans"/>
                <a:sym typeface="Quattrocento Sans"/>
              </a:endParaRPr>
            </a:p>
          </xdr:txBody>
        </xdr:sp>
        <xdr:cxnSp macro="">
          <xdr:nvCxnSpPr>
            <xdr:cNvPr id="7" name="Shape 7" descr="Decorative line">
              <a:extLst>
                <a:ext uri="{FF2B5EF4-FFF2-40B4-BE49-F238E27FC236}">
                  <a16:creationId xmlns:a16="http://schemas.microsoft.com/office/drawing/2014/main" id="{00000000-0008-0000-0000-000007000000}"/>
                </a:ext>
              </a:extLst>
            </xdr:cNvPr>
            <xdr:cNvCxnSpPr/>
          </xdr:nvCxnSpPr>
          <xdr:spPr>
            <a:xfrm>
              <a:off x="558774" y="17444103"/>
              <a:ext cx="5254651" cy="0"/>
            </a:xfrm>
            <a:prstGeom prst="straightConnector1">
              <a:avLst/>
            </a:prstGeom>
            <a:noFill/>
            <a:ln w="25400" cap="flat" cmpd="sng">
              <a:solidFill>
                <a:srgbClr val="217346"/>
              </a:solidFill>
              <a:prstDash val="solid"/>
              <a:round/>
              <a:headEnd type="none" w="sm" len="sm"/>
              <a:tailEnd type="none" w="sm" len="sm"/>
            </a:ln>
          </xdr:spPr>
        </xdr:cxnSp>
        <xdr:sp macro="" textlink="">
          <xdr:nvSpPr>
            <xdr:cNvPr id="8" name="Shape 8" descr="Back to top, hyperlinked to cell A1">
              <a:hlinkClick xmlns:r="http://schemas.openxmlformats.org/officeDocument/2006/relationships" r:id="rId1"/>
              <a:extLst>
                <a:ext uri="{FF2B5EF4-FFF2-40B4-BE49-F238E27FC236}">
                  <a16:creationId xmlns:a16="http://schemas.microsoft.com/office/drawing/2014/main" id="{00000000-0008-0000-0000-000008000000}"/>
                </a:ext>
              </a:extLst>
            </xdr:cNvPr>
            <xdr:cNvSpPr/>
          </xdr:nvSpPr>
          <xdr:spPr>
            <a:xfrm>
              <a:off x="558774" y="19758802"/>
              <a:ext cx="2764342" cy="523755"/>
            </a:xfrm>
            <a:prstGeom prst="upArrowCallout">
              <a:avLst>
                <a:gd name="adj1" fmla="val 25000"/>
                <a:gd name="adj2" fmla="val 25000"/>
                <a:gd name="adj3" fmla="val 25000"/>
                <a:gd name="adj4" fmla="val 64977"/>
              </a:avLst>
            </a:prstGeom>
            <a:solidFill>
              <a:srgbClr val="D8D8D8"/>
            </a:solidFill>
            <a:ln w="12700" cap="flat" cmpd="sng">
              <a:solidFill>
                <a:srgbClr val="0B744D">
                  <a:alpha val="49803"/>
                </a:srgb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a:solidFill>
                    <a:srgbClr val="0B744D"/>
                  </a:solidFill>
                  <a:latin typeface="Quattrocento Sans"/>
                  <a:ea typeface="Quattrocento Sans"/>
                  <a:cs typeface="Quattrocento Sans"/>
                  <a:sym typeface="Quattrocento Sans"/>
                </a:rPr>
                <a:t>Back to top</a:t>
              </a:r>
              <a:endParaRPr sz="1400"/>
            </a:p>
          </xdr:txBody>
        </xdr:sp>
        <xdr:cxnSp macro="">
          <xdr:nvCxnSpPr>
            <xdr:cNvPr id="9" name="Shape 9" descr="Decorative line">
              <a:extLst>
                <a:ext uri="{FF2B5EF4-FFF2-40B4-BE49-F238E27FC236}">
                  <a16:creationId xmlns:a16="http://schemas.microsoft.com/office/drawing/2014/main" id="{00000000-0008-0000-0000-000009000000}"/>
                </a:ext>
              </a:extLst>
            </xdr:cNvPr>
            <xdr:cNvCxnSpPr/>
          </xdr:nvCxnSpPr>
          <xdr:spPr>
            <a:xfrm>
              <a:off x="558774" y="19510394"/>
              <a:ext cx="5254651" cy="0"/>
            </a:xfrm>
            <a:prstGeom prst="straightConnector1">
              <a:avLst/>
            </a:prstGeom>
            <a:noFill/>
            <a:ln w="25400" cap="flat" cmpd="sng">
              <a:solidFill>
                <a:srgbClr val="217346"/>
              </a:solidFill>
              <a:prstDash val="solid"/>
              <a:round/>
              <a:headEnd type="none" w="sm" len="sm"/>
              <a:tailEnd type="none" w="sm" len="sm"/>
            </a:ln>
          </xdr:spPr>
        </xdr:cxnSp>
        <xdr:sp macro="" textlink="">
          <xdr:nvSpPr>
            <xdr:cNvPr id="10" name="Shape 10" descr="Next step button, hyperlinked to next worksheet">
              <a:hlinkClick xmlns:r="http://schemas.openxmlformats.org/officeDocument/2006/relationships" r:id="rId2"/>
              <a:extLst>
                <a:ext uri="{FF2B5EF4-FFF2-40B4-BE49-F238E27FC236}">
                  <a16:creationId xmlns:a16="http://schemas.microsoft.com/office/drawing/2014/main" id="{00000000-0008-0000-0000-00000A000000}"/>
                </a:ext>
              </a:extLst>
            </xdr:cNvPr>
            <xdr:cNvSpPr/>
          </xdr:nvSpPr>
          <xdr:spPr>
            <a:xfrm>
              <a:off x="4658995" y="19942952"/>
              <a:ext cx="1154430" cy="342142"/>
            </a:xfrm>
            <a:prstGeom prst="rightArrowCallout">
              <a:avLst>
                <a:gd name="adj1" fmla="val 32829"/>
                <a:gd name="adj2" fmla="val 31524"/>
                <a:gd name="adj3" fmla="val 25000"/>
                <a:gd name="adj4" fmla="val 86357"/>
              </a:avLst>
            </a:prstGeom>
            <a:solidFill>
              <a:schemeClr val="lt1"/>
            </a:solidFill>
            <a:ln w="12700" cap="flat" cmpd="sng">
              <a:solidFill>
                <a:srgbClr val="0B744D"/>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a:solidFill>
                    <a:srgbClr val="0B744D"/>
                  </a:solidFill>
                  <a:latin typeface="Quattrocento Sans"/>
                  <a:ea typeface="Quattrocento Sans"/>
                  <a:cs typeface="Quattrocento Sans"/>
                  <a:sym typeface="Quattrocento Sans"/>
                </a:rPr>
                <a:t>Next step</a:t>
              </a:r>
              <a:endParaRPr sz="1400"/>
            </a:p>
          </xdr:txBody>
        </xdr:sp>
        <xdr:sp macro="" textlink="">
          <xdr:nvSpPr>
            <xdr:cNvPr id="11" name="Shape 11" descr="All about the SUM function, Hyperlinked to web&#10;&#10;">
              <a:hlinkClick xmlns:r="http://schemas.openxmlformats.org/officeDocument/2006/relationships" r:id="rId3"/>
              <a:extLst>
                <a:ext uri="{FF2B5EF4-FFF2-40B4-BE49-F238E27FC236}">
                  <a16:creationId xmlns:a16="http://schemas.microsoft.com/office/drawing/2014/main" id="{00000000-0008-0000-0000-00000B000000}"/>
                </a:ext>
              </a:extLst>
            </xdr:cNvPr>
            <xdr:cNvSpPr txBox="1"/>
          </xdr:nvSpPr>
          <xdr:spPr>
            <a:xfrm>
              <a:off x="1003908" y="17606489"/>
              <a:ext cx="1904391" cy="303703"/>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u="sng">
                  <a:solidFill>
                    <a:srgbClr val="3F3F3F"/>
                  </a:solidFill>
                  <a:latin typeface="Quattrocento Sans"/>
                  <a:ea typeface="Quattrocento Sans"/>
                  <a:cs typeface="Quattrocento Sans"/>
                  <a:sym typeface="Quattrocento Sans"/>
                </a:rPr>
                <a:t>All about the SUM function</a:t>
              </a:r>
              <a:endParaRPr sz="1400"/>
            </a:p>
          </xdr:txBody>
        </xdr:sp>
        <xdr:pic>
          <xdr:nvPicPr>
            <xdr:cNvPr id="12" name="Shape 12" descr="Arrow">
              <a:hlinkClick xmlns:r="http://schemas.openxmlformats.org/officeDocument/2006/relationships" r:id="rId3"/>
              <a:extLst>
                <a:ext uri="{FF2B5EF4-FFF2-40B4-BE49-F238E27FC236}">
                  <a16:creationId xmlns:a16="http://schemas.microsoft.com/office/drawing/2014/main" id="{00000000-0008-0000-0000-00000C000000}"/>
                </a:ext>
              </a:extLst>
            </xdr:cNvPr>
            <xdr:cNvPicPr preferRelativeResize="0"/>
          </xdr:nvPicPr>
          <xdr:blipFill rotWithShape="1">
            <a:blip xmlns:r="http://schemas.openxmlformats.org/officeDocument/2006/relationships" r:embed="rId4">
              <a:alphaModFix/>
            </a:blip>
            <a:srcRect/>
            <a:stretch/>
          </xdr:blipFill>
          <xdr:spPr>
            <a:xfrm>
              <a:off x="535353" y="17517563"/>
              <a:ext cx="495829" cy="429422"/>
            </a:xfrm>
            <a:prstGeom prst="rect">
              <a:avLst/>
            </a:prstGeom>
            <a:noFill/>
            <a:ln>
              <a:noFill/>
            </a:ln>
          </xdr:spPr>
        </xdr:pic>
        <xdr:sp macro="" textlink="">
          <xdr:nvSpPr>
            <xdr:cNvPr id="13" name="Shape 13" descr="All about the SUMIF function, hyperlinked to web&#10;">
              <a:hlinkClick xmlns:r="http://schemas.openxmlformats.org/officeDocument/2006/relationships" r:id="rId5"/>
              <a:extLst>
                <a:ext uri="{FF2B5EF4-FFF2-40B4-BE49-F238E27FC236}">
                  <a16:creationId xmlns:a16="http://schemas.microsoft.com/office/drawing/2014/main" id="{00000000-0008-0000-0000-00000D000000}"/>
                </a:ext>
              </a:extLst>
            </xdr:cNvPr>
            <xdr:cNvSpPr txBox="1"/>
          </xdr:nvSpPr>
          <xdr:spPr>
            <a:xfrm>
              <a:off x="1003908" y="18058397"/>
              <a:ext cx="2018692" cy="277753"/>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u="sng">
                  <a:solidFill>
                    <a:srgbClr val="3F3F3F"/>
                  </a:solidFill>
                  <a:latin typeface="Quattrocento Sans"/>
                  <a:ea typeface="Quattrocento Sans"/>
                  <a:cs typeface="Quattrocento Sans"/>
                  <a:sym typeface="Quattrocento Sans"/>
                </a:rPr>
                <a:t>All about the SUMIF function</a:t>
              </a:r>
              <a:endParaRPr sz="1400"/>
            </a:p>
          </xdr:txBody>
        </xdr:sp>
        <xdr:pic>
          <xdr:nvPicPr>
            <xdr:cNvPr id="14" name="Shape 14" descr="Arrow">
              <a:hlinkClick xmlns:r="http://schemas.openxmlformats.org/officeDocument/2006/relationships" r:id="rId5"/>
              <a:extLst>
                <a:ext uri="{FF2B5EF4-FFF2-40B4-BE49-F238E27FC236}">
                  <a16:creationId xmlns:a16="http://schemas.microsoft.com/office/drawing/2014/main" id="{00000000-0008-0000-0000-00000E000000}"/>
                </a:ext>
              </a:extLst>
            </xdr:cNvPr>
            <xdr:cNvPicPr preferRelativeResize="0"/>
          </xdr:nvPicPr>
          <xdr:blipFill rotWithShape="1">
            <a:blip xmlns:r="http://schemas.openxmlformats.org/officeDocument/2006/relationships" r:embed="rId4">
              <a:alphaModFix/>
            </a:blip>
            <a:srcRect/>
            <a:stretch/>
          </xdr:blipFill>
          <xdr:spPr>
            <a:xfrm>
              <a:off x="535353" y="17956370"/>
              <a:ext cx="495829" cy="435772"/>
            </a:xfrm>
            <a:prstGeom prst="rect">
              <a:avLst/>
            </a:prstGeom>
            <a:noFill/>
            <a:ln>
              <a:noFill/>
            </a:ln>
          </xdr:spPr>
        </xdr:pic>
        <xdr:sp macro="" textlink="">
          <xdr:nvSpPr>
            <xdr:cNvPr id="15" name="Shape 15" descr="Use Excel as your calculator, hyperlinked to web&#10;">
              <a:hlinkClick xmlns:r="http://schemas.openxmlformats.org/officeDocument/2006/relationships" r:id="rId6"/>
              <a:extLst>
                <a:ext uri="{FF2B5EF4-FFF2-40B4-BE49-F238E27FC236}">
                  <a16:creationId xmlns:a16="http://schemas.microsoft.com/office/drawing/2014/main" id="{00000000-0008-0000-0000-00000F000000}"/>
                </a:ext>
              </a:extLst>
            </xdr:cNvPr>
            <xdr:cNvSpPr txBox="1"/>
          </xdr:nvSpPr>
          <xdr:spPr>
            <a:xfrm>
              <a:off x="1003908" y="18506516"/>
              <a:ext cx="2018692" cy="284103"/>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u="sng">
                  <a:solidFill>
                    <a:srgbClr val="3F3F3F"/>
                  </a:solidFill>
                  <a:latin typeface="Quattrocento Sans"/>
                  <a:ea typeface="Quattrocento Sans"/>
                  <a:cs typeface="Quattrocento Sans"/>
                  <a:sym typeface="Quattrocento Sans"/>
                </a:rPr>
                <a:t>Use Excel as your calculator</a:t>
              </a:r>
              <a:endParaRPr sz="1400"/>
            </a:p>
          </xdr:txBody>
        </xdr:sp>
        <xdr:pic>
          <xdr:nvPicPr>
            <xdr:cNvPr id="16" name="Shape 16" descr="Arrow">
              <a:hlinkClick xmlns:r="http://schemas.openxmlformats.org/officeDocument/2006/relationships" r:id="rId6"/>
              <a:extLst>
                <a:ext uri="{FF2B5EF4-FFF2-40B4-BE49-F238E27FC236}">
                  <a16:creationId xmlns:a16="http://schemas.microsoft.com/office/drawing/2014/main" id="{00000000-0008-0000-0000-000010000000}"/>
                </a:ext>
              </a:extLst>
            </xdr:cNvPr>
            <xdr:cNvPicPr preferRelativeResize="0"/>
          </xdr:nvPicPr>
          <xdr:blipFill rotWithShape="1">
            <a:blip xmlns:r="http://schemas.openxmlformats.org/officeDocument/2006/relationships" r:embed="rId4">
              <a:alphaModFix/>
            </a:blip>
            <a:srcRect/>
            <a:stretch/>
          </xdr:blipFill>
          <xdr:spPr>
            <a:xfrm>
              <a:off x="535353" y="18410828"/>
              <a:ext cx="495829" cy="429422"/>
            </a:xfrm>
            <a:prstGeom prst="rect">
              <a:avLst/>
            </a:prstGeom>
            <a:noFill/>
            <a:ln>
              <a:noFill/>
            </a:ln>
          </xdr:spPr>
        </xdr:pic>
        <xdr:sp macro="" textlink="">
          <xdr:nvSpPr>
            <xdr:cNvPr id="17" name="Shape 17" descr="Free Excel training online, hyperlinked to web&#10;">
              <a:hlinkClick xmlns:r="http://schemas.openxmlformats.org/officeDocument/2006/relationships" r:id="rId7"/>
              <a:extLst>
                <a:ext uri="{FF2B5EF4-FFF2-40B4-BE49-F238E27FC236}">
                  <a16:creationId xmlns:a16="http://schemas.microsoft.com/office/drawing/2014/main" id="{00000000-0008-0000-0000-000011000000}"/>
                </a:ext>
              </a:extLst>
            </xdr:cNvPr>
            <xdr:cNvSpPr txBox="1"/>
          </xdr:nvSpPr>
          <xdr:spPr>
            <a:xfrm>
              <a:off x="1016608" y="18952686"/>
              <a:ext cx="2053617" cy="297352"/>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u="sng">
                  <a:solidFill>
                    <a:srgbClr val="3F3F3F"/>
                  </a:solidFill>
                  <a:latin typeface="Quattrocento Sans"/>
                  <a:ea typeface="Quattrocento Sans"/>
                  <a:cs typeface="Quattrocento Sans"/>
                  <a:sym typeface="Quattrocento Sans"/>
                </a:rPr>
                <a:t>Free Excel training online</a:t>
              </a:r>
              <a:endParaRPr sz="1400"/>
            </a:p>
          </xdr:txBody>
        </xdr:sp>
        <xdr:pic>
          <xdr:nvPicPr>
            <xdr:cNvPr id="18" name="Shape 18" descr="Arrow">
              <a:hlinkClick xmlns:r="http://schemas.openxmlformats.org/officeDocument/2006/relationships" r:id="rId7"/>
              <a:extLst>
                <a:ext uri="{FF2B5EF4-FFF2-40B4-BE49-F238E27FC236}">
                  <a16:creationId xmlns:a16="http://schemas.microsoft.com/office/drawing/2014/main" id="{00000000-0008-0000-0000-000012000000}"/>
                </a:ext>
              </a:extLst>
            </xdr:cNvPr>
            <xdr:cNvPicPr preferRelativeResize="0"/>
          </xdr:nvPicPr>
          <xdr:blipFill rotWithShape="1">
            <a:blip xmlns:r="http://schemas.openxmlformats.org/officeDocument/2006/relationships" r:embed="rId4">
              <a:alphaModFix/>
            </a:blip>
            <a:srcRect/>
            <a:stretch/>
          </xdr:blipFill>
          <xdr:spPr>
            <a:xfrm>
              <a:off x="548053" y="18857397"/>
              <a:ext cx="495829" cy="435772"/>
            </a:xfrm>
            <a:prstGeom prst="rect">
              <a:avLst/>
            </a:prstGeom>
            <a:noFill/>
            <a:ln>
              <a:noFill/>
            </a:ln>
          </xdr:spPr>
        </xdr:pic>
      </xdr:grpSp>
    </xdr:grpSp>
    <xdr:clientData fLocksWithSheet="0"/>
  </xdr:oneCellAnchor>
  <xdr:oneCellAnchor>
    <xdr:from>
      <xdr:col>2</xdr:col>
      <xdr:colOff>104775</xdr:colOff>
      <xdr:row>77</xdr:row>
      <xdr:rowOff>180975</xdr:rowOff>
    </xdr:from>
    <xdr:ext cx="3305175" cy="1876425"/>
    <xdr:grpSp>
      <xdr:nvGrpSpPr>
        <xdr:cNvPr id="19" name="Shape 2">
          <a:extLst>
            <a:ext uri="{FF2B5EF4-FFF2-40B4-BE49-F238E27FC236}">
              <a16:creationId xmlns:a16="http://schemas.microsoft.com/office/drawing/2014/main" id="{00000000-0008-0000-0000-000013000000}"/>
            </a:ext>
          </a:extLst>
        </xdr:cNvPr>
        <xdr:cNvGrpSpPr/>
      </xdr:nvGrpSpPr>
      <xdr:grpSpPr>
        <a:xfrm>
          <a:off x="6477000" y="15582900"/>
          <a:ext cx="3305175" cy="1876425"/>
          <a:chOff x="3693413" y="2741811"/>
          <a:chExt cx="3305175" cy="1976402"/>
        </a:xfrm>
      </xdr:grpSpPr>
      <xdr:grpSp>
        <xdr:nvGrpSpPr>
          <xdr:cNvPr id="20" name="Shape 19"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id="{00000000-0008-0000-0000-000014000000}"/>
              </a:ext>
            </a:extLst>
          </xdr:cNvPr>
          <xdr:cNvGrpSpPr/>
        </xdr:nvGrpSpPr>
        <xdr:grpSpPr>
          <a:xfrm>
            <a:off x="3693413" y="2741811"/>
            <a:ext cx="3305175" cy="1976402"/>
            <a:chOff x="6778625" y="15420123"/>
            <a:chExt cx="3432175" cy="1870927"/>
          </a:xfrm>
        </xdr:grpSpPr>
        <xdr:sp macro="" textlink="">
          <xdr:nvSpPr>
            <xdr:cNvPr id="21" name="Shape 4">
              <a:extLst>
                <a:ext uri="{FF2B5EF4-FFF2-40B4-BE49-F238E27FC236}">
                  <a16:creationId xmlns:a16="http://schemas.microsoft.com/office/drawing/2014/main" id="{00000000-0008-0000-0000-000015000000}"/>
                </a:ext>
              </a:extLst>
            </xdr:cNvPr>
            <xdr:cNvSpPr/>
          </xdr:nvSpPr>
          <xdr:spPr>
            <a:xfrm>
              <a:off x="6778625" y="15514766"/>
              <a:ext cx="3432175" cy="17762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22" name="Shape 20"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id="{00000000-0008-0000-0000-000016000000}"/>
                </a:ext>
              </a:extLst>
            </xdr:cNvPr>
            <xdr:cNvSpPr txBox="1"/>
          </xdr:nvSpPr>
          <xdr:spPr>
            <a:xfrm>
              <a:off x="7042958" y="15665450"/>
              <a:ext cx="3167842" cy="16256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200" b="1">
                  <a:solidFill>
                    <a:srgbClr val="F4B081"/>
                  </a:solidFill>
                  <a:latin typeface="Quattrocento Sans"/>
                  <a:ea typeface="Quattrocento Sans"/>
                  <a:cs typeface="Quattrocento Sans"/>
                  <a:sym typeface="Quattrocento Sans"/>
                </a:rPr>
                <a:t>GOOD TO KNOW</a:t>
              </a:r>
              <a:endParaRPr sz="1200" b="1">
                <a:solidFill>
                  <a:srgbClr val="F4B081"/>
                </a:solidFill>
                <a:latin typeface="Quattrocento Sans"/>
                <a:ea typeface="Quattrocento Sans"/>
                <a:cs typeface="Quattrocento Sans"/>
                <a:sym typeface="Quattrocento Sans"/>
              </a:endParaRPr>
            </a:p>
            <a:p>
              <a:pPr marL="0" lvl="0" indent="0" algn="l" rtl="0">
                <a:spcBef>
                  <a:spcPts val="0"/>
                </a:spcBef>
                <a:spcAft>
                  <a:spcPts val="0"/>
                </a:spcAft>
                <a:buNone/>
              </a:pPr>
              <a:r>
                <a:rPr lang="en-US" sz="1100" b="0" i="0">
                  <a:solidFill>
                    <a:schemeClr val="dk1"/>
                  </a:solidFill>
                  <a:latin typeface="Calibri"/>
                  <a:ea typeface="Calibri"/>
                  <a:cs typeface="Calibri"/>
                  <a:sym typeface="Calibri"/>
                </a:rPr>
                <a:t>Double-click this cell and you'll see that the formula is different. Specifically, the sum criteria is "&gt;=50" which means greater than or equal to 50. There are other operators you can use like "&lt;=50" which is </a:t>
              </a:r>
              <a:r>
                <a:rPr lang="en-US" sz="1100" b="0" i="1">
                  <a:solidFill>
                    <a:schemeClr val="dk1"/>
                  </a:solidFill>
                  <a:latin typeface="Calibri"/>
                  <a:ea typeface="Calibri"/>
                  <a:cs typeface="Calibri"/>
                  <a:sym typeface="Calibri"/>
                </a:rPr>
                <a:t>less than or equal to 50</a:t>
              </a:r>
              <a:r>
                <a:rPr lang="en-US" sz="1100" b="0" i="0">
                  <a:solidFill>
                    <a:schemeClr val="dk1"/>
                  </a:solidFill>
                  <a:latin typeface="Calibri"/>
                  <a:ea typeface="Calibri"/>
                  <a:cs typeface="Calibri"/>
                  <a:sym typeface="Calibri"/>
                </a:rPr>
                <a:t>. And there's "&lt;&gt;50" which is </a:t>
              </a:r>
              <a:r>
                <a:rPr lang="en-US" sz="1100" b="0" i="1">
                  <a:solidFill>
                    <a:schemeClr val="dk1"/>
                  </a:solidFill>
                  <a:latin typeface="Calibri"/>
                  <a:ea typeface="Calibri"/>
                  <a:cs typeface="Calibri"/>
                  <a:sym typeface="Calibri"/>
                </a:rPr>
                <a:t>not equals 50</a:t>
              </a:r>
              <a:r>
                <a:rPr lang="en-US" sz="1100" b="0" i="0">
                  <a:solidFill>
                    <a:schemeClr val="dk1"/>
                  </a:solidFill>
                  <a:latin typeface="Calibri"/>
                  <a:ea typeface="Calibri"/>
                  <a:cs typeface="Calibri"/>
                  <a:sym typeface="Calibri"/>
                </a:rPr>
                <a:t>. </a:t>
              </a:r>
              <a:endParaRPr sz="1100">
                <a:latin typeface="Calibri"/>
                <a:ea typeface="Calibri"/>
                <a:cs typeface="Calibri"/>
                <a:sym typeface="Calibri"/>
              </a:endParaRPr>
            </a:p>
          </xdr:txBody>
        </xdr:sp>
        <xdr:pic>
          <xdr:nvPicPr>
            <xdr:cNvPr id="23" name="Shape 21" descr="Glasses">
              <a:extLst>
                <a:ext uri="{FF2B5EF4-FFF2-40B4-BE49-F238E27FC236}">
                  <a16:creationId xmlns:a16="http://schemas.microsoft.com/office/drawing/2014/main" id="{00000000-0008-0000-0000-000017000000}"/>
                </a:ext>
              </a:extLst>
            </xdr:cNvPr>
            <xdr:cNvPicPr preferRelativeResize="0"/>
          </xdr:nvPicPr>
          <xdr:blipFill rotWithShape="1">
            <a:blip xmlns:r="http://schemas.openxmlformats.org/officeDocument/2006/relationships" r:embed="rId8">
              <a:alphaModFix/>
            </a:blip>
            <a:srcRect/>
            <a:stretch/>
          </xdr:blipFill>
          <xdr:spPr>
            <a:xfrm>
              <a:off x="6778625" y="15665450"/>
              <a:ext cx="323347" cy="349115"/>
            </a:xfrm>
            <a:prstGeom prst="rect">
              <a:avLst/>
            </a:prstGeom>
            <a:noFill/>
            <a:ln>
              <a:noFill/>
            </a:ln>
          </xdr:spPr>
        </xdr:pic>
        <xdr:sp macro="" textlink="">
          <xdr:nvSpPr>
            <xdr:cNvPr id="24" name="Shape 22" descr="Arrrow">
              <a:extLst>
                <a:ext uri="{FF2B5EF4-FFF2-40B4-BE49-F238E27FC236}">
                  <a16:creationId xmlns:a16="http://schemas.microsoft.com/office/drawing/2014/main" id="{00000000-0008-0000-0000-000018000000}"/>
                </a:ext>
              </a:extLst>
            </xdr:cNvPr>
            <xdr:cNvSpPr/>
          </xdr:nvSpPr>
          <xdr:spPr>
            <a:xfrm rot="-4846966" flipH="1">
              <a:off x="8741246" y="15054465"/>
              <a:ext cx="284005" cy="1204607"/>
            </a:xfrm>
            <a:custGeom>
              <a:avLst/>
              <a:gdLst/>
              <a:ahLst/>
              <a:cxnLst/>
              <a:rect l="l" t="t" r="r" b="b"/>
              <a:pathLst>
                <a:path w="279015" h="1281090" extrusionOk="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cap="flat" cmpd="sng">
              <a:solidFill>
                <a:srgbClr val="F4B08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grpSp>
    </xdr:grpSp>
    <xdr:clientData fLocksWithSheet="0"/>
  </xdr:oneCellAnchor>
  <xdr:oneCellAnchor>
    <xdr:from>
      <xdr:col>0</xdr:col>
      <xdr:colOff>342900</xdr:colOff>
      <xdr:row>64</xdr:row>
      <xdr:rowOff>180975</xdr:rowOff>
    </xdr:from>
    <xdr:ext cx="5695950" cy="3705225"/>
    <xdr:grpSp>
      <xdr:nvGrpSpPr>
        <xdr:cNvPr id="25" name="Shape 2">
          <a:extLst>
            <a:ext uri="{FF2B5EF4-FFF2-40B4-BE49-F238E27FC236}">
              <a16:creationId xmlns:a16="http://schemas.microsoft.com/office/drawing/2014/main" id="{00000000-0008-0000-0000-000019000000}"/>
            </a:ext>
          </a:extLst>
        </xdr:cNvPr>
        <xdr:cNvGrpSpPr/>
      </xdr:nvGrpSpPr>
      <xdr:grpSpPr>
        <a:xfrm>
          <a:off x="342900" y="13096875"/>
          <a:ext cx="5695950" cy="3705225"/>
          <a:chOff x="2498025" y="1927387"/>
          <a:chExt cx="5695950" cy="3705225"/>
        </a:xfrm>
      </xdr:grpSpPr>
      <xdr:grpSp>
        <xdr:nvGrpSpPr>
          <xdr:cNvPr id="26" name="Shape 23" descr="More about the SUM function &#10;In some of the above tips, we taught you how to use the SUM function. Here are &#10;more details about it Double-click a yellow cell on the right, and then read along with the text below. &#10;If the SUM function could talk, it would say this: &#10;Sum up the following: ...the values in &#10;cells D38, D39, D40, and 041. &#10;=SUM(D38:D41) &#10;Here's another way it can be used: &#10;Sum the following: ...the value in cell 049, ...the values in cells G48, G49, G50, and G51, ...and 100&#10;=SUM(D48,G48:G51,100) &#10;The formula above uses the following: &#10;A single cell reference, which is the address&quot; or &quot;name' of a cell. D48 is the single cell reference in the formula above. &#10;A range of cells, which is a series of cells starting at one cell and ending at another. &#10;G48:G51 is the range of cells in the formula. &#10;A constant. The constant in this formula is the number 100">
            <a:extLst>
              <a:ext uri="{FF2B5EF4-FFF2-40B4-BE49-F238E27FC236}">
                <a16:creationId xmlns:a16="http://schemas.microsoft.com/office/drawing/2014/main" id="{00000000-0008-0000-0000-00001A000000}"/>
              </a:ext>
            </a:extLst>
          </xdr:cNvPr>
          <xdr:cNvGrpSpPr/>
        </xdr:nvGrpSpPr>
        <xdr:grpSpPr>
          <a:xfrm>
            <a:off x="2498025" y="1927387"/>
            <a:ext cx="5695950" cy="3705225"/>
            <a:chOff x="347872" y="13364013"/>
            <a:chExt cx="5695950" cy="3673037"/>
          </a:xfrm>
        </xdr:grpSpPr>
        <xdr:sp macro="" textlink="">
          <xdr:nvSpPr>
            <xdr:cNvPr id="27" name="Shape 4">
              <a:extLst>
                <a:ext uri="{FF2B5EF4-FFF2-40B4-BE49-F238E27FC236}">
                  <a16:creationId xmlns:a16="http://schemas.microsoft.com/office/drawing/2014/main" id="{00000000-0008-0000-0000-00001B000000}"/>
                </a:ext>
              </a:extLst>
            </xdr:cNvPr>
            <xdr:cNvSpPr/>
          </xdr:nvSpPr>
          <xdr:spPr>
            <a:xfrm>
              <a:off x="347872" y="13364013"/>
              <a:ext cx="5695950" cy="36730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28" name="Shape 24" descr="Background">
              <a:extLst>
                <a:ext uri="{FF2B5EF4-FFF2-40B4-BE49-F238E27FC236}">
                  <a16:creationId xmlns:a16="http://schemas.microsoft.com/office/drawing/2014/main" id="{00000000-0008-0000-0000-00001C000000}"/>
                </a:ext>
              </a:extLst>
            </xdr:cNvPr>
            <xdr:cNvSpPr/>
          </xdr:nvSpPr>
          <xdr:spPr>
            <a:xfrm>
              <a:off x="347872" y="13364013"/>
              <a:ext cx="5695950" cy="3673037"/>
            </a:xfrm>
            <a:prstGeom prst="rect">
              <a:avLst/>
            </a:prstGeom>
            <a:solidFill>
              <a:srgbClr val="F5F5F5"/>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xnSp macro="">
          <xdr:nvCxnSpPr>
            <xdr:cNvPr id="29" name="Shape 25" descr="Decorative line">
              <a:extLst>
                <a:ext uri="{FF2B5EF4-FFF2-40B4-BE49-F238E27FC236}">
                  <a16:creationId xmlns:a16="http://schemas.microsoft.com/office/drawing/2014/main" id="{00000000-0008-0000-0000-00001D000000}"/>
                </a:ext>
              </a:extLst>
            </xdr:cNvPr>
            <xdr:cNvCxnSpPr/>
          </xdr:nvCxnSpPr>
          <xdr:spPr>
            <a:xfrm>
              <a:off x="579529" y="13999009"/>
              <a:ext cx="5216848" cy="0"/>
            </a:xfrm>
            <a:prstGeom prst="straightConnector1">
              <a:avLst/>
            </a:prstGeom>
            <a:noFill/>
            <a:ln w="25400" cap="flat" cmpd="sng">
              <a:solidFill>
                <a:srgbClr val="217346"/>
              </a:solidFill>
              <a:prstDash val="solid"/>
              <a:round/>
              <a:headEnd type="none" w="sm" len="sm"/>
              <a:tailEnd type="none" w="sm" len="sm"/>
            </a:ln>
          </xdr:spPr>
        </xdr:cxnSp>
        <xdr:cxnSp macro="">
          <xdr:nvCxnSpPr>
            <xdr:cNvPr id="30" name="Shape 26" descr="Decorative line">
              <a:extLst>
                <a:ext uri="{FF2B5EF4-FFF2-40B4-BE49-F238E27FC236}">
                  <a16:creationId xmlns:a16="http://schemas.microsoft.com/office/drawing/2014/main" id="{00000000-0008-0000-0000-00001E000000}"/>
                </a:ext>
              </a:extLst>
            </xdr:cNvPr>
            <xdr:cNvCxnSpPr/>
          </xdr:nvCxnSpPr>
          <xdr:spPr>
            <a:xfrm>
              <a:off x="579529" y="16803908"/>
              <a:ext cx="5216848" cy="0"/>
            </a:xfrm>
            <a:prstGeom prst="straightConnector1">
              <a:avLst/>
            </a:prstGeom>
            <a:noFill/>
            <a:ln w="25400" cap="flat" cmpd="sng">
              <a:solidFill>
                <a:srgbClr val="217346"/>
              </a:solidFill>
              <a:prstDash val="solid"/>
              <a:round/>
              <a:headEnd type="none" w="sm" len="sm"/>
              <a:tailEnd type="none" w="sm" len="sm"/>
            </a:ln>
          </xdr:spPr>
        </xdr:cxnSp>
        <xdr:sp macro="" textlink="">
          <xdr:nvSpPr>
            <xdr:cNvPr id="31" name="Shape 27" descr="More about the SUMIF function">
              <a:extLst>
                <a:ext uri="{FF2B5EF4-FFF2-40B4-BE49-F238E27FC236}">
                  <a16:creationId xmlns:a16="http://schemas.microsoft.com/office/drawing/2014/main" id="{00000000-0008-0000-0000-00001F000000}"/>
                </a:ext>
              </a:extLst>
            </xdr:cNvPr>
            <xdr:cNvSpPr txBox="1"/>
          </xdr:nvSpPr>
          <xdr:spPr>
            <a:xfrm>
              <a:off x="576376" y="13488152"/>
              <a:ext cx="5220000" cy="493591"/>
            </a:xfrm>
            <a:prstGeom prst="rect">
              <a:avLst/>
            </a:prstGeom>
            <a:noFill/>
            <a:ln>
              <a:noFill/>
            </a:ln>
          </xdr:spPr>
          <xdr:txBody>
            <a:bodyPr spcFirstLastPara="1" wrap="square" lIns="0" tIns="45700" rIns="0" bIns="45700" anchor="t" anchorCtr="0">
              <a:noAutofit/>
            </a:bodyPr>
            <a:lstStyle/>
            <a:p>
              <a:pPr marL="0" marR="0" lvl="0" indent="0" algn="l" rtl="0">
                <a:lnSpc>
                  <a:spcPct val="100000"/>
                </a:lnSpc>
                <a:spcBef>
                  <a:spcPts val="0"/>
                </a:spcBef>
                <a:spcAft>
                  <a:spcPts val="0"/>
                </a:spcAft>
                <a:buClr>
                  <a:srgbClr val="3A3838"/>
                </a:buClr>
                <a:buSzPts val="2200"/>
                <a:buFont typeface="Quattrocento Sans"/>
                <a:buNone/>
              </a:pPr>
              <a:r>
                <a:rPr lang="en-US" sz="2200" b="0" i="0" u="none" strike="noStrike" cap="none">
                  <a:solidFill>
                    <a:srgbClr val="3A3838"/>
                  </a:solidFill>
                  <a:latin typeface="Quattrocento Sans"/>
                  <a:ea typeface="Quattrocento Sans"/>
                  <a:cs typeface="Quattrocento Sans"/>
                  <a:sym typeface="Quattrocento Sans"/>
                </a:rPr>
                <a:t>More about the SUMIF function</a:t>
              </a:r>
              <a:endParaRPr sz="2200" b="0">
                <a:solidFill>
                  <a:srgbClr val="3A3838"/>
                </a:solidFill>
                <a:latin typeface="Quattrocento Sans"/>
                <a:ea typeface="Quattrocento Sans"/>
                <a:cs typeface="Quattrocento Sans"/>
                <a:sym typeface="Quattrocento Sans"/>
              </a:endParaRPr>
            </a:p>
          </xdr:txBody>
        </xdr:sp>
        <xdr:sp macro="" textlink="">
          <xdr:nvSpPr>
            <xdr:cNvPr id="32" name="Shape 28" descr="We also showed you the SUMIF function at the top of this sheet. The SUMIF function sums up totals based on a criterion. If the SUMIF function could talk, it would say this:&#10;">
              <a:extLst>
                <a:ext uri="{FF2B5EF4-FFF2-40B4-BE49-F238E27FC236}">
                  <a16:creationId xmlns:a16="http://schemas.microsoft.com/office/drawing/2014/main" id="{00000000-0008-0000-0000-000020000000}"/>
                </a:ext>
              </a:extLst>
            </xdr:cNvPr>
            <xdr:cNvSpPr txBox="1"/>
          </xdr:nvSpPr>
          <xdr:spPr>
            <a:xfrm>
              <a:off x="553342" y="14086481"/>
              <a:ext cx="5303780" cy="1079167"/>
            </a:xfrm>
            <a:prstGeom prst="rect">
              <a:avLst/>
            </a:prstGeom>
            <a:noFill/>
            <a:ln>
              <a:noFill/>
            </a:ln>
          </xdr:spPr>
          <xdr:txBody>
            <a:bodyPr spcFirstLastPara="1" wrap="square" lIns="0" tIns="45700" rIns="0" bIns="45700" anchor="t" anchorCtr="0">
              <a:noAutofit/>
            </a:bodyPr>
            <a:lstStyle/>
            <a:p>
              <a:pPr marL="0" lvl="0" indent="0" algn="l" rtl="0">
                <a:spcBef>
                  <a:spcPts val="0"/>
                </a:spcBef>
                <a:spcAft>
                  <a:spcPts val="0"/>
                </a:spcAft>
                <a:buNone/>
              </a:pPr>
              <a:r>
                <a:rPr lang="en-US" sz="1100">
                  <a:solidFill>
                    <a:srgbClr val="3F3F3F"/>
                  </a:solidFill>
                  <a:latin typeface="Quattrocento Sans"/>
                  <a:ea typeface="Quattrocento Sans"/>
                  <a:cs typeface="Quattrocento Sans"/>
                  <a:sym typeface="Quattrocento Sans"/>
                </a:rPr>
                <a:t>We also showed you the SUMIF function at the top of this sheet. The SUMIF function sums up totals based on a criterion. If the SUMIF function could talk, it would say this:</a:t>
              </a:r>
              <a:endParaRPr sz="1100">
                <a:solidFill>
                  <a:srgbClr val="3F3F3F"/>
                </a:solidFill>
                <a:latin typeface="Quattrocento Sans"/>
                <a:ea typeface="Quattrocento Sans"/>
                <a:cs typeface="Quattrocento Sans"/>
                <a:sym typeface="Quattrocento Sans"/>
              </a:endParaRPr>
            </a:p>
          </xdr:txBody>
        </xdr:sp>
        <xdr:sp macro="" textlink="">
          <xdr:nvSpPr>
            <xdr:cNvPr id="33" name="Shape 29" descr="NOTE: If you find you are making a lot of SUMIF formulas, you might find that a PivotTable is a better solution. See the PivotTable worksheet for more information&#10;">
              <a:hlinkClick xmlns:r="http://schemas.openxmlformats.org/officeDocument/2006/relationships" r:id="rId9"/>
              <a:extLst>
                <a:ext uri="{FF2B5EF4-FFF2-40B4-BE49-F238E27FC236}">
                  <a16:creationId xmlns:a16="http://schemas.microsoft.com/office/drawing/2014/main" id="{00000000-0008-0000-0000-000021000000}"/>
                </a:ext>
              </a:extLst>
            </xdr:cNvPr>
            <xdr:cNvSpPr txBox="1"/>
          </xdr:nvSpPr>
          <xdr:spPr>
            <a:xfrm>
              <a:off x="553342" y="16198822"/>
              <a:ext cx="5303780" cy="485070"/>
            </a:xfrm>
            <a:prstGeom prst="rect">
              <a:avLst/>
            </a:prstGeom>
            <a:noFill/>
            <a:ln>
              <a:noFill/>
            </a:ln>
          </xdr:spPr>
          <xdr:txBody>
            <a:bodyPr spcFirstLastPara="1" wrap="square" lIns="0" tIns="45700" rIns="0" bIns="45700" anchor="t" anchorCtr="0">
              <a:noAutofit/>
            </a:bodyPr>
            <a:lstStyle/>
            <a:p>
              <a:pPr marL="0" lvl="0" indent="0" algn="l" rtl="0">
                <a:spcBef>
                  <a:spcPts val="0"/>
                </a:spcBef>
                <a:spcAft>
                  <a:spcPts val="0"/>
                </a:spcAft>
                <a:buNone/>
              </a:pPr>
              <a:r>
                <a:rPr lang="en-US" sz="1100" b="1">
                  <a:solidFill>
                    <a:srgbClr val="3F3F3F"/>
                  </a:solidFill>
                  <a:latin typeface="Quattrocento Sans"/>
                  <a:ea typeface="Quattrocento Sans"/>
                  <a:cs typeface="Quattrocento Sans"/>
                  <a:sym typeface="Quattrocento Sans"/>
                </a:rPr>
                <a:t>NOTE: </a:t>
              </a:r>
              <a:r>
                <a:rPr lang="en-US" sz="1100">
                  <a:solidFill>
                    <a:srgbClr val="3F3F3F"/>
                  </a:solidFill>
                  <a:latin typeface="Quattrocento Sans"/>
                  <a:ea typeface="Quattrocento Sans"/>
                  <a:cs typeface="Quattrocento Sans"/>
                  <a:sym typeface="Quattrocento Sans"/>
                </a:rPr>
                <a:t>If you find you are making a lot of SUMIF formulas, you might find that a PivotTable is a better solution. </a:t>
              </a:r>
              <a:r>
                <a:rPr lang="en-US" sz="1100" u="sng">
                  <a:solidFill>
                    <a:srgbClr val="3F3F3F"/>
                  </a:solidFill>
                  <a:latin typeface="Quattrocento Sans"/>
                  <a:ea typeface="Quattrocento Sans"/>
                  <a:cs typeface="Quattrocento Sans"/>
                  <a:sym typeface="Quattrocento Sans"/>
                </a:rPr>
                <a:t>See the PivotTable worksheet for more information</a:t>
              </a:r>
              <a:r>
                <a:rPr lang="en-US" sz="1100">
                  <a:solidFill>
                    <a:srgbClr val="3F3F3F"/>
                  </a:solidFill>
                  <a:latin typeface="Quattrocento Sans"/>
                  <a:ea typeface="Quattrocento Sans"/>
                  <a:cs typeface="Quattrocento Sans"/>
                  <a:sym typeface="Quattrocento Sans"/>
                </a:rPr>
                <a:t>.</a:t>
              </a:r>
              <a:endParaRPr sz="1100">
                <a:solidFill>
                  <a:srgbClr val="3F3F3F"/>
                </a:solidFill>
                <a:latin typeface="Quattrocento Sans"/>
                <a:ea typeface="Quattrocento Sans"/>
                <a:cs typeface="Quattrocento Sans"/>
                <a:sym typeface="Quattrocento Sans"/>
              </a:endParaRPr>
            </a:p>
          </xdr:txBody>
        </xdr:sp>
        <xdr:sp macro="" textlink="">
          <xdr:nvSpPr>
            <xdr:cNvPr id="34" name="Shape 30" descr="=SUMIF(D73:D77,&quot;&gt;50&quot;)&#10;&#10;">
              <a:extLst>
                <a:ext uri="{FF2B5EF4-FFF2-40B4-BE49-F238E27FC236}">
                  <a16:creationId xmlns:a16="http://schemas.microsoft.com/office/drawing/2014/main" id="{00000000-0008-0000-0000-000022000000}"/>
                </a:ext>
              </a:extLst>
            </xdr:cNvPr>
            <xdr:cNvSpPr txBox="1"/>
          </xdr:nvSpPr>
          <xdr:spPr>
            <a:xfrm>
              <a:off x="541774" y="15649277"/>
              <a:ext cx="3255927" cy="508931"/>
            </a:xfrm>
            <a:prstGeom prst="rect">
              <a:avLst/>
            </a:prstGeom>
            <a:noFill/>
            <a:ln>
              <a:noFill/>
            </a:ln>
          </xdr:spPr>
          <xdr:txBody>
            <a:bodyPr spcFirstLastPara="1" wrap="square" lIns="0" tIns="0" rIns="0" bIns="0" anchor="t" anchorCtr="0">
              <a:noAutofit/>
            </a:bodyPr>
            <a:lstStyle/>
            <a:p>
              <a:pPr marL="0" marR="0" lvl="0" indent="0" algn="l" rtl="0">
                <a:spcBef>
                  <a:spcPts val="0"/>
                </a:spcBef>
                <a:spcAft>
                  <a:spcPts val="0"/>
                </a:spcAft>
                <a:buNone/>
              </a:pPr>
              <a:r>
                <a:rPr lang="en-US" sz="2000">
                  <a:solidFill>
                    <a:schemeClr val="dk1"/>
                  </a:solidFill>
                  <a:latin typeface="Courier New"/>
                  <a:ea typeface="Courier New"/>
                  <a:cs typeface="Courier New"/>
                  <a:sym typeface="Courier New"/>
                </a:rPr>
                <a:t>=SUMIF(D73:D77,"&gt;50")</a:t>
              </a:r>
              <a:endParaRPr sz="1400"/>
            </a:p>
            <a:p>
              <a:pPr marL="0" marR="0" lvl="0" indent="0" algn="l" rtl="0">
                <a:spcBef>
                  <a:spcPts val="0"/>
                </a:spcBef>
                <a:spcAft>
                  <a:spcPts val="0"/>
                </a:spcAft>
                <a:buNone/>
              </a:pPr>
              <a:endParaRPr sz="2000">
                <a:latin typeface="Times New Roman"/>
                <a:ea typeface="Times New Roman"/>
                <a:cs typeface="Times New Roman"/>
                <a:sym typeface="Times New Roman"/>
              </a:endParaRPr>
            </a:p>
          </xdr:txBody>
        </xdr:sp>
        <xdr:sp macro="" textlink="">
          <xdr:nvSpPr>
            <xdr:cNvPr id="35" name="Shape 31">
              <a:extLst>
                <a:ext uri="{FF2B5EF4-FFF2-40B4-BE49-F238E27FC236}">
                  <a16:creationId xmlns:a16="http://schemas.microsoft.com/office/drawing/2014/main" id="{00000000-0008-0000-0000-000023000000}"/>
                </a:ext>
              </a:extLst>
            </xdr:cNvPr>
            <xdr:cNvSpPr/>
          </xdr:nvSpPr>
          <xdr:spPr>
            <a:xfrm rot="5400000">
              <a:off x="989434" y="15232721"/>
              <a:ext cx="197659" cy="773389"/>
            </a:xfrm>
            <a:prstGeom prst="leftBrace">
              <a:avLst>
                <a:gd name="adj1" fmla="val 8333"/>
                <a:gd name="adj2" fmla="val 50000"/>
              </a:avLst>
            </a:prstGeom>
            <a:noFill/>
            <a:ln w="9525" cap="flat" cmpd="sng">
              <a:solidFill>
                <a:schemeClr val="accent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1100"/>
            </a:p>
          </xdr:txBody>
        </xdr:sp>
        <xdr:sp macro="" textlink="">
          <xdr:nvSpPr>
            <xdr:cNvPr id="36" name="Shape 32" descr="Sum up some values based on this criterion:&#10;">
              <a:extLst>
                <a:ext uri="{FF2B5EF4-FFF2-40B4-BE49-F238E27FC236}">
                  <a16:creationId xmlns:a16="http://schemas.microsoft.com/office/drawing/2014/main" id="{00000000-0008-0000-0000-000024000000}"/>
                </a:ext>
              </a:extLst>
            </xdr:cNvPr>
            <xdr:cNvSpPr txBox="1"/>
          </xdr:nvSpPr>
          <xdr:spPr>
            <a:xfrm>
              <a:off x="521615" y="14670791"/>
              <a:ext cx="977785" cy="851656"/>
            </a:xfrm>
            <a:prstGeom prst="rect">
              <a:avLst/>
            </a:prstGeom>
            <a:solidFill>
              <a:srgbClr val="DDEAF6"/>
            </a:solidFill>
            <a:ln>
              <a:noFill/>
            </a:ln>
          </xdr:spPr>
          <xdr:txBody>
            <a:bodyPr spcFirstLastPara="1" wrap="square" lIns="91425" tIns="45700" rIns="91425" bIns="45700" anchor="t" anchorCtr="0">
              <a:noAutofit/>
            </a:bodyPr>
            <a:lstStyle/>
            <a:p>
              <a:pPr marL="0" marR="0" lvl="0" indent="0" algn="l" rtl="0">
                <a:lnSpc>
                  <a:spcPct val="107000"/>
                </a:lnSpc>
                <a:spcBef>
                  <a:spcPts val="0"/>
                </a:spcBef>
                <a:spcAft>
                  <a:spcPts val="0"/>
                </a:spcAft>
                <a:buNone/>
              </a:pPr>
              <a:r>
                <a:rPr lang="en-US" sz="1100">
                  <a:latin typeface="Calibri"/>
                  <a:ea typeface="Calibri"/>
                  <a:cs typeface="Calibri"/>
                  <a:sym typeface="Calibri"/>
                </a:rPr>
                <a:t>Sum up some values based on this criterion:</a:t>
              </a:r>
              <a:endParaRPr sz="1400"/>
            </a:p>
          </xdr:txBody>
        </xdr:sp>
        <xdr:sp macro="" textlink="">
          <xdr:nvSpPr>
            <xdr:cNvPr id="37" name="Shape 33">
              <a:extLst>
                <a:ext uri="{FF2B5EF4-FFF2-40B4-BE49-F238E27FC236}">
                  <a16:creationId xmlns:a16="http://schemas.microsoft.com/office/drawing/2014/main" id="{00000000-0008-0000-0000-000025000000}"/>
                </a:ext>
              </a:extLst>
            </xdr:cNvPr>
            <xdr:cNvSpPr/>
          </xdr:nvSpPr>
          <xdr:spPr>
            <a:xfrm rot="5400000">
              <a:off x="2044105" y="15077305"/>
              <a:ext cx="197374" cy="1072126"/>
            </a:xfrm>
            <a:prstGeom prst="leftBrace">
              <a:avLst>
                <a:gd name="adj1" fmla="val 8333"/>
                <a:gd name="adj2" fmla="val 38318"/>
              </a:avLst>
            </a:prstGeom>
            <a:noFill/>
            <a:ln w="9525" cap="flat" cmpd="sng">
              <a:solidFill>
                <a:schemeClr val="accent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1100"/>
            </a:p>
          </xdr:txBody>
        </xdr:sp>
        <xdr:sp macro="" textlink="">
          <xdr:nvSpPr>
            <xdr:cNvPr id="38" name="Shape 34" descr="....Look through these cells...&#10; &#10;">
              <a:extLst>
                <a:ext uri="{FF2B5EF4-FFF2-40B4-BE49-F238E27FC236}">
                  <a16:creationId xmlns:a16="http://schemas.microsoft.com/office/drawing/2014/main" id="{00000000-0008-0000-0000-000026000000}"/>
                </a:ext>
              </a:extLst>
            </xdr:cNvPr>
            <xdr:cNvSpPr txBox="1"/>
          </xdr:nvSpPr>
          <xdr:spPr>
            <a:xfrm>
              <a:off x="1588253" y="14671077"/>
              <a:ext cx="1102580" cy="851657"/>
            </a:xfrm>
            <a:prstGeom prst="rect">
              <a:avLst/>
            </a:prstGeom>
            <a:solidFill>
              <a:srgbClr val="DDEAF6"/>
            </a:solidFill>
            <a:ln>
              <a:noFill/>
            </a:ln>
          </xdr:spPr>
          <xdr:txBody>
            <a:bodyPr spcFirstLastPara="1" wrap="square" lIns="91425" tIns="45700" rIns="91425" bIns="45700" anchor="t" anchorCtr="0">
              <a:noAutofit/>
            </a:bodyPr>
            <a:lstStyle/>
            <a:p>
              <a:pPr marL="0" marR="0" lvl="0" indent="0" algn="l" rtl="0">
                <a:lnSpc>
                  <a:spcPct val="107000"/>
                </a:lnSpc>
                <a:spcBef>
                  <a:spcPts val="0"/>
                </a:spcBef>
                <a:spcAft>
                  <a:spcPts val="0"/>
                </a:spcAft>
                <a:buNone/>
              </a:pPr>
              <a:r>
                <a:rPr lang="en-US" sz="1100">
                  <a:latin typeface="Calibri"/>
                  <a:ea typeface="Calibri"/>
                  <a:cs typeface="Calibri"/>
                  <a:sym typeface="Calibri"/>
                </a:rPr>
                <a:t>....Look through these cells...</a:t>
              </a:r>
              <a:endParaRPr sz="1400"/>
            </a:p>
            <a:p>
              <a:pPr marL="0" marR="0" lvl="0" indent="0" algn="l" rtl="0">
                <a:lnSpc>
                  <a:spcPct val="107000"/>
                </a:lnSpc>
                <a:spcBef>
                  <a:spcPts val="800"/>
                </a:spcBef>
                <a:spcAft>
                  <a:spcPts val="0"/>
                </a:spcAft>
                <a:buNone/>
              </a:pPr>
              <a:r>
                <a:rPr lang="en-US" sz="1100">
                  <a:latin typeface="Calibri"/>
                  <a:ea typeface="Calibri"/>
                  <a:cs typeface="Calibri"/>
                  <a:sym typeface="Calibri"/>
                </a:rPr>
                <a:t> </a:t>
              </a:r>
              <a:endParaRPr sz="1400"/>
            </a:p>
          </xdr:txBody>
        </xdr:sp>
        <xdr:sp macro="" textlink="">
          <xdr:nvSpPr>
            <xdr:cNvPr id="39" name="Shape 35" descr="...and if the value is greater than 50, sum it up&#10; &#10;">
              <a:extLst>
                <a:ext uri="{FF2B5EF4-FFF2-40B4-BE49-F238E27FC236}">
                  <a16:creationId xmlns:a16="http://schemas.microsoft.com/office/drawing/2014/main" id="{00000000-0008-0000-0000-000027000000}"/>
                </a:ext>
              </a:extLst>
            </xdr:cNvPr>
            <xdr:cNvSpPr txBox="1"/>
          </xdr:nvSpPr>
          <xdr:spPr>
            <a:xfrm>
              <a:off x="2774686" y="14671077"/>
              <a:ext cx="976295" cy="851657"/>
            </a:xfrm>
            <a:prstGeom prst="rect">
              <a:avLst/>
            </a:prstGeom>
            <a:solidFill>
              <a:srgbClr val="DDEAF6"/>
            </a:solidFill>
            <a:ln>
              <a:noFill/>
            </a:ln>
          </xdr:spPr>
          <xdr:txBody>
            <a:bodyPr spcFirstLastPara="1" wrap="square" lIns="91425" tIns="45700" rIns="91425" bIns="45700" anchor="t" anchorCtr="0">
              <a:noAutofit/>
            </a:bodyPr>
            <a:lstStyle/>
            <a:p>
              <a:pPr marL="0" marR="0" lvl="0" indent="0" algn="l" rtl="0">
                <a:lnSpc>
                  <a:spcPct val="107000"/>
                </a:lnSpc>
                <a:spcBef>
                  <a:spcPts val="0"/>
                </a:spcBef>
                <a:spcAft>
                  <a:spcPts val="0"/>
                </a:spcAft>
                <a:buNone/>
              </a:pPr>
              <a:r>
                <a:rPr lang="en-US" sz="1100">
                  <a:latin typeface="Calibri"/>
                  <a:ea typeface="Calibri"/>
                  <a:cs typeface="Calibri"/>
                  <a:sym typeface="Calibri"/>
                </a:rPr>
                <a:t>...and if the value is greater than 50, sum it up.</a:t>
              </a:r>
              <a:endParaRPr sz="1400"/>
            </a:p>
            <a:p>
              <a:pPr marL="0" marR="0" lvl="0" indent="0" algn="l" rtl="0">
                <a:lnSpc>
                  <a:spcPct val="107000"/>
                </a:lnSpc>
                <a:spcBef>
                  <a:spcPts val="800"/>
                </a:spcBef>
                <a:spcAft>
                  <a:spcPts val="0"/>
                </a:spcAft>
                <a:buNone/>
              </a:pPr>
              <a:r>
                <a:rPr lang="en-US" sz="1100">
                  <a:latin typeface="Calibri"/>
                  <a:ea typeface="Calibri"/>
                  <a:cs typeface="Calibri"/>
                  <a:sym typeface="Calibri"/>
                </a:rPr>
                <a:t> </a:t>
              </a:r>
              <a:endParaRPr sz="1400"/>
            </a:p>
          </xdr:txBody>
        </xdr:sp>
        <xdr:sp macro="" textlink="">
          <xdr:nvSpPr>
            <xdr:cNvPr id="40" name="Shape 36">
              <a:extLst>
                <a:ext uri="{FF2B5EF4-FFF2-40B4-BE49-F238E27FC236}">
                  <a16:creationId xmlns:a16="http://schemas.microsoft.com/office/drawing/2014/main" id="{00000000-0008-0000-0000-000028000000}"/>
                </a:ext>
              </a:extLst>
            </xdr:cNvPr>
            <xdr:cNvSpPr/>
          </xdr:nvSpPr>
          <xdr:spPr>
            <a:xfrm rot="5400000">
              <a:off x="3128991" y="15232250"/>
              <a:ext cx="197374" cy="762237"/>
            </a:xfrm>
            <a:prstGeom prst="leftBrace">
              <a:avLst>
                <a:gd name="adj1" fmla="val 8333"/>
                <a:gd name="adj2" fmla="val 38318"/>
              </a:avLst>
            </a:prstGeom>
            <a:noFill/>
            <a:ln w="9525" cap="flat" cmpd="sng">
              <a:solidFill>
                <a:schemeClr val="accent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1100"/>
            </a:p>
          </xdr:txBody>
        </xdr:sp>
      </xdr:grpSp>
    </xdr:grpSp>
    <xdr:clientData fLocksWithSheet="0"/>
  </xdr:oneCellAnchor>
  <xdr:oneCellAnchor>
    <xdr:from>
      <xdr:col>2</xdr:col>
      <xdr:colOff>114300</xdr:colOff>
      <xdr:row>53</xdr:row>
      <xdr:rowOff>47625</xdr:rowOff>
    </xdr:from>
    <xdr:ext cx="3562350" cy="1838325"/>
    <xdr:grpSp>
      <xdr:nvGrpSpPr>
        <xdr:cNvPr id="41" name="Shape 2">
          <a:extLst>
            <a:ext uri="{FF2B5EF4-FFF2-40B4-BE49-F238E27FC236}">
              <a16:creationId xmlns:a16="http://schemas.microsoft.com/office/drawing/2014/main" id="{00000000-0008-0000-0000-000029000000}"/>
            </a:ext>
          </a:extLst>
        </xdr:cNvPr>
        <xdr:cNvGrpSpPr/>
      </xdr:nvGrpSpPr>
      <xdr:grpSpPr>
        <a:xfrm>
          <a:off x="6486525" y="10772775"/>
          <a:ext cx="3562350" cy="1838325"/>
          <a:chOff x="3564825" y="2786101"/>
          <a:chExt cx="3562350" cy="1913063"/>
        </a:xfrm>
      </xdr:grpSpPr>
      <xdr:grpSp>
        <xdr:nvGrpSpPr>
          <xdr:cNvPr id="42" name="Shape 37" descr="IMPORTANT DETAIL&#10;Double-click this cell. You'll notice the 100 toward the end. Although it's possible to put numbers in a formula like this, we don't recommend it unless it's absolutely necessary. This is known as a constant, and it's easy to forget that it's there. We recommended referring to another cell instead. That way it's easily seen and not hidden inside a formula&#10;">
            <a:extLst>
              <a:ext uri="{FF2B5EF4-FFF2-40B4-BE49-F238E27FC236}">
                <a16:creationId xmlns:a16="http://schemas.microsoft.com/office/drawing/2014/main" id="{00000000-0008-0000-0000-00002A000000}"/>
              </a:ext>
            </a:extLst>
          </xdr:cNvPr>
          <xdr:cNvGrpSpPr/>
        </xdr:nvGrpSpPr>
        <xdr:grpSpPr>
          <a:xfrm>
            <a:off x="3564825" y="2786101"/>
            <a:ext cx="3562350" cy="1913063"/>
            <a:chOff x="6788150" y="10890734"/>
            <a:chExt cx="3714750" cy="1777516"/>
          </a:xfrm>
        </xdr:grpSpPr>
        <xdr:sp macro="" textlink="">
          <xdr:nvSpPr>
            <xdr:cNvPr id="43" name="Shape 4">
              <a:extLst>
                <a:ext uri="{FF2B5EF4-FFF2-40B4-BE49-F238E27FC236}">
                  <a16:creationId xmlns:a16="http://schemas.microsoft.com/office/drawing/2014/main" id="{00000000-0008-0000-0000-00002B000000}"/>
                </a:ext>
              </a:extLst>
            </xdr:cNvPr>
            <xdr:cNvSpPr/>
          </xdr:nvSpPr>
          <xdr:spPr>
            <a:xfrm>
              <a:off x="6788150" y="10960177"/>
              <a:ext cx="3714750" cy="1708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44" name="Shape 38" descr="IMPORTANT DETAIL&#10;Double-click this cell. You'll notice the 100 toward the end. Although it's possible to put numbers in a formula like this, we don't recommend it unless it's absolutely necessary. This is known as a constant, and it's easy to forget that it's there. We recommend referring to another cell instead, like cell D16. That way it's easily seen and not hidden inside a formula&#10;">
              <a:extLst>
                <a:ext uri="{FF2B5EF4-FFF2-40B4-BE49-F238E27FC236}">
                  <a16:creationId xmlns:a16="http://schemas.microsoft.com/office/drawing/2014/main" id="{00000000-0008-0000-0000-00002C000000}"/>
                </a:ext>
              </a:extLst>
            </xdr:cNvPr>
            <xdr:cNvSpPr txBox="1"/>
          </xdr:nvSpPr>
          <xdr:spPr>
            <a:xfrm>
              <a:off x="7073900" y="11363325"/>
              <a:ext cx="3429000" cy="130492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200" b="1">
                  <a:solidFill>
                    <a:srgbClr val="F4B081"/>
                  </a:solidFill>
                  <a:latin typeface="Quattrocento Sans"/>
                  <a:ea typeface="Quattrocento Sans"/>
                  <a:cs typeface="Quattrocento Sans"/>
                  <a:sym typeface="Quattrocento Sans"/>
                </a:rPr>
                <a:t>IMPORTANT DETAIL</a:t>
              </a:r>
              <a:endParaRPr sz="1200" b="1">
                <a:solidFill>
                  <a:srgbClr val="F4B081"/>
                </a:solidFill>
                <a:latin typeface="Quattrocento Sans"/>
                <a:ea typeface="Quattrocento Sans"/>
                <a:cs typeface="Quattrocento Sans"/>
                <a:sym typeface="Quattrocento Sans"/>
              </a:endParaRPr>
            </a:p>
            <a:p>
              <a:pPr marL="0" lvl="0" indent="0" algn="l" rtl="0">
                <a:spcBef>
                  <a:spcPts val="0"/>
                </a:spcBef>
                <a:spcAft>
                  <a:spcPts val="0"/>
                </a:spcAft>
                <a:buNone/>
              </a:pPr>
              <a:r>
                <a:rPr lang="en-US" sz="1100" b="0" i="0">
                  <a:solidFill>
                    <a:schemeClr val="dk1"/>
                  </a:solidFill>
                  <a:latin typeface="Calibri"/>
                  <a:ea typeface="Calibri"/>
                  <a:cs typeface="Calibri"/>
                  <a:sym typeface="Calibri"/>
                </a:rPr>
                <a:t>Double-click this cell. You'll notice the </a:t>
              </a:r>
              <a:r>
                <a:rPr lang="en-US" sz="1100" b="0" i="1">
                  <a:solidFill>
                    <a:schemeClr val="dk1"/>
                  </a:solidFill>
                  <a:latin typeface="Calibri"/>
                  <a:ea typeface="Calibri"/>
                  <a:cs typeface="Calibri"/>
                  <a:sym typeface="Calibri"/>
                </a:rPr>
                <a:t>100</a:t>
              </a:r>
              <a:r>
                <a:rPr lang="en-US" sz="1100" b="0" i="0">
                  <a:solidFill>
                    <a:schemeClr val="dk1"/>
                  </a:solidFill>
                  <a:latin typeface="Calibri"/>
                  <a:ea typeface="Calibri"/>
                  <a:cs typeface="Calibri"/>
                  <a:sym typeface="Calibri"/>
                </a:rPr>
                <a:t> toward the end. Although it's possible to put numbers in a formula like this, we don't recommend it unless it's absolutely necessary. This is known as a </a:t>
              </a:r>
              <a:r>
                <a:rPr lang="en-US" sz="1100" b="1" i="0">
                  <a:solidFill>
                    <a:schemeClr val="dk1"/>
                  </a:solidFill>
                  <a:latin typeface="Calibri"/>
                  <a:ea typeface="Calibri"/>
                  <a:cs typeface="Calibri"/>
                  <a:sym typeface="Calibri"/>
                </a:rPr>
                <a:t>constant</a:t>
              </a:r>
              <a:r>
                <a:rPr lang="en-US" sz="1100" b="0" i="0">
                  <a:solidFill>
                    <a:schemeClr val="dk1"/>
                  </a:solidFill>
                  <a:latin typeface="Calibri"/>
                  <a:ea typeface="Calibri"/>
                  <a:cs typeface="Calibri"/>
                  <a:sym typeface="Calibri"/>
                </a:rPr>
                <a:t>, and it's easy to forget that it's there. We recommend referring to another cell instead, like cell D16. That way it's easily seen and not hidden inside a formula. </a:t>
              </a:r>
              <a:endParaRPr sz="1100"/>
            </a:p>
          </xdr:txBody>
        </xdr:sp>
        <xdr:pic>
          <xdr:nvPicPr>
            <xdr:cNvPr id="45" name="Shape 39" descr="Magnifying glass">
              <a:extLst>
                <a:ext uri="{FF2B5EF4-FFF2-40B4-BE49-F238E27FC236}">
                  <a16:creationId xmlns:a16="http://schemas.microsoft.com/office/drawing/2014/main" id="{00000000-0008-0000-0000-00002D000000}"/>
                </a:ext>
              </a:extLst>
            </xdr:cNvPr>
            <xdr:cNvPicPr preferRelativeResize="0"/>
          </xdr:nvPicPr>
          <xdr:blipFill rotWithShape="1">
            <a:blip xmlns:r="http://schemas.openxmlformats.org/officeDocument/2006/relationships" r:embed="rId10">
              <a:alphaModFix/>
            </a:blip>
            <a:srcRect/>
            <a:stretch/>
          </xdr:blipFill>
          <xdr:spPr>
            <a:xfrm flipH="1">
              <a:off x="6788150" y="11420475"/>
              <a:ext cx="352313" cy="339611"/>
            </a:xfrm>
            <a:prstGeom prst="rect">
              <a:avLst/>
            </a:prstGeom>
            <a:noFill/>
            <a:ln>
              <a:noFill/>
            </a:ln>
          </xdr:spPr>
        </xdr:pic>
        <xdr:sp macro="" textlink="">
          <xdr:nvSpPr>
            <xdr:cNvPr id="46" name="Shape 40" descr="Arrow">
              <a:extLst>
                <a:ext uri="{FF2B5EF4-FFF2-40B4-BE49-F238E27FC236}">
                  <a16:creationId xmlns:a16="http://schemas.microsoft.com/office/drawing/2014/main" id="{00000000-0008-0000-0000-00002E000000}"/>
                </a:ext>
              </a:extLst>
            </xdr:cNvPr>
            <xdr:cNvSpPr/>
          </xdr:nvSpPr>
          <xdr:spPr>
            <a:xfrm rot="3874191">
              <a:off x="8229331" y="10969973"/>
              <a:ext cx="442979" cy="423388"/>
            </a:xfrm>
            <a:prstGeom prst="arc">
              <a:avLst>
                <a:gd name="adj1" fmla="val 15011426"/>
                <a:gd name="adj2" fmla="val 672396"/>
              </a:avLst>
            </a:prstGeom>
            <a:noFill/>
            <a:ln w="19050" cap="flat" cmpd="sng">
              <a:solidFill>
                <a:srgbClr val="F4B081"/>
              </a:solidFill>
              <a:prstDash val="solid"/>
              <a:round/>
              <a:headEnd type="triangle" w="med" len="med"/>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grpSp>
    </xdr:grpSp>
    <xdr:clientData fLocksWithSheet="0"/>
  </xdr:oneCellAnchor>
  <xdr:oneCellAnchor>
    <xdr:from>
      <xdr:col>3</xdr:col>
      <xdr:colOff>561975</xdr:colOff>
      <xdr:row>36</xdr:row>
      <xdr:rowOff>76200</xdr:rowOff>
    </xdr:from>
    <xdr:ext cx="2552700" cy="1409700"/>
    <xdr:grpSp>
      <xdr:nvGrpSpPr>
        <xdr:cNvPr id="47" name="Shape 2">
          <a:extLst>
            <a:ext uri="{FF2B5EF4-FFF2-40B4-BE49-F238E27FC236}">
              <a16:creationId xmlns:a16="http://schemas.microsoft.com/office/drawing/2014/main" id="{00000000-0008-0000-0000-00002F000000}"/>
            </a:ext>
          </a:extLst>
        </xdr:cNvPr>
        <xdr:cNvGrpSpPr/>
      </xdr:nvGrpSpPr>
      <xdr:grpSpPr>
        <a:xfrm>
          <a:off x="7524750" y="7524750"/>
          <a:ext cx="2552700" cy="1409700"/>
          <a:chOff x="4011482" y="3075150"/>
          <a:chExt cx="2610868" cy="1409700"/>
        </a:xfrm>
      </xdr:grpSpPr>
      <xdr:grpSp>
        <xdr:nvGrpSpPr>
          <xdr:cNvPr id="48" name="Shape 41" descr="CHECK THIS OUT&#10;Select these cells. Then in the lower-right corner of the Excel window, look for this:&#10;SUM: 170&#10;That's just another way to quickly find a total&#10;">
            <a:extLst>
              <a:ext uri="{FF2B5EF4-FFF2-40B4-BE49-F238E27FC236}">
                <a16:creationId xmlns:a16="http://schemas.microsoft.com/office/drawing/2014/main" id="{00000000-0008-0000-0000-000030000000}"/>
              </a:ext>
            </a:extLst>
          </xdr:cNvPr>
          <xdr:cNvGrpSpPr/>
        </xdr:nvGrpSpPr>
        <xdr:grpSpPr>
          <a:xfrm>
            <a:off x="4011482" y="3075150"/>
            <a:ext cx="2610868" cy="1409700"/>
            <a:chOff x="7481072" y="7993902"/>
            <a:chExt cx="2620473" cy="1409701"/>
          </a:xfrm>
        </xdr:grpSpPr>
        <xdr:sp macro="" textlink="">
          <xdr:nvSpPr>
            <xdr:cNvPr id="49" name="Shape 4">
              <a:extLst>
                <a:ext uri="{FF2B5EF4-FFF2-40B4-BE49-F238E27FC236}">
                  <a16:creationId xmlns:a16="http://schemas.microsoft.com/office/drawing/2014/main" id="{00000000-0008-0000-0000-000031000000}"/>
                </a:ext>
              </a:extLst>
            </xdr:cNvPr>
            <xdr:cNvSpPr/>
          </xdr:nvSpPr>
          <xdr:spPr>
            <a:xfrm>
              <a:off x="7539454" y="7993902"/>
              <a:ext cx="2562075" cy="14097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50" name="Shape 42">
              <a:extLst>
                <a:ext uri="{FF2B5EF4-FFF2-40B4-BE49-F238E27FC236}">
                  <a16:creationId xmlns:a16="http://schemas.microsoft.com/office/drawing/2014/main" id="{00000000-0008-0000-0000-000032000000}"/>
                </a:ext>
              </a:extLst>
            </xdr:cNvPr>
            <xdr:cNvGrpSpPr/>
          </xdr:nvGrpSpPr>
          <xdr:grpSpPr>
            <a:xfrm rot="599914">
              <a:off x="7539454" y="8145377"/>
              <a:ext cx="293814" cy="698211"/>
              <a:chOff x="9871108" y="1184220"/>
              <a:chExt cx="273326" cy="789155"/>
            </a:xfrm>
          </xdr:grpSpPr>
          <xdr:sp macro="" textlink="">
            <xdr:nvSpPr>
              <xdr:cNvPr id="51" name="Shape 43" descr="Bracket line">
                <a:extLst>
                  <a:ext uri="{FF2B5EF4-FFF2-40B4-BE49-F238E27FC236}">
                    <a16:creationId xmlns:a16="http://schemas.microsoft.com/office/drawing/2014/main" id="{00000000-0008-0000-0000-000033000000}"/>
                  </a:ext>
                </a:extLst>
              </xdr:cNvPr>
              <xdr:cNvSpPr/>
            </xdr:nvSpPr>
            <xdr:spPr>
              <a:xfrm>
                <a:off x="9871108" y="1184220"/>
                <a:ext cx="273326" cy="262769"/>
              </a:xfrm>
              <a:custGeom>
                <a:avLst/>
                <a:gdLst/>
                <a:ahLst/>
                <a:cxnLst/>
                <a:rect l="l" t="t" r="r" b="b"/>
                <a:pathLst>
                  <a:path w="273326" h="217696" extrusionOk="0">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cap="flat" cmpd="sng">
                <a:solidFill>
                  <a:srgbClr val="F4B08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lt1"/>
                  </a:solidFill>
                  <a:latin typeface="Calibri"/>
                  <a:ea typeface="Calibri"/>
                  <a:cs typeface="Calibri"/>
                  <a:sym typeface="Calibri"/>
                </a:endParaRPr>
              </a:p>
            </xdr:txBody>
          </xdr:sp>
          <xdr:sp macro="" textlink="">
            <xdr:nvSpPr>
              <xdr:cNvPr id="52" name="Shape 44" descr="Bracket line&#10;">
                <a:extLst>
                  <a:ext uri="{FF2B5EF4-FFF2-40B4-BE49-F238E27FC236}">
                    <a16:creationId xmlns:a16="http://schemas.microsoft.com/office/drawing/2014/main" id="{00000000-0008-0000-0000-000034000000}"/>
                  </a:ext>
                </a:extLst>
              </xdr:cNvPr>
              <xdr:cNvSpPr/>
            </xdr:nvSpPr>
            <xdr:spPr>
              <a:xfrm>
                <a:off x="9983011" y="1430777"/>
                <a:ext cx="160895" cy="542598"/>
              </a:xfrm>
              <a:custGeom>
                <a:avLst/>
                <a:gdLst/>
                <a:ahLst/>
                <a:cxnLst/>
                <a:rect l="l" t="t" r="r" b="b"/>
                <a:pathLst>
                  <a:path w="231913" h="579782" extrusionOk="0">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cap="flat" cmpd="sng">
                <a:solidFill>
                  <a:srgbClr val="F4B08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lt1"/>
                  </a:solidFill>
                  <a:latin typeface="Calibri"/>
                  <a:ea typeface="Calibri"/>
                  <a:cs typeface="Calibri"/>
                  <a:sym typeface="Calibri"/>
                </a:endParaRPr>
              </a:p>
            </xdr:txBody>
          </xdr:sp>
        </xdr:grpSp>
        <xdr:pic>
          <xdr:nvPicPr>
            <xdr:cNvPr id="53" name="Shape 45" descr="Stars">
              <a:extLst>
                <a:ext uri="{FF2B5EF4-FFF2-40B4-BE49-F238E27FC236}">
                  <a16:creationId xmlns:a16="http://schemas.microsoft.com/office/drawing/2014/main" id="{00000000-0008-0000-0000-000035000000}"/>
                </a:ext>
              </a:extLst>
            </xdr:cNvPr>
            <xdr:cNvPicPr preferRelativeResize="0"/>
          </xdr:nvPicPr>
          <xdr:blipFill rotWithShape="1">
            <a:blip xmlns:r="http://schemas.openxmlformats.org/officeDocument/2006/relationships" r:embed="rId11">
              <a:alphaModFix/>
            </a:blip>
            <a:srcRect/>
            <a:stretch/>
          </xdr:blipFill>
          <xdr:spPr>
            <a:xfrm>
              <a:off x="7830674" y="8038700"/>
              <a:ext cx="388098" cy="337815"/>
            </a:xfrm>
            <a:prstGeom prst="rect">
              <a:avLst/>
            </a:prstGeom>
            <a:noFill/>
            <a:ln>
              <a:noFill/>
            </a:ln>
          </xdr:spPr>
        </xdr:pic>
        <xdr:sp macro="" textlink="">
          <xdr:nvSpPr>
            <xdr:cNvPr id="54" name="Shape 46" descr="Select these cells. Then in the lower-right corner of the Excel window, look for this:&#10;Sum: 170&#10;That's just another way to quickly find a total&#10;">
              <a:extLst>
                <a:ext uri="{FF2B5EF4-FFF2-40B4-BE49-F238E27FC236}">
                  <a16:creationId xmlns:a16="http://schemas.microsoft.com/office/drawing/2014/main" id="{00000000-0008-0000-0000-000036000000}"/>
                </a:ext>
              </a:extLst>
            </xdr:cNvPr>
            <xdr:cNvSpPr txBox="1"/>
          </xdr:nvSpPr>
          <xdr:spPr>
            <a:xfrm>
              <a:off x="8132529" y="7993902"/>
              <a:ext cx="1969016" cy="1409701"/>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200" b="1">
                  <a:solidFill>
                    <a:srgbClr val="F4B081"/>
                  </a:solidFill>
                  <a:latin typeface="Quattrocento Sans"/>
                  <a:ea typeface="Quattrocento Sans"/>
                  <a:cs typeface="Quattrocento Sans"/>
                  <a:sym typeface="Quattrocento Sans"/>
                </a:rPr>
                <a:t>CHECK THIS OUT</a:t>
              </a:r>
              <a:endParaRPr sz="1400"/>
            </a:p>
            <a:p>
              <a:pPr marL="0" lvl="0" indent="0" algn="l" rtl="0">
                <a:spcBef>
                  <a:spcPts val="0"/>
                </a:spcBef>
                <a:spcAft>
                  <a:spcPts val="0"/>
                </a:spcAft>
                <a:buNone/>
              </a:pPr>
              <a:r>
                <a:rPr lang="en-US" sz="1100">
                  <a:solidFill>
                    <a:srgbClr val="3A3838"/>
                  </a:solidFill>
                  <a:latin typeface="Calibri"/>
                  <a:ea typeface="Calibri"/>
                  <a:cs typeface="Calibri"/>
                  <a:sym typeface="Calibri"/>
                </a:rPr>
                <a:t>Select these cells. Then in the lower-right corner of the Excel window, look for this:</a:t>
              </a:r>
              <a:endParaRPr sz="1400"/>
            </a:p>
            <a:p>
              <a:pPr marL="0" lvl="0" indent="0" algn="l" rtl="0">
                <a:spcBef>
                  <a:spcPts val="0"/>
                </a:spcBef>
                <a:spcAft>
                  <a:spcPts val="0"/>
                </a:spcAft>
                <a:buNone/>
              </a:pPr>
              <a:br>
                <a:rPr lang="en-US" sz="1100">
                  <a:solidFill>
                    <a:srgbClr val="3A3838"/>
                  </a:solidFill>
                  <a:latin typeface="Calibri"/>
                  <a:ea typeface="Calibri"/>
                  <a:cs typeface="Calibri"/>
                  <a:sym typeface="Calibri"/>
                </a:rPr>
              </a:br>
              <a:endParaRPr sz="1100">
                <a:solidFill>
                  <a:srgbClr val="3A3838"/>
                </a:solidFill>
                <a:latin typeface="Calibri"/>
                <a:ea typeface="Calibri"/>
                <a:cs typeface="Calibri"/>
                <a:sym typeface="Calibri"/>
              </a:endParaRPr>
            </a:p>
            <a:p>
              <a:pPr marL="0" lvl="0" indent="0" algn="l" rtl="0">
                <a:spcBef>
                  <a:spcPts val="0"/>
                </a:spcBef>
                <a:spcAft>
                  <a:spcPts val="0"/>
                </a:spcAft>
                <a:buNone/>
              </a:pPr>
              <a:r>
                <a:rPr lang="en-US" sz="1100">
                  <a:solidFill>
                    <a:srgbClr val="3A3838"/>
                  </a:solidFill>
                  <a:latin typeface="Calibri"/>
                  <a:ea typeface="Calibri"/>
                  <a:cs typeface="Calibri"/>
                  <a:sym typeface="Calibri"/>
                </a:rPr>
                <a:t>That's just another way to quickly find a total. </a:t>
              </a:r>
              <a:endParaRPr sz="1100">
                <a:solidFill>
                  <a:srgbClr val="3A3838"/>
                </a:solidFill>
                <a:latin typeface="Calibri"/>
                <a:ea typeface="Calibri"/>
                <a:cs typeface="Calibri"/>
                <a:sym typeface="Calibri"/>
              </a:endParaRPr>
            </a:p>
          </xdr:txBody>
        </xdr:sp>
      </xdr:grpSp>
    </xdr:grpSp>
    <xdr:clientData fLocksWithSheet="0"/>
  </xdr:oneCellAnchor>
  <xdr:oneCellAnchor>
    <xdr:from>
      <xdr:col>0</xdr:col>
      <xdr:colOff>342900</xdr:colOff>
      <xdr:row>25</xdr:row>
      <xdr:rowOff>171450</xdr:rowOff>
    </xdr:from>
    <xdr:ext cx="5695950" cy="7362825"/>
    <xdr:grpSp>
      <xdr:nvGrpSpPr>
        <xdr:cNvPr id="55" name="Shape 2">
          <a:extLst>
            <a:ext uri="{FF2B5EF4-FFF2-40B4-BE49-F238E27FC236}">
              <a16:creationId xmlns:a16="http://schemas.microsoft.com/office/drawing/2014/main" id="{00000000-0008-0000-0000-000037000000}"/>
            </a:ext>
          </a:extLst>
        </xdr:cNvPr>
        <xdr:cNvGrpSpPr/>
      </xdr:nvGrpSpPr>
      <xdr:grpSpPr>
        <a:xfrm>
          <a:off x="342900" y="5514975"/>
          <a:ext cx="5695950" cy="7362825"/>
          <a:chOff x="2498025" y="98588"/>
          <a:chExt cx="5695950" cy="7362825"/>
        </a:xfrm>
      </xdr:grpSpPr>
      <xdr:grpSp>
        <xdr:nvGrpSpPr>
          <xdr:cNvPr id="56" name="Shape 47" descr="More about the SUM function &#10;In some of the above tips, we taught you how to use the SUM function. Here are &#10;more details about it Double-click a yellow cell on the right, and then read along with the text below. &#10;If the SUM function could talk, it would say this: &#10;Sum up the following: ...the values in &#10;cells D38, D39, D40, and 041. &#10;=SUM(D38:D41) &#10;Here's another way it can be used: &#10;Sum the following: ...the value in cell 049, ...the values in cells G48, G49, G50, and G51, ...and 100&#10;=SUM(D48,G48:G51,100) &#10;The formula above uses the following: &#10;A single cell reference, which is the address&quot; or &quot;name' of a cell. D48 is the single cell reference in the formula above. &#10;A range of cells, which is a series of cells starting at one cell and ending at another. &#10;G48:G51 is the range of cells in the formula. &#10;A constant. The constant in this formula is the number 100">
            <a:extLst>
              <a:ext uri="{FF2B5EF4-FFF2-40B4-BE49-F238E27FC236}">
                <a16:creationId xmlns:a16="http://schemas.microsoft.com/office/drawing/2014/main" id="{00000000-0008-0000-0000-000038000000}"/>
              </a:ext>
            </a:extLst>
          </xdr:cNvPr>
          <xdr:cNvGrpSpPr/>
        </xdr:nvGrpSpPr>
        <xdr:grpSpPr>
          <a:xfrm>
            <a:off x="2498025" y="98588"/>
            <a:ext cx="5695950" cy="7362825"/>
            <a:chOff x="346284" y="5905938"/>
            <a:chExt cx="5737225" cy="6997262"/>
          </a:xfrm>
        </xdr:grpSpPr>
        <xdr:sp macro="" textlink="">
          <xdr:nvSpPr>
            <xdr:cNvPr id="57" name="Shape 4">
              <a:extLst>
                <a:ext uri="{FF2B5EF4-FFF2-40B4-BE49-F238E27FC236}">
                  <a16:creationId xmlns:a16="http://schemas.microsoft.com/office/drawing/2014/main" id="{00000000-0008-0000-0000-000039000000}"/>
                </a:ext>
              </a:extLst>
            </xdr:cNvPr>
            <xdr:cNvSpPr/>
          </xdr:nvSpPr>
          <xdr:spPr>
            <a:xfrm>
              <a:off x="346284" y="5905938"/>
              <a:ext cx="5737225" cy="6997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8" name="Shape 48" descr="Background">
              <a:extLst>
                <a:ext uri="{FF2B5EF4-FFF2-40B4-BE49-F238E27FC236}">
                  <a16:creationId xmlns:a16="http://schemas.microsoft.com/office/drawing/2014/main" id="{00000000-0008-0000-0000-00003A000000}"/>
                </a:ext>
              </a:extLst>
            </xdr:cNvPr>
            <xdr:cNvSpPr/>
          </xdr:nvSpPr>
          <xdr:spPr>
            <a:xfrm>
              <a:off x="346284" y="5905938"/>
              <a:ext cx="5737225" cy="6997262"/>
            </a:xfrm>
            <a:prstGeom prst="rect">
              <a:avLst/>
            </a:prstGeom>
            <a:solidFill>
              <a:srgbClr val="F5F5F5"/>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xnSp macro="">
          <xdr:nvCxnSpPr>
            <xdr:cNvPr id="59" name="Shape 49" descr="Decorative line">
              <a:extLst>
                <a:ext uri="{FF2B5EF4-FFF2-40B4-BE49-F238E27FC236}">
                  <a16:creationId xmlns:a16="http://schemas.microsoft.com/office/drawing/2014/main" id="{00000000-0008-0000-0000-00003B000000}"/>
                </a:ext>
              </a:extLst>
            </xdr:cNvPr>
            <xdr:cNvCxnSpPr/>
          </xdr:nvCxnSpPr>
          <xdr:spPr>
            <a:xfrm>
              <a:off x="581208" y="6510433"/>
              <a:ext cx="5254651" cy="0"/>
            </a:xfrm>
            <a:prstGeom prst="straightConnector1">
              <a:avLst/>
            </a:prstGeom>
            <a:noFill/>
            <a:ln w="25400" cap="flat" cmpd="sng">
              <a:solidFill>
                <a:srgbClr val="217346"/>
              </a:solidFill>
              <a:prstDash val="solid"/>
              <a:round/>
              <a:headEnd type="none" w="sm" len="sm"/>
              <a:tailEnd type="none" w="sm" len="sm"/>
            </a:ln>
          </xdr:spPr>
        </xdr:cxnSp>
        <xdr:cxnSp macro="">
          <xdr:nvCxnSpPr>
            <xdr:cNvPr id="60" name="Shape 50" descr="Decorative line">
              <a:extLst>
                <a:ext uri="{FF2B5EF4-FFF2-40B4-BE49-F238E27FC236}">
                  <a16:creationId xmlns:a16="http://schemas.microsoft.com/office/drawing/2014/main" id="{00000000-0008-0000-0000-00003C000000}"/>
                </a:ext>
              </a:extLst>
            </xdr:cNvPr>
            <xdr:cNvCxnSpPr/>
          </xdr:nvCxnSpPr>
          <xdr:spPr>
            <a:xfrm>
              <a:off x="581208" y="12605900"/>
              <a:ext cx="5254651" cy="0"/>
            </a:xfrm>
            <a:prstGeom prst="straightConnector1">
              <a:avLst/>
            </a:prstGeom>
            <a:noFill/>
            <a:ln w="25400" cap="flat" cmpd="sng">
              <a:solidFill>
                <a:srgbClr val="217346"/>
              </a:solidFill>
              <a:prstDash val="solid"/>
              <a:round/>
              <a:headEnd type="none" w="sm" len="sm"/>
              <a:tailEnd type="none" w="sm" len="sm"/>
            </a:ln>
          </xdr:spPr>
        </xdr:cxnSp>
        <xdr:sp macro="" textlink="">
          <xdr:nvSpPr>
            <xdr:cNvPr id="61" name="Shape 51" descr="More about the SUM function ">
              <a:extLst>
                <a:ext uri="{FF2B5EF4-FFF2-40B4-BE49-F238E27FC236}">
                  <a16:creationId xmlns:a16="http://schemas.microsoft.com/office/drawing/2014/main" id="{00000000-0008-0000-0000-00003D000000}"/>
                </a:ext>
              </a:extLst>
            </xdr:cNvPr>
            <xdr:cNvSpPr txBox="1"/>
          </xdr:nvSpPr>
          <xdr:spPr>
            <a:xfrm>
              <a:off x="578032" y="6019005"/>
              <a:ext cx="5257826" cy="474818"/>
            </a:xfrm>
            <a:prstGeom prst="rect">
              <a:avLst/>
            </a:prstGeom>
            <a:noFill/>
            <a:ln>
              <a:noFill/>
            </a:ln>
          </xdr:spPr>
          <xdr:txBody>
            <a:bodyPr spcFirstLastPara="1" wrap="square" lIns="0" tIns="45700" rIns="0" bIns="45700" anchor="t" anchorCtr="0">
              <a:noAutofit/>
            </a:bodyPr>
            <a:lstStyle/>
            <a:p>
              <a:pPr marL="0" marR="0" lvl="0" indent="0" algn="l" rtl="0">
                <a:lnSpc>
                  <a:spcPct val="100000"/>
                </a:lnSpc>
                <a:spcBef>
                  <a:spcPts val="0"/>
                </a:spcBef>
                <a:spcAft>
                  <a:spcPts val="0"/>
                </a:spcAft>
                <a:buClr>
                  <a:srgbClr val="3A3838"/>
                </a:buClr>
                <a:buSzPts val="2200"/>
                <a:buFont typeface="Quattrocento Sans"/>
                <a:buNone/>
              </a:pPr>
              <a:r>
                <a:rPr lang="en-US" sz="2200" b="0" i="0" u="none" strike="noStrike" cap="none">
                  <a:solidFill>
                    <a:srgbClr val="3A3838"/>
                  </a:solidFill>
                  <a:latin typeface="Quattrocento Sans"/>
                  <a:ea typeface="Quattrocento Sans"/>
                  <a:cs typeface="Quattrocento Sans"/>
                  <a:sym typeface="Quattrocento Sans"/>
                </a:rPr>
                <a:t>More about the SUM function</a:t>
              </a:r>
              <a:endParaRPr sz="2200" b="0">
                <a:solidFill>
                  <a:srgbClr val="3A3838"/>
                </a:solidFill>
                <a:latin typeface="Quattrocento Sans"/>
                <a:ea typeface="Quattrocento Sans"/>
                <a:cs typeface="Quattrocento Sans"/>
                <a:sym typeface="Quattrocento Sans"/>
              </a:endParaRPr>
            </a:p>
          </xdr:txBody>
        </xdr:sp>
        <xdr:sp macro="" textlink="">
          <xdr:nvSpPr>
            <xdr:cNvPr id="62" name="Shape 52" descr="In some of the above tips, we taught you how to use the SUM function. Here are more details about it. Double-click a yellow cell on the right, and then read along with the text below.&#10;&#10;If the SUM function could talk, it would say this:&#10;">
              <a:extLst>
                <a:ext uri="{FF2B5EF4-FFF2-40B4-BE49-F238E27FC236}">
                  <a16:creationId xmlns:a16="http://schemas.microsoft.com/office/drawing/2014/main" id="{00000000-0008-0000-0000-00003E000000}"/>
                </a:ext>
              </a:extLst>
            </xdr:cNvPr>
            <xdr:cNvSpPr txBox="1"/>
          </xdr:nvSpPr>
          <xdr:spPr>
            <a:xfrm>
              <a:off x="554831" y="6594579"/>
              <a:ext cx="5342213" cy="1038122"/>
            </a:xfrm>
            <a:prstGeom prst="rect">
              <a:avLst/>
            </a:prstGeom>
            <a:noFill/>
            <a:ln>
              <a:noFill/>
            </a:ln>
          </xdr:spPr>
          <xdr:txBody>
            <a:bodyPr spcFirstLastPara="1" wrap="square" lIns="0" tIns="45700" rIns="0" bIns="45700" anchor="t" anchorCtr="0">
              <a:noAutofit/>
            </a:bodyPr>
            <a:lstStyle/>
            <a:p>
              <a:pPr marL="0" lvl="0" indent="0" algn="l" rtl="0">
                <a:spcBef>
                  <a:spcPts val="0"/>
                </a:spcBef>
                <a:spcAft>
                  <a:spcPts val="0"/>
                </a:spcAft>
                <a:buNone/>
              </a:pPr>
              <a:r>
                <a:rPr lang="en-US" sz="1100">
                  <a:solidFill>
                    <a:srgbClr val="3F3F3F"/>
                  </a:solidFill>
                  <a:latin typeface="Quattrocento Sans"/>
                  <a:ea typeface="Quattrocento Sans"/>
                  <a:cs typeface="Quattrocento Sans"/>
                  <a:sym typeface="Quattrocento Sans"/>
                </a:rPr>
                <a:t>In some of the above tips, we taught you how to use the SUM function. Here are more details about it. Double-click a yellow cell on the right, and then read along with the text below.</a:t>
              </a:r>
              <a:endParaRPr sz="1400"/>
            </a:p>
            <a:p>
              <a:pPr marL="0" lvl="0" indent="0" algn="l" rtl="0">
                <a:spcBef>
                  <a:spcPts val="0"/>
                </a:spcBef>
                <a:spcAft>
                  <a:spcPts val="0"/>
                </a:spcAft>
                <a:buNone/>
              </a:pPr>
              <a:endParaRPr sz="1100">
                <a:solidFill>
                  <a:srgbClr val="3F3F3F"/>
                </a:solidFill>
                <a:latin typeface="Quattrocento Sans"/>
                <a:ea typeface="Quattrocento Sans"/>
                <a:cs typeface="Quattrocento Sans"/>
                <a:sym typeface="Quattrocento Sans"/>
              </a:endParaRPr>
            </a:p>
            <a:p>
              <a:pPr marL="0" lvl="0" indent="0" algn="l" rtl="0">
                <a:spcBef>
                  <a:spcPts val="0"/>
                </a:spcBef>
                <a:spcAft>
                  <a:spcPts val="0"/>
                </a:spcAft>
                <a:buNone/>
              </a:pPr>
              <a:r>
                <a:rPr lang="en-US" sz="1100">
                  <a:solidFill>
                    <a:srgbClr val="3F3F3F"/>
                  </a:solidFill>
                  <a:latin typeface="Quattrocento Sans"/>
                  <a:ea typeface="Quattrocento Sans"/>
                  <a:cs typeface="Quattrocento Sans"/>
                  <a:sym typeface="Quattrocento Sans"/>
                </a:rPr>
                <a:t>If the SUM function could talk, it would say this:</a:t>
              </a:r>
              <a:endParaRPr sz="1100">
                <a:solidFill>
                  <a:srgbClr val="3F3F3F"/>
                </a:solidFill>
                <a:latin typeface="Quattrocento Sans"/>
                <a:ea typeface="Quattrocento Sans"/>
                <a:cs typeface="Quattrocento Sans"/>
                <a:sym typeface="Quattrocento Sans"/>
              </a:endParaRPr>
            </a:p>
          </xdr:txBody>
        </xdr:sp>
        <xdr:sp macro="" textlink="">
          <xdr:nvSpPr>
            <xdr:cNvPr id="63" name="Shape 53" descr="Here's another way it can be used:&#10;">
              <a:extLst>
                <a:ext uri="{FF2B5EF4-FFF2-40B4-BE49-F238E27FC236}">
                  <a16:creationId xmlns:a16="http://schemas.microsoft.com/office/drawing/2014/main" id="{00000000-0008-0000-0000-00003F000000}"/>
                </a:ext>
              </a:extLst>
            </xdr:cNvPr>
            <xdr:cNvSpPr txBox="1"/>
          </xdr:nvSpPr>
          <xdr:spPr>
            <a:xfrm>
              <a:off x="554831" y="9233004"/>
              <a:ext cx="5342213" cy="336446"/>
            </a:xfrm>
            <a:prstGeom prst="rect">
              <a:avLst/>
            </a:prstGeom>
            <a:noFill/>
            <a:ln>
              <a:noFill/>
            </a:ln>
          </xdr:spPr>
          <xdr:txBody>
            <a:bodyPr spcFirstLastPara="1" wrap="square" lIns="0" tIns="45700" rIns="0" bIns="45700" anchor="t" anchorCtr="0">
              <a:noAutofit/>
            </a:bodyPr>
            <a:lstStyle/>
            <a:p>
              <a:pPr marL="0" lvl="0" indent="0" algn="l" rtl="0">
                <a:spcBef>
                  <a:spcPts val="0"/>
                </a:spcBef>
                <a:spcAft>
                  <a:spcPts val="0"/>
                </a:spcAft>
                <a:buNone/>
              </a:pPr>
              <a:r>
                <a:rPr lang="en-US" sz="1100">
                  <a:solidFill>
                    <a:srgbClr val="3F3F3F"/>
                  </a:solidFill>
                  <a:latin typeface="Quattrocento Sans"/>
                  <a:ea typeface="Quattrocento Sans"/>
                  <a:cs typeface="Quattrocento Sans"/>
                  <a:sym typeface="Quattrocento Sans"/>
                </a:rPr>
                <a:t>Here's another way it can be used:</a:t>
              </a:r>
              <a:endParaRPr sz="1400"/>
            </a:p>
          </xdr:txBody>
        </xdr:sp>
        <xdr:grpSp>
          <xdr:nvGrpSpPr>
            <xdr:cNvPr id="64" name="Shape 54">
              <a:extLst>
                <a:ext uri="{FF2B5EF4-FFF2-40B4-BE49-F238E27FC236}">
                  <a16:creationId xmlns:a16="http://schemas.microsoft.com/office/drawing/2014/main" id="{00000000-0008-0000-0000-000040000000}"/>
                </a:ext>
              </a:extLst>
            </xdr:cNvPr>
            <xdr:cNvGrpSpPr/>
          </xdr:nvGrpSpPr>
          <xdr:grpSpPr>
            <a:xfrm>
              <a:off x="542925" y="7756739"/>
              <a:ext cx="3279775" cy="1443544"/>
              <a:chOff x="1057275" y="8191585"/>
              <a:chExt cx="3238500" cy="1475424"/>
            </a:xfrm>
          </xdr:grpSpPr>
          <xdr:sp macro="" textlink="">
            <xdr:nvSpPr>
              <xdr:cNvPr id="65" name="Shape 55" descr="=SUM(D38:D41) ">
                <a:extLst>
                  <a:ext uri="{FF2B5EF4-FFF2-40B4-BE49-F238E27FC236}">
                    <a16:creationId xmlns:a16="http://schemas.microsoft.com/office/drawing/2014/main" id="{00000000-0008-0000-0000-000041000000}"/>
                  </a:ext>
                </a:extLst>
              </xdr:cNvPr>
              <xdr:cNvSpPr txBox="1"/>
            </xdr:nvSpPr>
            <xdr:spPr>
              <a:xfrm>
                <a:off x="1057275" y="9162181"/>
                <a:ext cx="3238500" cy="504828"/>
              </a:xfrm>
              <a:prstGeom prst="rect">
                <a:avLst/>
              </a:prstGeom>
              <a:noFill/>
              <a:ln>
                <a:noFill/>
              </a:ln>
            </xdr:spPr>
            <xdr:txBody>
              <a:bodyPr spcFirstLastPara="1" wrap="square" lIns="0" tIns="0" rIns="0" bIns="0" anchor="t" anchorCtr="0">
                <a:noAutofit/>
              </a:bodyPr>
              <a:lstStyle/>
              <a:p>
                <a:pPr marL="0" marR="0" lvl="0" indent="0" algn="l" rtl="0">
                  <a:spcBef>
                    <a:spcPts val="0"/>
                  </a:spcBef>
                  <a:spcAft>
                    <a:spcPts val="0"/>
                  </a:spcAft>
                  <a:buNone/>
                </a:pPr>
                <a:r>
                  <a:rPr lang="en-US" sz="2000">
                    <a:solidFill>
                      <a:srgbClr val="000000"/>
                    </a:solidFill>
                    <a:latin typeface="Courier New"/>
                    <a:ea typeface="Courier New"/>
                    <a:cs typeface="Courier New"/>
                    <a:sym typeface="Courier New"/>
                  </a:rPr>
                  <a:t>=SUM(D38:D41) </a:t>
                </a:r>
                <a:endParaRPr sz="2000">
                  <a:latin typeface="Times New Roman"/>
                  <a:ea typeface="Times New Roman"/>
                  <a:cs typeface="Times New Roman"/>
                  <a:sym typeface="Times New Roman"/>
                </a:endParaRPr>
              </a:p>
            </xdr:txBody>
          </xdr:sp>
          <xdr:sp macro="" textlink="">
            <xdr:nvSpPr>
              <xdr:cNvPr id="66" name="Shape 56">
                <a:extLst>
                  <a:ext uri="{FF2B5EF4-FFF2-40B4-BE49-F238E27FC236}">
                    <a16:creationId xmlns:a16="http://schemas.microsoft.com/office/drawing/2014/main" id="{00000000-0008-0000-0000-000042000000}"/>
                  </a:ext>
                </a:extLst>
              </xdr:cNvPr>
              <xdr:cNvSpPr/>
            </xdr:nvSpPr>
            <xdr:spPr>
              <a:xfrm rot="5400000">
                <a:off x="1351331" y="8899414"/>
                <a:ext cx="196065" cy="466296"/>
              </a:xfrm>
              <a:prstGeom prst="leftBrace">
                <a:avLst>
                  <a:gd name="adj1" fmla="val 8333"/>
                  <a:gd name="adj2" fmla="val 50000"/>
                </a:avLst>
              </a:prstGeom>
              <a:noFill/>
              <a:ln w="9525" cap="flat" cmpd="sng">
                <a:solidFill>
                  <a:schemeClr val="accent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1100"/>
              </a:p>
            </xdr:txBody>
          </xdr:sp>
          <xdr:sp macro="" textlink="">
            <xdr:nvSpPr>
              <xdr:cNvPr id="67" name="Shape 57" descr="Sum up the following:&#10;">
                <a:extLst>
                  <a:ext uri="{FF2B5EF4-FFF2-40B4-BE49-F238E27FC236}">
                    <a16:creationId xmlns:a16="http://schemas.microsoft.com/office/drawing/2014/main" id="{00000000-0008-0000-0000-000043000000}"/>
                  </a:ext>
                </a:extLst>
              </xdr:cNvPr>
              <xdr:cNvSpPr txBox="1"/>
            </xdr:nvSpPr>
            <xdr:spPr>
              <a:xfrm>
                <a:off x="1065799" y="8191585"/>
                <a:ext cx="847355" cy="844790"/>
              </a:xfrm>
              <a:prstGeom prst="rect">
                <a:avLst/>
              </a:prstGeom>
              <a:solidFill>
                <a:srgbClr val="DDEAF6"/>
              </a:solidFill>
              <a:ln>
                <a:noFill/>
              </a:ln>
            </xdr:spPr>
            <xdr:txBody>
              <a:bodyPr spcFirstLastPara="1" wrap="square" lIns="91425" tIns="45700" rIns="91425" bIns="45700" anchor="t" anchorCtr="0">
                <a:noAutofit/>
              </a:bodyPr>
              <a:lstStyle/>
              <a:p>
                <a:pPr marL="0" marR="0" lvl="0" indent="0" algn="l" rtl="0">
                  <a:lnSpc>
                    <a:spcPct val="107000"/>
                  </a:lnSpc>
                  <a:spcBef>
                    <a:spcPts val="0"/>
                  </a:spcBef>
                  <a:spcAft>
                    <a:spcPts val="0"/>
                  </a:spcAft>
                  <a:buNone/>
                </a:pPr>
                <a:r>
                  <a:rPr lang="en-US" sz="1100">
                    <a:latin typeface="Calibri"/>
                    <a:ea typeface="Calibri"/>
                    <a:cs typeface="Calibri"/>
                    <a:sym typeface="Calibri"/>
                  </a:rPr>
                  <a:t>Sum up the following:</a:t>
                </a:r>
                <a:endParaRPr sz="1400"/>
              </a:p>
              <a:p>
                <a:pPr marL="0" marR="0" lvl="0" indent="0" algn="l" rtl="0">
                  <a:lnSpc>
                    <a:spcPct val="107000"/>
                  </a:lnSpc>
                  <a:spcBef>
                    <a:spcPts val="800"/>
                  </a:spcBef>
                  <a:spcAft>
                    <a:spcPts val="0"/>
                  </a:spcAft>
                  <a:buNone/>
                </a:pPr>
                <a:r>
                  <a:rPr lang="en-US" sz="1100">
                    <a:latin typeface="Calibri"/>
                    <a:ea typeface="Calibri"/>
                    <a:cs typeface="Calibri"/>
                    <a:sym typeface="Calibri"/>
                  </a:rPr>
                  <a:t> </a:t>
                </a:r>
                <a:endParaRPr sz="1400"/>
              </a:p>
            </xdr:txBody>
          </xdr:sp>
          <xdr:sp macro="" textlink="">
            <xdr:nvSpPr>
              <xdr:cNvPr id="68" name="Shape 58">
                <a:extLst>
                  <a:ext uri="{FF2B5EF4-FFF2-40B4-BE49-F238E27FC236}">
                    <a16:creationId xmlns:a16="http://schemas.microsoft.com/office/drawing/2014/main" id="{00000000-0008-0000-0000-000044000000}"/>
                  </a:ext>
                </a:extLst>
              </xdr:cNvPr>
              <xdr:cNvSpPr/>
            </xdr:nvSpPr>
            <xdr:spPr>
              <a:xfrm rot="5400000">
                <a:off x="2256488" y="8590072"/>
                <a:ext cx="195783" cy="1072982"/>
              </a:xfrm>
              <a:prstGeom prst="leftBrace">
                <a:avLst>
                  <a:gd name="adj1" fmla="val 8333"/>
                  <a:gd name="adj2" fmla="val 38318"/>
                </a:avLst>
              </a:prstGeom>
              <a:noFill/>
              <a:ln w="9525" cap="flat" cmpd="sng">
                <a:solidFill>
                  <a:schemeClr val="accent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1100"/>
              </a:p>
            </xdr:txBody>
          </xdr:sp>
          <xdr:sp macro="" textlink="">
            <xdr:nvSpPr>
              <xdr:cNvPr id="69" name="Shape 59" descr="…the values in cells D38, D39, D40, and D41">
                <a:extLst>
                  <a:ext uri="{FF2B5EF4-FFF2-40B4-BE49-F238E27FC236}">
                    <a16:creationId xmlns:a16="http://schemas.microsoft.com/office/drawing/2014/main" id="{00000000-0008-0000-0000-000045000000}"/>
                  </a:ext>
                </a:extLst>
              </xdr:cNvPr>
              <xdr:cNvSpPr txBox="1"/>
            </xdr:nvSpPr>
            <xdr:spPr>
              <a:xfrm>
                <a:off x="1993378" y="8191869"/>
                <a:ext cx="1035572" cy="844791"/>
              </a:xfrm>
              <a:prstGeom prst="rect">
                <a:avLst/>
              </a:prstGeom>
              <a:solidFill>
                <a:srgbClr val="DDEAF6"/>
              </a:solidFill>
              <a:ln>
                <a:noFill/>
              </a:ln>
            </xdr:spPr>
            <xdr:txBody>
              <a:bodyPr spcFirstLastPara="1" wrap="square" lIns="91425" tIns="45700" rIns="91425" bIns="45700" anchor="t" anchorCtr="0">
                <a:noAutofit/>
              </a:bodyPr>
              <a:lstStyle/>
              <a:p>
                <a:pPr marL="0" marR="0" lvl="0" indent="0" algn="l" rtl="0">
                  <a:lnSpc>
                    <a:spcPct val="107000"/>
                  </a:lnSpc>
                  <a:spcBef>
                    <a:spcPts val="0"/>
                  </a:spcBef>
                  <a:spcAft>
                    <a:spcPts val="0"/>
                  </a:spcAft>
                  <a:buNone/>
                </a:pPr>
                <a:r>
                  <a:rPr lang="en-US" sz="1100">
                    <a:latin typeface="Calibri"/>
                    <a:ea typeface="Calibri"/>
                    <a:cs typeface="Calibri"/>
                    <a:sym typeface="Calibri"/>
                  </a:rPr>
                  <a:t>…the values in cells D38, D39, D40, and D41.</a:t>
                </a:r>
                <a:endParaRPr sz="1100">
                  <a:latin typeface="Calibri"/>
                  <a:ea typeface="Calibri"/>
                  <a:cs typeface="Calibri"/>
                  <a:sym typeface="Calibri"/>
                </a:endParaRPr>
              </a:p>
              <a:p>
                <a:pPr marL="0" marR="0" lvl="0" indent="0" algn="l" rtl="0">
                  <a:lnSpc>
                    <a:spcPct val="107000"/>
                  </a:lnSpc>
                  <a:spcBef>
                    <a:spcPts val="800"/>
                  </a:spcBef>
                  <a:spcAft>
                    <a:spcPts val="0"/>
                  </a:spcAft>
                  <a:buNone/>
                </a:pPr>
                <a:r>
                  <a:rPr lang="en-US" sz="1100">
                    <a:latin typeface="Calibri"/>
                    <a:ea typeface="Calibri"/>
                    <a:cs typeface="Calibri"/>
                    <a:sym typeface="Calibri"/>
                  </a:rPr>
                  <a:t> </a:t>
                </a:r>
                <a:endParaRPr sz="1400"/>
              </a:p>
            </xdr:txBody>
          </xdr:sp>
        </xdr:grpSp>
        <xdr:grpSp>
          <xdr:nvGrpSpPr>
            <xdr:cNvPr id="70" name="Shape 60">
              <a:extLst>
                <a:ext uri="{FF2B5EF4-FFF2-40B4-BE49-F238E27FC236}">
                  <a16:creationId xmlns:a16="http://schemas.microsoft.com/office/drawing/2014/main" id="{00000000-0008-0000-0000-000046000000}"/>
                </a:ext>
              </a:extLst>
            </xdr:cNvPr>
            <xdr:cNvGrpSpPr/>
          </xdr:nvGrpSpPr>
          <xdr:grpSpPr>
            <a:xfrm>
              <a:off x="457200" y="9658351"/>
              <a:ext cx="4927601" cy="1327631"/>
              <a:chOff x="457200" y="9810750"/>
              <a:chExt cx="4886326" cy="1372081"/>
            </a:xfrm>
          </xdr:grpSpPr>
          <xdr:sp macro="" textlink="">
            <xdr:nvSpPr>
              <xdr:cNvPr id="71" name="Shape 61" descr="=SUM(D48,G48:G51,100) &#10;">
                <a:extLst>
                  <a:ext uri="{FF2B5EF4-FFF2-40B4-BE49-F238E27FC236}">
                    <a16:creationId xmlns:a16="http://schemas.microsoft.com/office/drawing/2014/main" id="{00000000-0008-0000-0000-000047000000}"/>
                  </a:ext>
                </a:extLst>
              </xdr:cNvPr>
              <xdr:cNvSpPr txBox="1"/>
            </xdr:nvSpPr>
            <xdr:spPr>
              <a:xfrm>
                <a:off x="457200" y="10698465"/>
                <a:ext cx="4886326" cy="484366"/>
              </a:xfrm>
              <a:prstGeom prst="rect">
                <a:avLst/>
              </a:prstGeom>
              <a:noFill/>
              <a:ln>
                <a:noFill/>
              </a:ln>
            </xdr:spPr>
            <xdr:txBody>
              <a:bodyPr spcFirstLastPara="1" wrap="square" lIns="91425" tIns="45700" rIns="91425" bIns="45700" anchor="t" anchorCtr="0">
                <a:noAutofit/>
              </a:bodyPr>
              <a:lstStyle/>
              <a:p>
                <a:pPr marL="0" marR="0" lvl="0" indent="0" algn="l" rtl="0">
                  <a:spcBef>
                    <a:spcPts val="0"/>
                  </a:spcBef>
                  <a:spcAft>
                    <a:spcPts val="0"/>
                  </a:spcAft>
                  <a:buNone/>
                </a:pPr>
                <a:r>
                  <a:rPr lang="en-US" sz="2000">
                    <a:solidFill>
                      <a:srgbClr val="000000"/>
                    </a:solidFill>
                    <a:latin typeface="Courier New"/>
                    <a:ea typeface="Courier New"/>
                    <a:cs typeface="Courier New"/>
                    <a:sym typeface="Courier New"/>
                  </a:rPr>
                  <a:t>=SUM(D48,G48:G51,100) </a:t>
                </a:r>
                <a:endParaRPr sz="2000">
                  <a:latin typeface="Times New Roman"/>
                  <a:ea typeface="Times New Roman"/>
                  <a:cs typeface="Times New Roman"/>
                  <a:sym typeface="Times New Roman"/>
                </a:endParaRPr>
              </a:p>
            </xdr:txBody>
          </xdr:sp>
          <xdr:grpSp>
            <xdr:nvGrpSpPr>
              <xdr:cNvPr id="72" name="Shape 62">
                <a:extLst>
                  <a:ext uri="{FF2B5EF4-FFF2-40B4-BE49-F238E27FC236}">
                    <a16:creationId xmlns:a16="http://schemas.microsoft.com/office/drawing/2014/main" id="{00000000-0008-0000-0000-000048000000}"/>
                  </a:ext>
                </a:extLst>
              </xdr:cNvPr>
              <xdr:cNvGrpSpPr/>
            </xdr:nvGrpSpPr>
            <xdr:grpSpPr>
              <a:xfrm>
                <a:off x="485775" y="9828044"/>
                <a:ext cx="818417" cy="982135"/>
                <a:chOff x="-363898" y="-105548"/>
                <a:chExt cx="1043235" cy="1088406"/>
              </a:xfrm>
            </xdr:grpSpPr>
            <xdr:sp macro="" textlink="">
              <xdr:nvSpPr>
                <xdr:cNvPr id="73" name="Shape 63">
                  <a:extLst>
                    <a:ext uri="{FF2B5EF4-FFF2-40B4-BE49-F238E27FC236}">
                      <a16:creationId xmlns:a16="http://schemas.microsoft.com/office/drawing/2014/main" id="{00000000-0008-0000-0000-000049000000}"/>
                    </a:ext>
                  </a:extLst>
                </xdr:cNvPr>
                <xdr:cNvSpPr/>
              </xdr:nvSpPr>
              <xdr:spPr>
                <a:xfrm rot="5400000">
                  <a:off x="101170" y="549454"/>
                  <a:ext cx="242885" cy="623922"/>
                </a:xfrm>
                <a:prstGeom prst="leftBrace">
                  <a:avLst>
                    <a:gd name="adj1" fmla="val 8333"/>
                    <a:gd name="adj2" fmla="val 50000"/>
                  </a:avLst>
                </a:prstGeom>
                <a:noFill/>
                <a:ln w="9525" cap="flat" cmpd="sng">
                  <a:solidFill>
                    <a:schemeClr val="accent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1100"/>
                </a:p>
              </xdr:txBody>
            </xdr:sp>
            <xdr:sp macro="" textlink="">
              <xdr:nvSpPr>
                <xdr:cNvPr id="74" name="Shape 64" descr="Sum the following:&#10; &#10;">
                  <a:extLst>
                    <a:ext uri="{FF2B5EF4-FFF2-40B4-BE49-F238E27FC236}">
                      <a16:creationId xmlns:a16="http://schemas.microsoft.com/office/drawing/2014/main" id="{00000000-0008-0000-0000-00004A000000}"/>
                    </a:ext>
                  </a:extLst>
                </xdr:cNvPr>
                <xdr:cNvSpPr txBox="1"/>
              </xdr:nvSpPr>
              <xdr:spPr>
                <a:xfrm>
                  <a:off x="-363898" y="-105548"/>
                  <a:ext cx="1043235" cy="837792"/>
                </a:xfrm>
                <a:prstGeom prst="rect">
                  <a:avLst/>
                </a:prstGeom>
                <a:solidFill>
                  <a:srgbClr val="DDEAF6"/>
                </a:solidFill>
                <a:ln>
                  <a:noFill/>
                </a:ln>
              </xdr:spPr>
              <xdr:txBody>
                <a:bodyPr spcFirstLastPara="1" wrap="square" lIns="91425" tIns="45700" rIns="91425" bIns="45700" anchor="t" anchorCtr="0">
                  <a:noAutofit/>
                </a:bodyPr>
                <a:lstStyle/>
                <a:p>
                  <a:pPr marL="0" marR="0" lvl="0" indent="0" algn="l" rtl="0">
                    <a:lnSpc>
                      <a:spcPct val="107000"/>
                    </a:lnSpc>
                    <a:spcBef>
                      <a:spcPts val="0"/>
                    </a:spcBef>
                    <a:spcAft>
                      <a:spcPts val="0"/>
                    </a:spcAft>
                    <a:buNone/>
                  </a:pPr>
                  <a:r>
                    <a:rPr lang="en-US" sz="1100">
                      <a:latin typeface="Calibri"/>
                      <a:ea typeface="Calibri"/>
                      <a:cs typeface="Calibri"/>
                      <a:sym typeface="Calibri"/>
                    </a:rPr>
                    <a:t>Sum the following:</a:t>
                  </a:r>
                  <a:endParaRPr sz="1400"/>
                </a:p>
                <a:p>
                  <a:pPr marL="0" marR="0" lvl="0" indent="0" algn="l" rtl="0">
                    <a:lnSpc>
                      <a:spcPct val="107000"/>
                    </a:lnSpc>
                    <a:spcBef>
                      <a:spcPts val="800"/>
                    </a:spcBef>
                    <a:spcAft>
                      <a:spcPts val="0"/>
                    </a:spcAft>
                    <a:buNone/>
                  </a:pPr>
                  <a:r>
                    <a:rPr lang="en-US" sz="1100">
                      <a:latin typeface="Calibri"/>
                      <a:ea typeface="Calibri"/>
                      <a:cs typeface="Calibri"/>
                      <a:sym typeface="Calibri"/>
                    </a:rPr>
                    <a:t> </a:t>
                  </a:r>
                  <a:endParaRPr sz="1400"/>
                </a:p>
              </xdr:txBody>
            </xdr:sp>
          </xdr:grpSp>
          <xdr:grpSp>
            <xdr:nvGrpSpPr>
              <xdr:cNvPr id="75" name="Shape 65">
                <a:extLst>
                  <a:ext uri="{FF2B5EF4-FFF2-40B4-BE49-F238E27FC236}">
                    <a16:creationId xmlns:a16="http://schemas.microsoft.com/office/drawing/2014/main" id="{00000000-0008-0000-0000-00004B000000}"/>
                  </a:ext>
                </a:extLst>
              </xdr:cNvPr>
              <xdr:cNvGrpSpPr/>
            </xdr:nvGrpSpPr>
            <xdr:grpSpPr>
              <a:xfrm>
                <a:off x="1309167" y="9819355"/>
                <a:ext cx="816277" cy="982138"/>
                <a:chOff x="-283102" y="-105548"/>
                <a:chExt cx="818442" cy="1088408"/>
              </a:xfrm>
            </xdr:grpSpPr>
            <xdr:sp macro="" textlink="">
              <xdr:nvSpPr>
                <xdr:cNvPr id="76" name="Shape 66">
                  <a:extLst>
                    <a:ext uri="{FF2B5EF4-FFF2-40B4-BE49-F238E27FC236}">
                      <a16:creationId xmlns:a16="http://schemas.microsoft.com/office/drawing/2014/main" id="{00000000-0008-0000-0000-00004C000000}"/>
                    </a:ext>
                  </a:extLst>
                </xdr:cNvPr>
                <xdr:cNvSpPr/>
              </xdr:nvSpPr>
              <xdr:spPr>
                <a:xfrm rot="5400000">
                  <a:off x="-167914" y="624788"/>
                  <a:ext cx="242885" cy="473260"/>
                </a:xfrm>
                <a:prstGeom prst="leftBrace">
                  <a:avLst>
                    <a:gd name="adj1" fmla="val 8333"/>
                    <a:gd name="adj2" fmla="val 50000"/>
                  </a:avLst>
                </a:prstGeom>
                <a:noFill/>
                <a:ln w="9525" cap="flat" cmpd="sng">
                  <a:solidFill>
                    <a:schemeClr val="accent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1100"/>
                </a:p>
              </xdr:txBody>
            </xdr:sp>
            <xdr:sp macro="" textlink="">
              <xdr:nvSpPr>
                <xdr:cNvPr id="77" name="Shape 67" descr="…the value in cell D48…&#10; &#10;">
                  <a:extLst>
                    <a:ext uri="{FF2B5EF4-FFF2-40B4-BE49-F238E27FC236}">
                      <a16:creationId xmlns:a16="http://schemas.microsoft.com/office/drawing/2014/main" id="{00000000-0008-0000-0000-00004D000000}"/>
                    </a:ext>
                  </a:extLst>
                </xdr:cNvPr>
                <xdr:cNvSpPr txBox="1"/>
              </xdr:nvSpPr>
              <xdr:spPr>
                <a:xfrm>
                  <a:off x="-199890" y="-105548"/>
                  <a:ext cx="735230" cy="837791"/>
                </a:xfrm>
                <a:prstGeom prst="rect">
                  <a:avLst/>
                </a:prstGeom>
                <a:solidFill>
                  <a:srgbClr val="DDEAF6"/>
                </a:solidFill>
                <a:ln>
                  <a:noFill/>
                </a:ln>
              </xdr:spPr>
              <xdr:txBody>
                <a:bodyPr spcFirstLastPara="1" wrap="square" lIns="91425" tIns="45700" rIns="91425" bIns="45700" anchor="t" anchorCtr="0">
                  <a:noAutofit/>
                </a:bodyPr>
                <a:lstStyle/>
                <a:p>
                  <a:pPr marL="0" marR="0" lvl="0" indent="0" algn="l" rtl="0">
                    <a:lnSpc>
                      <a:spcPct val="107000"/>
                    </a:lnSpc>
                    <a:spcBef>
                      <a:spcPts val="0"/>
                    </a:spcBef>
                    <a:spcAft>
                      <a:spcPts val="0"/>
                    </a:spcAft>
                    <a:buNone/>
                  </a:pPr>
                  <a:r>
                    <a:rPr lang="en-US" sz="1100">
                      <a:latin typeface="Calibri"/>
                      <a:ea typeface="Calibri"/>
                      <a:cs typeface="Calibri"/>
                      <a:sym typeface="Calibri"/>
                    </a:rPr>
                    <a:t>…the value in cell D48…</a:t>
                  </a:r>
                  <a:endParaRPr sz="1400"/>
                </a:p>
                <a:p>
                  <a:pPr marL="0" marR="0" lvl="0" indent="0" algn="l" rtl="0">
                    <a:lnSpc>
                      <a:spcPct val="107000"/>
                    </a:lnSpc>
                    <a:spcBef>
                      <a:spcPts val="800"/>
                    </a:spcBef>
                    <a:spcAft>
                      <a:spcPts val="0"/>
                    </a:spcAft>
                    <a:buNone/>
                  </a:pPr>
                  <a:r>
                    <a:rPr lang="en-US" sz="1100">
                      <a:latin typeface="Calibri"/>
                      <a:ea typeface="Calibri"/>
                      <a:cs typeface="Calibri"/>
                      <a:sym typeface="Calibri"/>
                    </a:rPr>
                    <a:t> </a:t>
                  </a:r>
                  <a:endParaRPr sz="1400"/>
                </a:p>
              </xdr:txBody>
            </xdr:sp>
          </xdr:grpSp>
          <xdr:grpSp>
            <xdr:nvGrpSpPr>
              <xdr:cNvPr id="78" name="Shape 68">
                <a:extLst>
                  <a:ext uri="{FF2B5EF4-FFF2-40B4-BE49-F238E27FC236}">
                    <a16:creationId xmlns:a16="http://schemas.microsoft.com/office/drawing/2014/main" id="{00000000-0008-0000-0000-00004E000000}"/>
                  </a:ext>
                </a:extLst>
              </xdr:cNvPr>
              <xdr:cNvGrpSpPr/>
            </xdr:nvGrpSpPr>
            <xdr:grpSpPr>
              <a:xfrm>
                <a:off x="1900287" y="9810750"/>
                <a:ext cx="1214388" cy="982134"/>
                <a:chOff x="-529733" y="-114987"/>
                <a:chExt cx="1215442" cy="1088404"/>
              </a:xfrm>
            </xdr:grpSpPr>
            <xdr:sp macro="" textlink="">
              <xdr:nvSpPr>
                <xdr:cNvPr id="79" name="Shape 69">
                  <a:extLst>
                    <a:ext uri="{FF2B5EF4-FFF2-40B4-BE49-F238E27FC236}">
                      <a16:creationId xmlns:a16="http://schemas.microsoft.com/office/drawing/2014/main" id="{00000000-0008-0000-0000-00004F000000}"/>
                    </a:ext>
                  </a:extLst>
                </xdr:cNvPr>
                <xdr:cNvSpPr/>
              </xdr:nvSpPr>
              <xdr:spPr>
                <a:xfrm rot="5400000">
                  <a:off x="-110187" y="310986"/>
                  <a:ext cx="242885" cy="1081977"/>
                </a:xfrm>
                <a:prstGeom prst="leftBrace">
                  <a:avLst>
                    <a:gd name="adj1" fmla="val 8333"/>
                    <a:gd name="adj2" fmla="val 50000"/>
                  </a:avLst>
                </a:prstGeom>
                <a:noFill/>
                <a:ln w="9525" cap="flat" cmpd="sng">
                  <a:solidFill>
                    <a:schemeClr val="accent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1100"/>
                </a:p>
              </xdr:txBody>
            </xdr:sp>
            <xdr:sp macro="" textlink="">
              <xdr:nvSpPr>
                <xdr:cNvPr id="80" name="Shape 70" descr="…the values in cells G48, G49, G50, and  G51... &#10;">
                  <a:extLst>
                    <a:ext uri="{FF2B5EF4-FFF2-40B4-BE49-F238E27FC236}">
                      <a16:creationId xmlns:a16="http://schemas.microsoft.com/office/drawing/2014/main" id="{00000000-0008-0000-0000-000050000000}"/>
                    </a:ext>
                  </a:extLst>
                </xdr:cNvPr>
                <xdr:cNvSpPr txBox="1"/>
              </xdr:nvSpPr>
              <xdr:spPr>
                <a:xfrm>
                  <a:off x="-189331" y="-114987"/>
                  <a:ext cx="875040" cy="837791"/>
                </a:xfrm>
                <a:prstGeom prst="rect">
                  <a:avLst/>
                </a:prstGeom>
                <a:solidFill>
                  <a:srgbClr val="DDEAF6"/>
                </a:solidFill>
                <a:ln>
                  <a:noFill/>
                </a:ln>
              </xdr:spPr>
              <xdr:txBody>
                <a:bodyPr spcFirstLastPara="1" wrap="square" lIns="91425" tIns="45700" rIns="91425" bIns="45700" anchor="t" anchorCtr="0">
                  <a:noAutofit/>
                </a:bodyPr>
                <a:lstStyle/>
                <a:p>
                  <a:pPr marL="0" marR="0" lvl="0" indent="0" algn="l" rtl="0">
                    <a:lnSpc>
                      <a:spcPct val="107000"/>
                    </a:lnSpc>
                    <a:spcBef>
                      <a:spcPts val="0"/>
                    </a:spcBef>
                    <a:spcAft>
                      <a:spcPts val="0"/>
                    </a:spcAft>
                    <a:buNone/>
                  </a:pPr>
                  <a:r>
                    <a:rPr lang="en-US" sz="1100">
                      <a:latin typeface="Calibri"/>
                      <a:ea typeface="Calibri"/>
                      <a:cs typeface="Calibri"/>
                      <a:sym typeface="Calibri"/>
                    </a:rPr>
                    <a:t>…the values in cells G48, G49, G50, and  G51... </a:t>
                  </a:r>
                  <a:endParaRPr sz="1400"/>
                </a:p>
              </xdr:txBody>
            </xdr:sp>
          </xdr:grpSp>
          <xdr:grpSp>
            <xdr:nvGrpSpPr>
              <xdr:cNvPr id="81" name="Shape 71">
                <a:extLst>
                  <a:ext uri="{FF2B5EF4-FFF2-40B4-BE49-F238E27FC236}">
                    <a16:creationId xmlns:a16="http://schemas.microsoft.com/office/drawing/2014/main" id="{00000000-0008-0000-0000-000051000000}"/>
                  </a:ext>
                </a:extLst>
              </xdr:cNvPr>
              <xdr:cNvGrpSpPr/>
            </xdr:nvGrpSpPr>
            <xdr:grpSpPr>
              <a:xfrm>
                <a:off x="3137715" y="9819357"/>
                <a:ext cx="577035" cy="969957"/>
                <a:chOff x="-34686" y="-105546"/>
                <a:chExt cx="577537" cy="1075027"/>
              </a:xfrm>
            </xdr:grpSpPr>
            <xdr:sp macro="" textlink="">
              <xdr:nvSpPr>
                <xdr:cNvPr id="82" name="Shape 72">
                  <a:extLst>
                    <a:ext uri="{FF2B5EF4-FFF2-40B4-BE49-F238E27FC236}">
                      <a16:creationId xmlns:a16="http://schemas.microsoft.com/office/drawing/2014/main" id="{00000000-0008-0000-0000-000052000000}"/>
                    </a:ext>
                  </a:extLst>
                </xdr:cNvPr>
                <xdr:cNvSpPr/>
              </xdr:nvSpPr>
              <xdr:spPr>
                <a:xfrm rot="5400000">
                  <a:off x="86691" y="637256"/>
                  <a:ext cx="210848" cy="453603"/>
                </a:xfrm>
                <a:prstGeom prst="leftBrace">
                  <a:avLst>
                    <a:gd name="adj1" fmla="val 8333"/>
                    <a:gd name="adj2" fmla="val 50000"/>
                  </a:avLst>
                </a:prstGeom>
                <a:noFill/>
                <a:ln w="9525" cap="flat" cmpd="sng">
                  <a:solidFill>
                    <a:schemeClr val="accent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1100"/>
                </a:p>
              </xdr:txBody>
            </xdr:sp>
            <xdr:sp macro="" textlink="">
              <xdr:nvSpPr>
                <xdr:cNvPr id="83" name="Shape 73" descr="…and 100&#10;">
                  <a:extLst>
                    <a:ext uri="{FF2B5EF4-FFF2-40B4-BE49-F238E27FC236}">
                      <a16:creationId xmlns:a16="http://schemas.microsoft.com/office/drawing/2014/main" id="{00000000-0008-0000-0000-000053000000}"/>
                    </a:ext>
                  </a:extLst>
                </xdr:cNvPr>
                <xdr:cNvSpPr txBox="1"/>
              </xdr:nvSpPr>
              <xdr:spPr>
                <a:xfrm>
                  <a:off x="38113" y="-105546"/>
                  <a:ext cx="504737" cy="837791"/>
                </a:xfrm>
                <a:prstGeom prst="rect">
                  <a:avLst/>
                </a:prstGeom>
                <a:solidFill>
                  <a:srgbClr val="DDEAF6"/>
                </a:solidFill>
                <a:ln>
                  <a:noFill/>
                </a:ln>
              </xdr:spPr>
              <xdr:txBody>
                <a:bodyPr spcFirstLastPara="1" wrap="square" lIns="91425" tIns="45700" rIns="91425" bIns="45700" anchor="t" anchorCtr="0">
                  <a:noAutofit/>
                </a:bodyPr>
                <a:lstStyle/>
                <a:p>
                  <a:pPr marL="0" marR="0" lvl="0" indent="0" algn="l" rtl="0">
                    <a:lnSpc>
                      <a:spcPct val="107000"/>
                    </a:lnSpc>
                    <a:spcBef>
                      <a:spcPts val="0"/>
                    </a:spcBef>
                    <a:spcAft>
                      <a:spcPts val="0"/>
                    </a:spcAft>
                    <a:buNone/>
                  </a:pPr>
                  <a:r>
                    <a:rPr lang="en-US" sz="1100">
                      <a:latin typeface="Calibri"/>
                      <a:ea typeface="Calibri"/>
                      <a:cs typeface="Calibri"/>
                      <a:sym typeface="Calibri"/>
                    </a:rPr>
                    <a:t>…and 100.</a:t>
                  </a:r>
                  <a:endParaRPr sz="1400"/>
                </a:p>
                <a:p>
                  <a:pPr marL="0" marR="0" lvl="0" indent="0" algn="l" rtl="0">
                    <a:lnSpc>
                      <a:spcPct val="107000"/>
                    </a:lnSpc>
                    <a:spcBef>
                      <a:spcPts val="800"/>
                    </a:spcBef>
                    <a:spcAft>
                      <a:spcPts val="0"/>
                    </a:spcAft>
                    <a:buNone/>
                  </a:pPr>
                  <a:r>
                    <a:rPr lang="en-US" sz="1100">
                      <a:latin typeface="Calibri"/>
                      <a:ea typeface="Calibri"/>
                      <a:cs typeface="Calibri"/>
                      <a:sym typeface="Calibri"/>
                    </a:rPr>
                    <a:t> </a:t>
                  </a:r>
                  <a:endParaRPr sz="1400"/>
                </a:p>
              </xdr:txBody>
            </xdr:sp>
          </xdr:grpSp>
        </xdr:grpSp>
        <xdr:sp macro="" textlink="">
          <xdr:nvSpPr>
            <xdr:cNvPr id="84" name="Shape 74" descr="The formula above uses the following:&#10;&#10;• A single cell reference, which is the &quot;address&quot; or &quot;name&quot; of a cell. D48 is the single cell reference in the formula above. &#10;• A range of cells, which is a series of cells starting at one cell and ending at another.  G48:G51 is the range of cells in the formula.&#10;• A constant. The constant in this formula is the number 100">
              <a:extLst>
                <a:ext uri="{FF2B5EF4-FFF2-40B4-BE49-F238E27FC236}">
                  <a16:creationId xmlns:a16="http://schemas.microsoft.com/office/drawing/2014/main" id="{00000000-0008-0000-0000-000054000000}"/>
                </a:ext>
              </a:extLst>
            </xdr:cNvPr>
            <xdr:cNvSpPr txBox="1"/>
          </xdr:nvSpPr>
          <xdr:spPr>
            <a:xfrm>
              <a:off x="554831" y="10976079"/>
              <a:ext cx="5342213" cy="1454046"/>
            </a:xfrm>
            <a:prstGeom prst="rect">
              <a:avLst/>
            </a:prstGeom>
            <a:noFill/>
            <a:ln>
              <a:noFill/>
            </a:ln>
          </xdr:spPr>
          <xdr:txBody>
            <a:bodyPr spcFirstLastPara="1" wrap="square" lIns="0" tIns="45700" rIns="0" bIns="45700" anchor="t" anchorCtr="0">
              <a:noAutofit/>
            </a:bodyPr>
            <a:lstStyle/>
            <a:p>
              <a:pPr marL="0" lvl="0" indent="0" algn="l" rtl="0">
                <a:spcBef>
                  <a:spcPts val="0"/>
                </a:spcBef>
                <a:spcAft>
                  <a:spcPts val="0"/>
                </a:spcAft>
                <a:buNone/>
              </a:pPr>
              <a:r>
                <a:rPr lang="en-US" sz="1100" b="0" i="0">
                  <a:solidFill>
                    <a:schemeClr val="dk1"/>
                  </a:solidFill>
                  <a:latin typeface="Quattrocento Sans"/>
                  <a:ea typeface="Quattrocento Sans"/>
                  <a:cs typeface="Quattrocento Sans"/>
                  <a:sym typeface="Quattrocento Sans"/>
                </a:rPr>
                <a:t>The formula above uses the following:</a:t>
              </a:r>
              <a:endParaRPr sz="1400"/>
            </a:p>
            <a:p>
              <a:pPr marL="0" lvl="0" indent="0" algn="l" rtl="0">
                <a:spcBef>
                  <a:spcPts val="0"/>
                </a:spcBef>
                <a:spcAft>
                  <a:spcPts val="0"/>
                </a:spcAft>
                <a:buNone/>
              </a:pPr>
              <a:endParaRPr sz="1100" b="0" i="0">
                <a:solidFill>
                  <a:schemeClr val="dk1"/>
                </a:solidFill>
                <a:latin typeface="Quattrocento Sans"/>
                <a:ea typeface="Quattrocento Sans"/>
                <a:cs typeface="Quattrocento Sans"/>
                <a:sym typeface="Quattrocento Sans"/>
              </a:endParaRPr>
            </a:p>
            <a:p>
              <a:pPr marL="0" lvl="0" indent="0" algn="l" rtl="0">
                <a:spcBef>
                  <a:spcPts val="0"/>
                </a:spcBef>
                <a:spcAft>
                  <a:spcPts val="0"/>
                </a:spcAft>
                <a:buNone/>
              </a:pPr>
              <a:r>
                <a:rPr lang="en-US" sz="1100" b="0" i="0">
                  <a:solidFill>
                    <a:schemeClr val="dk1"/>
                  </a:solidFill>
                  <a:latin typeface="Quattrocento Sans"/>
                  <a:ea typeface="Quattrocento Sans"/>
                  <a:cs typeface="Quattrocento Sans"/>
                  <a:sym typeface="Quattrocento Sans"/>
                </a:rPr>
                <a:t>• A single </a:t>
              </a:r>
              <a:r>
                <a:rPr lang="en-US" sz="1100" b="1" i="0">
                  <a:solidFill>
                    <a:schemeClr val="dk1"/>
                  </a:solidFill>
                  <a:latin typeface="Quattrocento Sans"/>
                  <a:ea typeface="Quattrocento Sans"/>
                  <a:cs typeface="Quattrocento Sans"/>
                  <a:sym typeface="Quattrocento Sans"/>
                </a:rPr>
                <a:t>cell reference</a:t>
              </a:r>
              <a:r>
                <a:rPr lang="en-US" sz="1100" b="0" i="0">
                  <a:solidFill>
                    <a:schemeClr val="dk1"/>
                  </a:solidFill>
                  <a:latin typeface="Quattrocento Sans"/>
                  <a:ea typeface="Quattrocento Sans"/>
                  <a:cs typeface="Quattrocento Sans"/>
                  <a:sym typeface="Quattrocento Sans"/>
                </a:rPr>
                <a:t>, which is the "address" or "name" of a cell. D48 is the single cell reference in the formula above. </a:t>
              </a:r>
              <a:endParaRPr sz="1400"/>
            </a:p>
            <a:p>
              <a:pPr marL="0" lvl="0" indent="0" algn="l" rtl="0">
                <a:spcBef>
                  <a:spcPts val="600"/>
                </a:spcBef>
                <a:spcAft>
                  <a:spcPts val="0"/>
                </a:spcAft>
                <a:buNone/>
              </a:pPr>
              <a:r>
                <a:rPr lang="en-US" sz="1100" b="0" i="0">
                  <a:solidFill>
                    <a:schemeClr val="dk1"/>
                  </a:solidFill>
                  <a:latin typeface="Quattrocento Sans"/>
                  <a:ea typeface="Quattrocento Sans"/>
                  <a:cs typeface="Quattrocento Sans"/>
                  <a:sym typeface="Quattrocento Sans"/>
                </a:rPr>
                <a:t>• A </a:t>
              </a:r>
              <a:r>
                <a:rPr lang="en-US" sz="1100" b="1" i="0">
                  <a:solidFill>
                    <a:schemeClr val="dk1"/>
                  </a:solidFill>
                  <a:latin typeface="Quattrocento Sans"/>
                  <a:ea typeface="Quattrocento Sans"/>
                  <a:cs typeface="Quattrocento Sans"/>
                  <a:sym typeface="Quattrocento Sans"/>
                </a:rPr>
                <a:t>range of cells</a:t>
              </a:r>
              <a:r>
                <a:rPr lang="en-US" sz="1100" b="0" i="0">
                  <a:solidFill>
                    <a:schemeClr val="dk1"/>
                  </a:solidFill>
                  <a:latin typeface="Quattrocento Sans"/>
                  <a:ea typeface="Quattrocento Sans"/>
                  <a:cs typeface="Quattrocento Sans"/>
                  <a:sym typeface="Quattrocento Sans"/>
                </a:rPr>
                <a:t>, which is a series of cells starting at one cell and ending at another.  G48:G51 is the range of cells in the formula.</a:t>
              </a:r>
              <a:endParaRPr sz="1400"/>
            </a:p>
            <a:p>
              <a:pPr marL="0" lvl="0" indent="0" algn="l" rtl="0">
                <a:spcBef>
                  <a:spcPts val="600"/>
                </a:spcBef>
                <a:spcAft>
                  <a:spcPts val="0"/>
                </a:spcAft>
                <a:buNone/>
              </a:pPr>
              <a:r>
                <a:rPr lang="en-US" sz="1100" b="0" i="0">
                  <a:solidFill>
                    <a:schemeClr val="dk1"/>
                  </a:solidFill>
                  <a:latin typeface="Quattrocento Sans"/>
                  <a:ea typeface="Quattrocento Sans"/>
                  <a:cs typeface="Quattrocento Sans"/>
                  <a:sym typeface="Quattrocento Sans"/>
                </a:rPr>
                <a:t>• A </a:t>
              </a:r>
              <a:r>
                <a:rPr lang="en-US" sz="1100" b="1" i="0">
                  <a:solidFill>
                    <a:schemeClr val="dk1"/>
                  </a:solidFill>
                  <a:latin typeface="Quattrocento Sans"/>
                  <a:ea typeface="Quattrocento Sans"/>
                  <a:cs typeface="Quattrocento Sans"/>
                  <a:sym typeface="Quattrocento Sans"/>
                </a:rPr>
                <a:t>constant</a:t>
              </a:r>
              <a:r>
                <a:rPr lang="en-US" sz="1100" b="0" i="0">
                  <a:solidFill>
                    <a:schemeClr val="dk1"/>
                  </a:solidFill>
                  <a:latin typeface="Quattrocento Sans"/>
                  <a:ea typeface="Quattrocento Sans"/>
                  <a:cs typeface="Quattrocento Sans"/>
                  <a:sym typeface="Quattrocento Sans"/>
                </a:rPr>
                <a:t>. The constant in this formula is the number 100. </a:t>
              </a:r>
              <a:endParaRPr sz="1100">
                <a:latin typeface="Quattrocento Sans"/>
                <a:ea typeface="Quattrocento Sans"/>
                <a:cs typeface="Quattrocento Sans"/>
                <a:sym typeface="Quattrocento Sans"/>
              </a:endParaRPr>
            </a:p>
          </xdr:txBody>
        </xdr:sp>
      </xdr:grpSp>
    </xdr:grpSp>
    <xdr:clientData fLocksWithSheet="0"/>
  </xdr:oneCellAnchor>
  <xdr:oneCellAnchor>
    <xdr:from>
      <xdr:col>6</xdr:col>
      <xdr:colOff>314325</xdr:colOff>
      <xdr:row>15</xdr:row>
      <xdr:rowOff>66675</xdr:rowOff>
    </xdr:from>
    <xdr:ext cx="2162175" cy="1371600"/>
    <xdr:grpSp>
      <xdr:nvGrpSpPr>
        <xdr:cNvPr id="85" name="Shape 2">
          <a:extLst>
            <a:ext uri="{FF2B5EF4-FFF2-40B4-BE49-F238E27FC236}">
              <a16:creationId xmlns:a16="http://schemas.microsoft.com/office/drawing/2014/main" id="{00000000-0008-0000-0000-000055000000}"/>
            </a:ext>
          </a:extLst>
        </xdr:cNvPr>
        <xdr:cNvGrpSpPr/>
      </xdr:nvGrpSpPr>
      <xdr:grpSpPr>
        <a:xfrm>
          <a:off x="9048750" y="3495675"/>
          <a:ext cx="2162175" cy="1371600"/>
          <a:chOff x="4232547" y="3066431"/>
          <a:chExt cx="2194541" cy="1399369"/>
        </a:xfrm>
      </xdr:grpSpPr>
      <xdr:grpSp>
        <xdr:nvGrpSpPr>
          <xdr:cNvPr id="86" name="Shape 75" descr="EXTRA CREDIT&#10;Try adding another SUMIF formula here, but add amounts that are less than 100. The result should be 160&#10;">
            <a:extLst>
              <a:ext uri="{FF2B5EF4-FFF2-40B4-BE49-F238E27FC236}">
                <a16:creationId xmlns:a16="http://schemas.microsoft.com/office/drawing/2014/main" id="{00000000-0008-0000-0000-000056000000}"/>
              </a:ext>
            </a:extLst>
          </xdr:cNvPr>
          <xdr:cNvGrpSpPr/>
        </xdr:nvGrpSpPr>
        <xdr:grpSpPr>
          <a:xfrm>
            <a:off x="4232547" y="3066431"/>
            <a:ext cx="2194541" cy="1399369"/>
            <a:chOff x="9016384" y="3715363"/>
            <a:chExt cx="2194541" cy="1409086"/>
          </a:xfrm>
        </xdr:grpSpPr>
        <xdr:sp macro="" textlink="">
          <xdr:nvSpPr>
            <xdr:cNvPr id="87" name="Shape 4">
              <a:extLst>
                <a:ext uri="{FF2B5EF4-FFF2-40B4-BE49-F238E27FC236}">
                  <a16:creationId xmlns:a16="http://schemas.microsoft.com/office/drawing/2014/main" id="{00000000-0008-0000-0000-000057000000}"/>
                </a:ext>
              </a:extLst>
            </xdr:cNvPr>
            <xdr:cNvSpPr/>
          </xdr:nvSpPr>
          <xdr:spPr>
            <a:xfrm>
              <a:off x="9048750" y="3743325"/>
              <a:ext cx="2162175" cy="1381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88" name="Shape 76" descr="EXTRA CREDIT&#10;Try adding another SUMIF formula here, but add amounts that are less than 100. The result should be 160">
              <a:extLst>
                <a:ext uri="{FF2B5EF4-FFF2-40B4-BE49-F238E27FC236}">
                  <a16:creationId xmlns:a16="http://schemas.microsoft.com/office/drawing/2014/main" id="{00000000-0008-0000-0000-000058000000}"/>
                </a:ext>
              </a:extLst>
            </xdr:cNvPr>
            <xdr:cNvSpPr txBox="1"/>
          </xdr:nvSpPr>
          <xdr:spPr>
            <a:xfrm>
              <a:off x="9648643" y="3895724"/>
              <a:ext cx="1562282" cy="122872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200" b="1">
                  <a:solidFill>
                    <a:srgbClr val="F4B081"/>
                  </a:solidFill>
                  <a:latin typeface="Quattrocento Sans"/>
                  <a:ea typeface="Quattrocento Sans"/>
                  <a:cs typeface="Quattrocento Sans"/>
                  <a:sym typeface="Quattrocento Sans"/>
                </a:rPr>
                <a:t>EXTRA CREDIT</a:t>
              </a:r>
              <a:endParaRPr sz="1200" b="1">
                <a:solidFill>
                  <a:srgbClr val="F4B081"/>
                </a:solidFill>
                <a:latin typeface="Quattrocento Sans"/>
                <a:ea typeface="Quattrocento Sans"/>
                <a:cs typeface="Quattrocento Sans"/>
                <a:sym typeface="Quattrocento Sans"/>
              </a:endParaRPr>
            </a:p>
            <a:p>
              <a:pPr marL="0" lvl="0" indent="0" algn="l" rtl="0">
                <a:spcBef>
                  <a:spcPts val="0"/>
                </a:spcBef>
                <a:spcAft>
                  <a:spcPts val="0"/>
                </a:spcAft>
                <a:buNone/>
              </a:pPr>
              <a:r>
                <a:rPr lang="en-US" sz="1100" b="0" i="0">
                  <a:solidFill>
                    <a:schemeClr val="dk1"/>
                  </a:solidFill>
                  <a:latin typeface="Calibri"/>
                  <a:ea typeface="Calibri"/>
                  <a:cs typeface="Calibri"/>
                  <a:sym typeface="Calibri"/>
                </a:rPr>
                <a:t>Try adding another SUMIF formula here, but add amounts that are </a:t>
              </a:r>
              <a:r>
                <a:rPr lang="en-US" sz="1100" b="0" i="1">
                  <a:solidFill>
                    <a:schemeClr val="dk1"/>
                  </a:solidFill>
                  <a:latin typeface="Calibri"/>
                  <a:ea typeface="Calibri"/>
                  <a:cs typeface="Calibri"/>
                  <a:sym typeface="Calibri"/>
                </a:rPr>
                <a:t>less than 100</a:t>
              </a:r>
              <a:r>
                <a:rPr lang="en-US" sz="1100" b="0" i="0">
                  <a:solidFill>
                    <a:schemeClr val="dk1"/>
                  </a:solidFill>
                  <a:latin typeface="Calibri"/>
                  <a:ea typeface="Calibri"/>
                  <a:cs typeface="Calibri"/>
                  <a:sym typeface="Calibri"/>
                </a:rPr>
                <a:t>. The result should be 160.</a:t>
              </a:r>
              <a:endParaRPr sz="1400"/>
            </a:p>
          </xdr:txBody>
        </xdr:sp>
        <xdr:pic>
          <xdr:nvPicPr>
            <xdr:cNvPr id="89" name="Shape 77" descr="Decorative ribbon">
              <a:extLst>
                <a:ext uri="{FF2B5EF4-FFF2-40B4-BE49-F238E27FC236}">
                  <a16:creationId xmlns:a16="http://schemas.microsoft.com/office/drawing/2014/main" id="{00000000-0008-0000-0000-000059000000}"/>
                </a:ext>
              </a:extLst>
            </xdr:cNvPr>
            <xdr:cNvPicPr preferRelativeResize="0"/>
          </xdr:nvPicPr>
          <xdr:blipFill rotWithShape="1">
            <a:blip xmlns:r="http://schemas.openxmlformats.org/officeDocument/2006/relationships" r:embed="rId12">
              <a:alphaModFix/>
            </a:blip>
            <a:srcRect/>
            <a:stretch/>
          </xdr:blipFill>
          <xdr:spPr>
            <a:xfrm>
              <a:off x="9287099" y="3950551"/>
              <a:ext cx="474289" cy="439736"/>
            </a:xfrm>
            <a:prstGeom prst="rect">
              <a:avLst/>
            </a:prstGeom>
            <a:noFill/>
            <a:ln>
              <a:noFill/>
            </a:ln>
          </xdr:spPr>
        </xdr:pic>
        <xdr:sp macro="" textlink="">
          <xdr:nvSpPr>
            <xdr:cNvPr id="90" name="Shape 78" descr="Arrow">
              <a:extLst>
                <a:ext uri="{FF2B5EF4-FFF2-40B4-BE49-F238E27FC236}">
                  <a16:creationId xmlns:a16="http://schemas.microsoft.com/office/drawing/2014/main" id="{00000000-0008-0000-0000-00005A000000}"/>
                </a:ext>
              </a:extLst>
            </xdr:cNvPr>
            <xdr:cNvSpPr/>
          </xdr:nvSpPr>
          <xdr:spPr>
            <a:xfrm rot="-5917924" flipH="1">
              <a:off x="9021478" y="3770597"/>
              <a:ext cx="462029" cy="407486"/>
            </a:xfrm>
            <a:prstGeom prst="arc">
              <a:avLst>
                <a:gd name="adj1" fmla="val 15011426"/>
                <a:gd name="adj2" fmla="val 672396"/>
              </a:avLst>
            </a:prstGeom>
            <a:noFill/>
            <a:ln w="19050" cap="flat" cmpd="sng">
              <a:solidFill>
                <a:srgbClr val="F4B081"/>
              </a:solidFill>
              <a:prstDash val="solid"/>
              <a:round/>
              <a:headEnd type="triangle" w="med" len="med"/>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grpSp>
    </xdr:grpSp>
    <xdr:clientData fLocksWithSheet="0"/>
  </xdr:oneCellAnchor>
  <xdr:oneCellAnchor>
    <xdr:from>
      <xdr:col>0</xdr:col>
      <xdr:colOff>323850</xdr:colOff>
      <xdr:row>0</xdr:row>
      <xdr:rowOff>266700</xdr:rowOff>
    </xdr:from>
    <xdr:ext cx="5695950" cy="4572000"/>
    <xdr:grpSp>
      <xdr:nvGrpSpPr>
        <xdr:cNvPr id="91" name="Shape 2">
          <a:extLst>
            <a:ext uri="{FF2B5EF4-FFF2-40B4-BE49-F238E27FC236}">
              <a16:creationId xmlns:a16="http://schemas.microsoft.com/office/drawing/2014/main" id="{00000000-0008-0000-0000-00005B000000}"/>
            </a:ext>
          </a:extLst>
        </xdr:cNvPr>
        <xdr:cNvGrpSpPr/>
      </xdr:nvGrpSpPr>
      <xdr:grpSpPr>
        <a:xfrm>
          <a:off x="323850" y="266700"/>
          <a:ext cx="5695950" cy="4572000"/>
          <a:chOff x="2498025" y="1494000"/>
          <a:chExt cx="5695950" cy="4572000"/>
        </a:xfrm>
      </xdr:grpSpPr>
      <xdr:grpSp>
        <xdr:nvGrpSpPr>
          <xdr:cNvPr id="92" name="Shape 79" descr="Add numbers like a champ &#10;Here are some ways to add up numbers in Excel: &#10;Select the yellow cell under the amounts for fruit. &#10;Type =SUM(D4:D7), and then press enter. When you're done, you'll see &#10;the result of 170. &#10;Here's another way to add, using a shortcut key. Select the yellow cell under the amounts for meat. &#10;Press Alt = first. Then, press Enter. &#10;Now add only the numbers over 50. Select the last yellow cell. Type =SUMIF(D11:D15,&quot;&gt;50&quot;)&#10;and then press Enter. The result is 100. &#10;Dive down for more detail &#10;Next step ">
            <a:extLst>
              <a:ext uri="{FF2B5EF4-FFF2-40B4-BE49-F238E27FC236}">
                <a16:creationId xmlns:a16="http://schemas.microsoft.com/office/drawing/2014/main" id="{00000000-0008-0000-0000-00005C000000}"/>
              </a:ext>
            </a:extLst>
          </xdr:cNvPr>
          <xdr:cNvGrpSpPr/>
        </xdr:nvGrpSpPr>
        <xdr:grpSpPr>
          <a:xfrm>
            <a:off x="2498025" y="1494000"/>
            <a:ext cx="5695950" cy="4572000"/>
            <a:chOff x="326572" y="266702"/>
            <a:chExt cx="5705475" cy="4657728"/>
          </a:xfrm>
        </xdr:grpSpPr>
        <xdr:sp macro="" textlink="">
          <xdr:nvSpPr>
            <xdr:cNvPr id="93" name="Shape 4">
              <a:extLst>
                <a:ext uri="{FF2B5EF4-FFF2-40B4-BE49-F238E27FC236}">
                  <a16:creationId xmlns:a16="http://schemas.microsoft.com/office/drawing/2014/main" id="{00000000-0008-0000-0000-00005D000000}"/>
                </a:ext>
              </a:extLst>
            </xdr:cNvPr>
            <xdr:cNvSpPr/>
          </xdr:nvSpPr>
          <xdr:spPr>
            <a:xfrm>
              <a:off x="326572" y="266702"/>
              <a:ext cx="5705475" cy="4657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94" name="Shape 80">
              <a:extLst>
                <a:ext uri="{FF2B5EF4-FFF2-40B4-BE49-F238E27FC236}">
                  <a16:creationId xmlns:a16="http://schemas.microsoft.com/office/drawing/2014/main" id="{00000000-0008-0000-0000-00005E000000}"/>
                </a:ext>
              </a:extLst>
            </xdr:cNvPr>
            <xdr:cNvGrpSpPr/>
          </xdr:nvGrpSpPr>
          <xdr:grpSpPr>
            <a:xfrm>
              <a:off x="326572" y="266702"/>
              <a:ext cx="5705475" cy="4657728"/>
              <a:chOff x="0" y="0"/>
              <a:chExt cx="5695950" cy="4619625"/>
            </a:xfrm>
          </xdr:grpSpPr>
          <xdr:sp macro="" textlink="">
            <xdr:nvSpPr>
              <xdr:cNvPr id="95" name="Shape 81" descr="Background">
                <a:extLst>
                  <a:ext uri="{FF2B5EF4-FFF2-40B4-BE49-F238E27FC236}">
                    <a16:creationId xmlns:a16="http://schemas.microsoft.com/office/drawing/2014/main" id="{00000000-0008-0000-0000-00005F000000}"/>
                  </a:ext>
                </a:extLst>
              </xdr:cNvPr>
              <xdr:cNvSpPr/>
            </xdr:nvSpPr>
            <xdr:spPr>
              <a:xfrm>
                <a:off x="0" y="0"/>
                <a:ext cx="5695950" cy="4619625"/>
              </a:xfrm>
              <a:prstGeom prst="rect">
                <a:avLst/>
              </a:prstGeom>
              <a:solidFill>
                <a:srgbClr val="F5F5F5"/>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96" name="Shape 82" descr="Add numbers like a champ">
                <a:extLst>
                  <a:ext uri="{FF2B5EF4-FFF2-40B4-BE49-F238E27FC236}">
                    <a16:creationId xmlns:a16="http://schemas.microsoft.com/office/drawing/2014/main" id="{00000000-0008-0000-0000-000060000000}"/>
                  </a:ext>
                </a:extLst>
              </xdr:cNvPr>
              <xdr:cNvSpPr txBox="1"/>
            </xdr:nvSpPr>
            <xdr:spPr>
              <a:xfrm>
                <a:off x="231748" y="118698"/>
                <a:ext cx="5216551" cy="490903"/>
              </a:xfrm>
              <a:prstGeom prst="rect">
                <a:avLst/>
              </a:prstGeom>
              <a:noFill/>
              <a:ln>
                <a:noFill/>
              </a:ln>
            </xdr:spPr>
            <xdr:txBody>
              <a:bodyPr spcFirstLastPara="1" wrap="square" lIns="0" tIns="45700" rIns="0" bIns="45700" anchor="t" anchorCtr="0">
                <a:noAutofit/>
              </a:bodyPr>
              <a:lstStyle/>
              <a:p>
                <a:pPr marL="0" marR="0" lvl="0" indent="0" algn="l" rtl="0">
                  <a:lnSpc>
                    <a:spcPct val="100000"/>
                  </a:lnSpc>
                  <a:spcBef>
                    <a:spcPts val="0"/>
                  </a:spcBef>
                  <a:spcAft>
                    <a:spcPts val="0"/>
                  </a:spcAft>
                  <a:buClr>
                    <a:srgbClr val="3A3838"/>
                  </a:buClr>
                  <a:buSzPts val="2200"/>
                  <a:buFont typeface="Quattrocento Sans"/>
                  <a:buNone/>
                </a:pPr>
                <a:r>
                  <a:rPr lang="en-US" sz="2200" b="0" i="0" u="none" strike="noStrike" cap="none">
                    <a:solidFill>
                      <a:srgbClr val="3A3838"/>
                    </a:solidFill>
                    <a:latin typeface="Quattrocento Sans"/>
                    <a:ea typeface="Quattrocento Sans"/>
                    <a:cs typeface="Quattrocento Sans"/>
                    <a:sym typeface="Quattrocento Sans"/>
                  </a:rPr>
                  <a:t>Add numbers like a champ</a:t>
                </a:r>
                <a:endParaRPr sz="1400"/>
              </a:p>
            </xdr:txBody>
          </xdr:sp>
          <xdr:sp macro="" textlink="">
            <xdr:nvSpPr>
              <xdr:cNvPr id="97" name="Shape 83" descr="Dive down for more detail">
                <a:extLst>
                  <a:ext uri="{FF2B5EF4-FFF2-40B4-BE49-F238E27FC236}">
                    <a16:creationId xmlns:a16="http://schemas.microsoft.com/office/drawing/2014/main" id="{00000000-0008-0000-0000-000061000000}"/>
                  </a:ext>
                </a:extLst>
              </xdr:cNvPr>
              <xdr:cNvSpPr/>
            </xdr:nvSpPr>
            <xdr:spPr>
              <a:xfrm>
                <a:off x="234924" y="3842507"/>
                <a:ext cx="2723067" cy="536454"/>
              </a:xfrm>
              <a:prstGeom prst="downArrowCallout">
                <a:avLst>
                  <a:gd name="adj1" fmla="val 25000"/>
                  <a:gd name="adj2" fmla="val 25000"/>
                  <a:gd name="adj3" fmla="val 25000"/>
                  <a:gd name="adj4" fmla="val 64977"/>
                </a:avLst>
              </a:prstGeom>
              <a:solidFill>
                <a:srgbClr val="D8D8D8"/>
              </a:solidFill>
              <a:ln w="12700" cap="flat" cmpd="sng">
                <a:solidFill>
                  <a:srgbClr val="0B744D">
                    <a:alpha val="49803"/>
                  </a:srgb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a:solidFill>
                      <a:srgbClr val="0B744D"/>
                    </a:solidFill>
                    <a:latin typeface="Quattrocento Sans"/>
                    <a:ea typeface="Quattrocento Sans"/>
                    <a:cs typeface="Quattrocento Sans"/>
                    <a:sym typeface="Quattrocento Sans"/>
                  </a:rPr>
                  <a:t>Dive down for more detail</a:t>
                </a:r>
                <a:endParaRPr sz="1400"/>
              </a:p>
            </xdr:txBody>
          </xdr:sp>
          <xdr:cxnSp macro="">
            <xdr:nvCxnSpPr>
              <xdr:cNvPr id="98" name="Shape 84" descr="Decorative line">
                <a:extLst>
                  <a:ext uri="{FF2B5EF4-FFF2-40B4-BE49-F238E27FC236}">
                    <a16:creationId xmlns:a16="http://schemas.microsoft.com/office/drawing/2014/main" id="{00000000-0008-0000-0000-000062000000}"/>
                  </a:ext>
                </a:extLst>
              </xdr:cNvPr>
              <xdr:cNvCxnSpPr/>
            </xdr:nvCxnSpPr>
            <xdr:spPr>
              <a:xfrm>
                <a:off x="234924" y="3581400"/>
                <a:ext cx="5213376" cy="0"/>
              </a:xfrm>
              <a:prstGeom prst="straightConnector1">
                <a:avLst/>
              </a:prstGeom>
              <a:noFill/>
              <a:ln w="25400" cap="flat" cmpd="sng">
                <a:solidFill>
                  <a:srgbClr val="217346"/>
                </a:solidFill>
                <a:prstDash val="solid"/>
                <a:round/>
                <a:headEnd type="none" w="sm" len="sm"/>
                <a:tailEnd type="none" w="sm" len="sm"/>
              </a:ln>
            </xdr:spPr>
          </xdr:cxnSp>
          <xdr:sp macro="" textlink="">
            <xdr:nvSpPr>
              <xdr:cNvPr id="99" name="Shape 85" descr="Next step button, hyperlinked to next sheet">
                <a:hlinkClick xmlns:r="http://schemas.openxmlformats.org/officeDocument/2006/relationships" r:id="rId2"/>
                <a:extLst>
                  <a:ext uri="{FF2B5EF4-FFF2-40B4-BE49-F238E27FC236}">
                    <a16:creationId xmlns:a16="http://schemas.microsoft.com/office/drawing/2014/main" id="{00000000-0008-0000-0000-000063000000}"/>
                  </a:ext>
                </a:extLst>
              </xdr:cNvPr>
              <xdr:cNvSpPr/>
            </xdr:nvSpPr>
            <xdr:spPr>
              <a:xfrm>
                <a:off x="4293870" y="3842507"/>
                <a:ext cx="1154430" cy="348492"/>
              </a:xfrm>
              <a:prstGeom prst="rightArrowCallout">
                <a:avLst>
                  <a:gd name="adj1" fmla="val 32829"/>
                  <a:gd name="adj2" fmla="val 31524"/>
                  <a:gd name="adj3" fmla="val 25000"/>
                  <a:gd name="adj4" fmla="val 86357"/>
                </a:avLst>
              </a:prstGeom>
              <a:solidFill>
                <a:schemeClr val="lt1"/>
              </a:solidFill>
              <a:ln w="12700" cap="flat" cmpd="sng">
                <a:solidFill>
                  <a:srgbClr val="0B744D"/>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a:solidFill>
                      <a:srgbClr val="0B744D"/>
                    </a:solidFill>
                    <a:latin typeface="Quattrocento Sans"/>
                    <a:ea typeface="Quattrocento Sans"/>
                    <a:cs typeface="Quattrocento Sans"/>
                    <a:sym typeface="Quattrocento Sans"/>
                  </a:rPr>
                  <a:t>Next step</a:t>
                </a:r>
                <a:endParaRPr sz="1400"/>
              </a:p>
            </xdr:txBody>
          </xdr:sp>
          <xdr:cxnSp macro="">
            <xdr:nvCxnSpPr>
              <xdr:cNvPr id="100" name="Shape 86" descr="Decorative line">
                <a:extLst>
                  <a:ext uri="{FF2B5EF4-FFF2-40B4-BE49-F238E27FC236}">
                    <a16:creationId xmlns:a16="http://schemas.microsoft.com/office/drawing/2014/main" id="{00000000-0008-0000-0000-000064000000}"/>
                  </a:ext>
                </a:extLst>
              </xdr:cNvPr>
              <xdr:cNvCxnSpPr/>
            </xdr:nvCxnSpPr>
            <xdr:spPr>
              <a:xfrm>
                <a:off x="234924" y="626111"/>
                <a:ext cx="5213376" cy="0"/>
              </a:xfrm>
              <a:prstGeom prst="straightConnector1">
                <a:avLst/>
              </a:prstGeom>
              <a:noFill/>
              <a:ln w="25400" cap="flat" cmpd="sng">
                <a:solidFill>
                  <a:srgbClr val="217346"/>
                </a:solidFill>
                <a:prstDash val="solid"/>
                <a:round/>
                <a:headEnd type="none" w="sm" len="sm"/>
                <a:tailEnd type="none" w="sm" len="sm"/>
              </a:ln>
            </xdr:spPr>
          </xdr:cxnSp>
        </xdr:grpSp>
        <xdr:grpSp>
          <xdr:nvGrpSpPr>
            <xdr:cNvPr id="101" name="Shape 87">
              <a:extLst>
                <a:ext uri="{FF2B5EF4-FFF2-40B4-BE49-F238E27FC236}">
                  <a16:creationId xmlns:a16="http://schemas.microsoft.com/office/drawing/2014/main" id="{00000000-0008-0000-0000-000065000000}"/>
                </a:ext>
              </a:extLst>
            </xdr:cNvPr>
            <xdr:cNvGrpSpPr/>
          </xdr:nvGrpSpPr>
          <xdr:grpSpPr>
            <a:xfrm>
              <a:off x="558707" y="3254024"/>
              <a:ext cx="5225273" cy="608867"/>
              <a:chOff x="231749" y="2962883"/>
              <a:chExt cx="5216550" cy="603885"/>
            </a:xfrm>
          </xdr:grpSpPr>
          <xdr:sp macro="" textlink="">
            <xdr:nvSpPr>
              <xdr:cNvPr id="102" name="Shape 88" descr="Now add only the numbers over 50. Select the last yellow cell. Type =SUMIF(D11:D15,&quot;&gt;50&quot;) and then press Enter. The result is 100">
                <a:extLst>
                  <a:ext uri="{FF2B5EF4-FFF2-40B4-BE49-F238E27FC236}">
                    <a16:creationId xmlns:a16="http://schemas.microsoft.com/office/drawing/2014/main" id="{00000000-0008-0000-0000-000066000000}"/>
                  </a:ext>
                </a:extLst>
              </xdr:cNvPr>
              <xdr:cNvSpPr txBox="1"/>
            </xdr:nvSpPr>
            <xdr:spPr>
              <a:xfrm>
                <a:off x="638783" y="3005381"/>
                <a:ext cx="4809516" cy="561387"/>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rgbClr val="3F3F3F"/>
                    </a:solidFill>
                    <a:latin typeface="Quattrocento Sans"/>
                    <a:ea typeface="Quattrocento Sans"/>
                    <a:cs typeface="Quattrocento Sans"/>
                    <a:sym typeface="Quattrocento Sans"/>
                  </a:rPr>
                  <a:t>Now add only the numbers over 50. Select the last yellow cell. Type </a:t>
                </a:r>
                <a:r>
                  <a:rPr lang="en-US" sz="1100" b="1">
                    <a:solidFill>
                      <a:srgbClr val="3F3F3F"/>
                    </a:solidFill>
                    <a:latin typeface="Quattrocento Sans"/>
                    <a:ea typeface="Quattrocento Sans"/>
                    <a:cs typeface="Quattrocento Sans"/>
                    <a:sym typeface="Quattrocento Sans"/>
                  </a:rPr>
                  <a:t>=SUMIF(D11:D15,"&gt;50") </a:t>
                </a:r>
                <a:r>
                  <a:rPr lang="en-US" sz="1100">
                    <a:solidFill>
                      <a:srgbClr val="3F3F3F"/>
                    </a:solidFill>
                    <a:latin typeface="Quattrocento Sans"/>
                    <a:ea typeface="Quattrocento Sans"/>
                    <a:cs typeface="Quattrocento Sans"/>
                    <a:sym typeface="Quattrocento Sans"/>
                  </a:rPr>
                  <a:t>and then press </a:t>
                </a:r>
                <a:r>
                  <a:rPr lang="en-US" sz="1100" b="1">
                    <a:solidFill>
                      <a:srgbClr val="3F3F3F"/>
                    </a:solidFill>
                    <a:latin typeface="Quattrocento Sans"/>
                    <a:ea typeface="Quattrocento Sans"/>
                    <a:cs typeface="Quattrocento Sans"/>
                    <a:sym typeface="Quattrocento Sans"/>
                  </a:rPr>
                  <a:t>Enter</a:t>
                </a:r>
                <a:r>
                  <a:rPr lang="en-US" sz="1100">
                    <a:solidFill>
                      <a:srgbClr val="3F3F3F"/>
                    </a:solidFill>
                    <a:latin typeface="Quattrocento Sans"/>
                    <a:ea typeface="Quattrocento Sans"/>
                    <a:cs typeface="Quattrocento Sans"/>
                    <a:sym typeface="Quattrocento Sans"/>
                  </a:rPr>
                  <a:t>. The result is 100. </a:t>
                </a:r>
                <a:endParaRPr sz="1400"/>
              </a:p>
            </xdr:txBody>
          </xdr:sp>
          <xdr:sp macro="" textlink="">
            <xdr:nvSpPr>
              <xdr:cNvPr id="103" name="Shape 89" descr="5">
                <a:extLst>
                  <a:ext uri="{FF2B5EF4-FFF2-40B4-BE49-F238E27FC236}">
                    <a16:creationId xmlns:a16="http://schemas.microsoft.com/office/drawing/2014/main" id="{00000000-0008-0000-0000-000067000000}"/>
                  </a:ext>
                </a:extLst>
              </xdr:cNvPr>
              <xdr:cNvSpPr/>
            </xdr:nvSpPr>
            <xdr:spPr>
              <a:xfrm>
                <a:off x="231749" y="2962883"/>
                <a:ext cx="371587"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5</a:t>
                </a:r>
                <a:endParaRPr sz="1400"/>
              </a:p>
            </xdr:txBody>
          </xdr:sp>
        </xdr:grpSp>
        <xdr:grpSp>
          <xdr:nvGrpSpPr>
            <xdr:cNvPr id="104" name="Shape 90">
              <a:extLst>
                <a:ext uri="{FF2B5EF4-FFF2-40B4-BE49-F238E27FC236}">
                  <a16:creationId xmlns:a16="http://schemas.microsoft.com/office/drawing/2014/main" id="{00000000-0008-0000-0000-000068000000}"/>
                </a:ext>
              </a:extLst>
            </xdr:cNvPr>
            <xdr:cNvGrpSpPr/>
          </xdr:nvGrpSpPr>
          <xdr:grpSpPr>
            <a:xfrm>
              <a:off x="558707" y="2770783"/>
              <a:ext cx="5225273" cy="608867"/>
              <a:chOff x="231749" y="2483595"/>
              <a:chExt cx="5216550" cy="603885"/>
            </a:xfrm>
          </xdr:grpSpPr>
          <xdr:sp macro="" textlink="">
            <xdr:nvSpPr>
              <xdr:cNvPr id="105" name="Shape 91" descr="4">
                <a:extLst>
                  <a:ext uri="{FF2B5EF4-FFF2-40B4-BE49-F238E27FC236}">
                    <a16:creationId xmlns:a16="http://schemas.microsoft.com/office/drawing/2014/main" id="{00000000-0008-0000-0000-000069000000}"/>
                  </a:ext>
                </a:extLst>
              </xdr:cNvPr>
              <xdr:cNvSpPr/>
            </xdr:nvSpPr>
            <xdr:spPr>
              <a:xfrm>
                <a:off x="231749" y="2483595"/>
                <a:ext cx="371587"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4</a:t>
                </a:r>
                <a:endParaRPr sz="1400"/>
              </a:p>
            </xdr:txBody>
          </xdr:sp>
          <xdr:grpSp>
            <xdr:nvGrpSpPr>
              <xdr:cNvPr id="106" name="Shape 92">
                <a:extLst>
                  <a:ext uri="{FF2B5EF4-FFF2-40B4-BE49-F238E27FC236}">
                    <a16:creationId xmlns:a16="http://schemas.microsoft.com/office/drawing/2014/main" id="{00000000-0008-0000-0000-00006A000000}"/>
                  </a:ext>
                </a:extLst>
              </xdr:cNvPr>
              <xdr:cNvGrpSpPr/>
            </xdr:nvGrpSpPr>
            <xdr:grpSpPr>
              <a:xfrm>
                <a:off x="638783" y="2526093"/>
                <a:ext cx="4809516" cy="561387"/>
                <a:chOff x="638783" y="2526093"/>
                <a:chExt cx="4809516" cy="561387"/>
              </a:xfrm>
            </xdr:grpSpPr>
            <xdr:sp macro="" textlink="">
              <xdr:nvSpPr>
                <xdr:cNvPr id="107" name="Shape 93" descr="Press ALT = first. Then, press Enter">
                  <a:extLst>
                    <a:ext uri="{FF2B5EF4-FFF2-40B4-BE49-F238E27FC236}">
                      <a16:creationId xmlns:a16="http://schemas.microsoft.com/office/drawing/2014/main" id="{00000000-0008-0000-0000-00006B000000}"/>
                    </a:ext>
                  </a:extLst>
                </xdr:cNvPr>
                <xdr:cNvSpPr txBox="1"/>
              </xdr:nvSpPr>
              <xdr:spPr>
                <a:xfrm>
                  <a:off x="638783" y="2526093"/>
                  <a:ext cx="4809516" cy="561387"/>
                </a:xfrm>
                <a:prstGeom prst="rect">
                  <a:avLst/>
                </a:prstGeom>
                <a:noFill/>
                <a:ln>
                  <a:noFill/>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Clr>
                      <a:srgbClr val="3F3F3F"/>
                    </a:buClr>
                    <a:buSzPts val="1100"/>
                    <a:buFont typeface="Quattrocento Sans"/>
                    <a:buNone/>
                  </a:pPr>
                  <a:r>
                    <a:rPr lang="en-US" sz="1100" b="0" i="0" u="none" strike="noStrike" cap="none">
                      <a:solidFill>
                        <a:srgbClr val="3F3F3F"/>
                      </a:solidFill>
                      <a:latin typeface="Quattrocento Sans"/>
                      <a:ea typeface="Quattrocento Sans"/>
                      <a:cs typeface="Quattrocento Sans"/>
                      <a:sym typeface="Quattrocento Sans"/>
                    </a:rPr>
                    <a:t>Press 	           first. Then, press </a:t>
                  </a:r>
                  <a:r>
                    <a:rPr lang="en-US" sz="1100" b="1" i="0" u="none" strike="noStrike" cap="none">
                      <a:solidFill>
                        <a:srgbClr val="3F3F3F"/>
                      </a:solidFill>
                      <a:latin typeface="Quattrocento Sans"/>
                      <a:ea typeface="Quattrocento Sans"/>
                      <a:cs typeface="Quattrocento Sans"/>
                      <a:sym typeface="Quattrocento Sans"/>
                    </a:rPr>
                    <a:t>Enter</a:t>
                  </a:r>
                  <a:r>
                    <a:rPr lang="en-US" sz="1100" b="0" i="0" u="none" strike="noStrike" cap="none">
                      <a:solidFill>
                        <a:srgbClr val="3F3F3F"/>
                      </a:solidFill>
                      <a:latin typeface="Quattrocento Sans"/>
                      <a:ea typeface="Quattrocento Sans"/>
                      <a:cs typeface="Quattrocento Sans"/>
                      <a:sym typeface="Quattrocento Sans"/>
                    </a:rPr>
                    <a:t>.</a:t>
                  </a:r>
                  <a:endParaRPr sz="1400"/>
                </a:p>
              </xdr:txBody>
            </xdr:sp>
            <xdr:sp macro="" textlink="">
              <xdr:nvSpPr>
                <xdr:cNvPr id="108" name="Shape 94" descr="Equals key">
                  <a:extLst>
                    <a:ext uri="{FF2B5EF4-FFF2-40B4-BE49-F238E27FC236}">
                      <a16:creationId xmlns:a16="http://schemas.microsoft.com/office/drawing/2014/main" id="{00000000-0008-0000-0000-00006C000000}"/>
                    </a:ext>
                  </a:extLst>
                </xdr:cNvPr>
                <xdr:cNvSpPr/>
              </xdr:nvSpPr>
              <xdr:spPr>
                <a:xfrm>
                  <a:off x="1578685" y="2528886"/>
                  <a:ext cx="422585" cy="257175"/>
                </a:xfrm>
                <a:prstGeom prst="roundRect">
                  <a:avLst>
                    <a:gd name="adj" fmla="val 16667"/>
                  </a:avLst>
                </a:prstGeom>
                <a:no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a:solidFill>
                        <a:schemeClr val="dk1"/>
                      </a:solidFill>
                      <a:latin typeface="Calibri"/>
                      <a:ea typeface="Calibri"/>
                      <a:cs typeface="Calibri"/>
                      <a:sym typeface="Calibri"/>
                    </a:rPr>
                    <a:t>=</a:t>
                  </a:r>
                  <a:endParaRPr sz="900">
                    <a:solidFill>
                      <a:schemeClr val="dk1"/>
                    </a:solidFill>
                  </a:endParaRPr>
                </a:p>
              </xdr:txBody>
            </xdr:sp>
            <xdr:sp macro="" textlink="">
              <xdr:nvSpPr>
                <xdr:cNvPr id="109" name="Shape 95" descr="Alt key">
                  <a:extLst>
                    <a:ext uri="{FF2B5EF4-FFF2-40B4-BE49-F238E27FC236}">
                      <a16:creationId xmlns:a16="http://schemas.microsoft.com/office/drawing/2014/main" id="{00000000-0008-0000-0000-00006D000000}"/>
                    </a:ext>
                  </a:extLst>
                </xdr:cNvPr>
                <xdr:cNvSpPr/>
              </xdr:nvSpPr>
              <xdr:spPr>
                <a:xfrm>
                  <a:off x="1086869" y="2528886"/>
                  <a:ext cx="422585" cy="257175"/>
                </a:xfrm>
                <a:prstGeom prst="roundRect">
                  <a:avLst>
                    <a:gd name="adj" fmla="val 16667"/>
                  </a:avLst>
                </a:prstGeom>
                <a:no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Alt</a:t>
                  </a:r>
                  <a:endParaRPr sz="800">
                    <a:solidFill>
                      <a:schemeClr val="dk1"/>
                    </a:solidFill>
                  </a:endParaRPr>
                </a:p>
              </xdr:txBody>
            </xdr:sp>
          </xdr:grpSp>
        </xdr:grpSp>
        <xdr:grpSp>
          <xdr:nvGrpSpPr>
            <xdr:cNvPr id="110" name="Shape 96">
              <a:extLst>
                <a:ext uri="{FF2B5EF4-FFF2-40B4-BE49-F238E27FC236}">
                  <a16:creationId xmlns:a16="http://schemas.microsoft.com/office/drawing/2014/main" id="{00000000-0008-0000-0000-00006E000000}"/>
                </a:ext>
              </a:extLst>
            </xdr:cNvPr>
            <xdr:cNvGrpSpPr/>
          </xdr:nvGrpSpPr>
          <xdr:grpSpPr>
            <a:xfrm>
              <a:off x="558707" y="2277525"/>
              <a:ext cx="5225273" cy="608867"/>
              <a:chOff x="231749" y="1994372"/>
              <a:chExt cx="5216550" cy="603885"/>
            </a:xfrm>
          </xdr:grpSpPr>
          <xdr:sp macro="" textlink="">
            <xdr:nvSpPr>
              <xdr:cNvPr id="111" name="Shape 97" descr="Here's another way to add, using a shortcut key. Select the yellow cell under the amounts for meat">
                <a:extLst>
                  <a:ext uri="{FF2B5EF4-FFF2-40B4-BE49-F238E27FC236}">
                    <a16:creationId xmlns:a16="http://schemas.microsoft.com/office/drawing/2014/main" id="{00000000-0008-0000-0000-00006F000000}"/>
                  </a:ext>
                </a:extLst>
              </xdr:cNvPr>
              <xdr:cNvSpPr txBox="1"/>
            </xdr:nvSpPr>
            <xdr:spPr>
              <a:xfrm>
                <a:off x="638783" y="2036870"/>
                <a:ext cx="4809516" cy="561387"/>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rgbClr val="3F3F3F"/>
                    </a:solidFill>
                    <a:latin typeface="Quattrocento Sans"/>
                    <a:ea typeface="Quattrocento Sans"/>
                    <a:cs typeface="Quattrocento Sans"/>
                    <a:sym typeface="Quattrocento Sans"/>
                  </a:rPr>
                  <a:t>Here's another way to add, using a shortcut key. Select the yellow cell under the amounts for meat. </a:t>
                </a:r>
                <a:endParaRPr sz="1400"/>
              </a:p>
            </xdr:txBody>
          </xdr:sp>
          <xdr:sp macro="" textlink="">
            <xdr:nvSpPr>
              <xdr:cNvPr id="112" name="Shape 98" descr="3">
                <a:extLst>
                  <a:ext uri="{FF2B5EF4-FFF2-40B4-BE49-F238E27FC236}">
                    <a16:creationId xmlns:a16="http://schemas.microsoft.com/office/drawing/2014/main" id="{00000000-0008-0000-0000-000070000000}"/>
                  </a:ext>
                </a:extLst>
              </xdr:cNvPr>
              <xdr:cNvSpPr/>
            </xdr:nvSpPr>
            <xdr:spPr>
              <a:xfrm>
                <a:off x="231749" y="1994372"/>
                <a:ext cx="371587"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3</a:t>
                </a:r>
                <a:endParaRPr sz="1400"/>
              </a:p>
            </xdr:txBody>
          </xdr:sp>
        </xdr:grpSp>
        <xdr:grpSp>
          <xdr:nvGrpSpPr>
            <xdr:cNvPr id="113" name="Shape 99">
              <a:extLst>
                <a:ext uri="{FF2B5EF4-FFF2-40B4-BE49-F238E27FC236}">
                  <a16:creationId xmlns:a16="http://schemas.microsoft.com/office/drawing/2014/main" id="{00000000-0008-0000-0000-000071000000}"/>
                </a:ext>
              </a:extLst>
            </xdr:cNvPr>
            <xdr:cNvGrpSpPr/>
          </xdr:nvGrpSpPr>
          <xdr:grpSpPr>
            <a:xfrm>
              <a:off x="558707" y="1769250"/>
              <a:ext cx="5225273" cy="608867"/>
              <a:chOff x="231749" y="1490256"/>
              <a:chExt cx="5216550" cy="603885"/>
            </a:xfrm>
          </xdr:grpSpPr>
          <xdr:sp macro="" textlink="">
            <xdr:nvSpPr>
              <xdr:cNvPr id="114" name="Shape 100" descr="Type =SUM(D4:D7), and then press enter. When you're done, you'll see the result of 170">
                <a:extLst>
                  <a:ext uri="{FF2B5EF4-FFF2-40B4-BE49-F238E27FC236}">
                    <a16:creationId xmlns:a16="http://schemas.microsoft.com/office/drawing/2014/main" id="{00000000-0008-0000-0000-000072000000}"/>
                  </a:ext>
                </a:extLst>
              </xdr:cNvPr>
              <xdr:cNvSpPr txBox="1"/>
            </xdr:nvSpPr>
            <xdr:spPr>
              <a:xfrm>
                <a:off x="638782" y="1532754"/>
                <a:ext cx="4809517" cy="561387"/>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rgbClr val="3F3F3F"/>
                    </a:solidFill>
                    <a:latin typeface="Quattrocento Sans"/>
                    <a:ea typeface="Quattrocento Sans"/>
                    <a:cs typeface="Quattrocento Sans"/>
                    <a:sym typeface="Quattrocento Sans"/>
                  </a:rPr>
                  <a:t>Type </a:t>
                </a:r>
                <a:r>
                  <a:rPr lang="en-US" sz="1100" b="1">
                    <a:solidFill>
                      <a:srgbClr val="3F3F3F"/>
                    </a:solidFill>
                    <a:latin typeface="Quattrocento Sans"/>
                    <a:ea typeface="Quattrocento Sans"/>
                    <a:cs typeface="Quattrocento Sans"/>
                    <a:sym typeface="Quattrocento Sans"/>
                  </a:rPr>
                  <a:t>=SUM(D4:D7)</a:t>
                </a:r>
                <a:r>
                  <a:rPr lang="en-US" sz="1100">
                    <a:solidFill>
                      <a:srgbClr val="3F3F3F"/>
                    </a:solidFill>
                    <a:latin typeface="Quattrocento Sans"/>
                    <a:ea typeface="Quattrocento Sans"/>
                    <a:cs typeface="Quattrocento Sans"/>
                    <a:sym typeface="Quattrocento Sans"/>
                  </a:rPr>
                  <a:t>,</a:t>
                </a:r>
                <a:r>
                  <a:rPr lang="en-US" sz="1100" b="1">
                    <a:solidFill>
                      <a:srgbClr val="3F3F3F"/>
                    </a:solidFill>
                    <a:latin typeface="Quattrocento Sans"/>
                    <a:ea typeface="Quattrocento Sans"/>
                    <a:cs typeface="Quattrocento Sans"/>
                    <a:sym typeface="Quattrocento Sans"/>
                  </a:rPr>
                  <a:t> </a:t>
                </a:r>
                <a:r>
                  <a:rPr lang="en-US" sz="1100">
                    <a:solidFill>
                      <a:srgbClr val="3F3F3F"/>
                    </a:solidFill>
                    <a:latin typeface="Quattrocento Sans"/>
                    <a:ea typeface="Quattrocento Sans"/>
                    <a:cs typeface="Quattrocento Sans"/>
                    <a:sym typeface="Quattrocento Sans"/>
                  </a:rPr>
                  <a:t>and then press enter. When you're done, you'll see the result of 170.</a:t>
                </a:r>
                <a:endParaRPr sz="1400"/>
              </a:p>
            </xdr:txBody>
          </xdr:sp>
          <xdr:sp macro="" textlink="">
            <xdr:nvSpPr>
              <xdr:cNvPr id="115" name="Shape 101" descr="2">
                <a:extLst>
                  <a:ext uri="{FF2B5EF4-FFF2-40B4-BE49-F238E27FC236}">
                    <a16:creationId xmlns:a16="http://schemas.microsoft.com/office/drawing/2014/main" id="{00000000-0008-0000-0000-000073000000}"/>
                  </a:ext>
                </a:extLst>
              </xdr:cNvPr>
              <xdr:cNvSpPr/>
            </xdr:nvSpPr>
            <xdr:spPr>
              <a:xfrm>
                <a:off x="231749" y="1490256"/>
                <a:ext cx="371587"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2</a:t>
                </a:r>
                <a:endParaRPr sz="1400"/>
              </a:p>
            </xdr:txBody>
          </xdr:sp>
        </xdr:grpSp>
        <xdr:grpSp>
          <xdr:nvGrpSpPr>
            <xdr:cNvPr id="116" name="Shape 102">
              <a:extLst>
                <a:ext uri="{FF2B5EF4-FFF2-40B4-BE49-F238E27FC236}">
                  <a16:creationId xmlns:a16="http://schemas.microsoft.com/office/drawing/2014/main" id="{00000000-0008-0000-0000-000074000000}"/>
                </a:ext>
              </a:extLst>
            </xdr:cNvPr>
            <xdr:cNvGrpSpPr/>
          </xdr:nvGrpSpPr>
          <xdr:grpSpPr>
            <a:xfrm>
              <a:off x="558707" y="1278313"/>
              <a:ext cx="5225273" cy="608867"/>
              <a:chOff x="231749" y="1003336"/>
              <a:chExt cx="5216550" cy="603885"/>
            </a:xfrm>
          </xdr:grpSpPr>
          <xdr:sp macro="" textlink="">
            <xdr:nvSpPr>
              <xdr:cNvPr id="117" name="Shape 103" descr="Select the yellow cell under the amounts for fruit">
                <a:extLst>
                  <a:ext uri="{FF2B5EF4-FFF2-40B4-BE49-F238E27FC236}">
                    <a16:creationId xmlns:a16="http://schemas.microsoft.com/office/drawing/2014/main" id="{00000000-0008-0000-0000-000075000000}"/>
                  </a:ext>
                </a:extLst>
              </xdr:cNvPr>
              <xdr:cNvSpPr txBox="1"/>
            </xdr:nvSpPr>
            <xdr:spPr>
              <a:xfrm>
                <a:off x="638783" y="1045834"/>
                <a:ext cx="4809516" cy="561387"/>
              </a:xfrm>
              <a:prstGeom prst="rect">
                <a:avLst/>
              </a:prstGeom>
              <a:noFill/>
              <a:ln>
                <a:noFill/>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Clr>
                    <a:srgbClr val="3F3F3F"/>
                  </a:buClr>
                  <a:buSzPts val="1100"/>
                  <a:buFont typeface="Quattrocento Sans"/>
                  <a:buNone/>
                </a:pPr>
                <a:r>
                  <a:rPr lang="en-US" sz="1100" b="0" i="0" u="none" strike="noStrike" cap="none">
                    <a:solidFill>
                      <a:srgbClr val="3F3F3F"/>
                    </a:solidFill>
                    <a:latin typeface="Quattrocento Sans"/>
                    <a:ea typeface="Quattrocento Sans"/>
                    <a:cs typeface="Quattrocento Sans"/>
                    <a:sym typeface="Quattrocento Sans"/>
                  </a:rPr>
                  <a:t>Select the yellow cell under the amounts for fruit.</a:t>
                </a:r>
                <a:endParaRPr sz="1400"/>
              </a:p>
            </xdr:txBody>
          </xdr:sp>
          <xdr:sp macro="" textlink="">
            <xdr:nvSpPr>
              <xdr:cNvPr id="118" name="Shape 104" descr="1">
                <a:extLst>
                  <a:ext uri="{FF2B5EF4-FFF2-40B4-BE49-F238E27FC236}">
                    <a16:creationId xmlns:a16="http://schemas.microsoft.com/office/drawing/2014/main" id="{00000000-0008-0000-0000-000076000000}"/>
                  </a:ext>
                </a:extLst>
              </xdr:cNvPr>
              <xdr:cNvSpPr/>
            </xdr:nvSpPr>
            <xdr:spPr>
              <a:xfrm>
                <a:off x="231749" y="1003336"/>
                <a:ext cx="371587"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1</a:t>
                </a:r>
                <a:endParaRPr sz="1400"/>
              </a:p>
            </xdr:txBody>
          </xdr:sp>
        </xdr:grpSp>
        <xdr:sp macro="" textlink="">
          <xdr:nvSpPr>
            <xdr:cNvPr id="119" name="Shape 105" descr="Here are some ways to add up numbers in Excel:">
              <a:extLst>
                <a:ext uri="{FF2B5EF4-FFF2-40B4-BE49-F238E27FC236}">
                  <a16:creationId xmlns:a16="http://schemas.microsoft.com/office/drawing/2014/main" id="{00000000-0008-0000-0000-000077000000}"/>
                </a:ext>
              </a:extLst>
            </xdr:cNvPr>
            <xdr:cNvSpPr txBox="1"/>
          </xdr:nvSpPr>
          <xdr:spPr>
            <a:xfrm>
              <a:off x="555554" y="972193"/>
              <a:ext cx="5309802" cy="254863"/>
            </a:xfrm>
            <a:prstGeom prst="rect">
              <a:avLst/>
            </a:prstGeom>
            <a:noFill/>
            <a:ln>
              <a:noFill/>
            </a:ln>
          </xdr:spPr>
          <xdr:txBody>
            <a:bodyPr spcFirstLastPara="1" wrap="square" lIns="0" tIns="45700" rIns="0" bIns="45700" anchor="t" anchorCtr="0">
              <a:noAutofit/>
            </a:bodyPr>
            <a:lstStyle/>
            <a:p>
              <a:pPr marL="0" marR="0" lvl="0" indent="0" algn="l" rtl="0">
                <a:lnSpc>
                  <a:spcPct val="100000"/>
                </a:lnSpc>
                <a:spcBef>
                  <a:spcPts val="0"/>
                </a:spcBef>
                <a:spcAft>
                  <a:spcPts val="0"/>
                </a:spcAft>
                <a:buClr>
                  <a:srgbClr val="3F3F3F"/>
                </a:buClr>
                <a:buSzPts val="1100"/>
                <a:buFont typeface="Quattrocento Sans"/>
                <a:buNone/>
              </a:pPr>
              <a:r>
                <a:rPr lang="en-US" sz="1100" b="0" i="0" u="none" strike="noStrike" cap="none">
                  <a:solidFill>
                    <a:srgbClr val="3F3F3F"/>
                  </a:solidFill>
                  <a:latin typeface="Quattrocento Sans"/>
                  <a:ea typeface="Quattrocento Sans"/>
                  <a:cs typeface="Quattrocento Sans"/>
                  <a:sym typeface="Quattrocento Sans"/>
                </a:rPr>
                <a:t>Here are some ways to add up numbers in Excel:</a:t>
              </a:r>
              <a:endParaRPr sz="1400"/>
            </a:p>
          </xdr:txBody>
        </xdr:sp>
      </xdr:grpSp>
    </xdr:grpSp>
    <xdr:clientData fLocksWithSheet="0"/>
  </xdr:oneCellAnchor>
  <xdr:oneCellAnchor>
    <xdr:from>
      <xdr:col>5</xdr:col>
      <xdr:colOff>76200</xdr:colOff>
      <xdr:row>40</xdr:row>
      <xdr:rowOff>85725</xdr:rowOff>
    </xdr:from>
    <xdr:ext cx="1009650" cy="190500"/>
    <xdr:pic>
      <xdr:nvPicPr>
        <xdr:cNvPr id="120" name="image1.png" descr="Status bar graphic Sum: 170">
          <a:extLst>
            <a:ext uri="{FF2B5EF4-FFF2-40B4-BE49-F238E27FC236}">
              <a16:creationId xmlns:a16="http://schemas.microsoft.com/office/drawing/2014/main" id="{00000000-0008-0000-0000-000078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295275</xdr:colOff>
      <xdr:row>0</xdr:row>
      <xdr:rowOff>247650</xdr:rowOff>
    </xdr:from>
    <xdr:ext cx="5695950" cy="4619625"/>
    <xdr:grpSp>
      <xdr:nvGrpSpPr>
        <xdr:cNvPr id="2" name="Shape 2">
          <a:extLst>
            <a:ext uri="{FF2B5EF4-FFF2-40B4-BE49-F238E27FC236}">
              <a16:creationId xmlns:a16="http://schemas.microsoft.com/office/drawing/2014/main" id="{00000000-0008-0000-0100-000002000000}"/>
            </a:ext>
          </a:extLst>
        </xdr:cNvPr>
        <xdr:cNvGrpSpPr/>
      </xdr:nvGrpSpPr>
      <xdr:grpSpPr>
        <a:xfrm>
          <a:off x="295275" y="247650"/>
          <a:ext cx="5695950" cy="4619625"/>
          <a:chOff x="2498025" y="1470188"/>
          <a:chExt cx="5695950" cy="4619625"/>
        </a:xfrm>
      </xdr:grpSpPr>
      <xdr:grpSp>
        <xdr:nvGrpSpPr>
          <xdr:cNvPr id="106" name="Shape 106" descr="Save time by filling cells automatically&#10;Here’s how to use the fill handle in Excel:&#10;Click the cell with the number 100.&#10;Rest your cursor on the lower-right corner of the cell until &#10;it becomes a cross:&#10;Click the cross and drag down three cells. Excel will automatically fill the cells with the totals: 110, 120, and 130. People call this “filling down.”&#10;Select the yellow cell with 200, and fill again but this time drag the fill handle to the right to fill the cells. This is known as “filling right.&quot;&#10;Dive down for more detail &#10;Next step">
            <a:extLst>
              <a:ext uri="{FF2B5EF4-FFF2-40B4-BE49-F238E27FC236}">
                <a16:creationId xmlns:a16="http://schemas.microsoft.com/office/drawing/2014/main" id="{00000000-0008-0000-0100-00006A000000}"/>
              </a:ext>
            </a:extLst>
          </xdr:cNvPr>
          <xdr:cNvGrpSpPr/>
        </xdr:nvGrpSpPr>
        <xdr:grpSpPr>
          <a:xfrm>
            <a:off x="2498025" y="1470188"/>
            <a:ext cx="5695950" cy="4619625"/>
            <a:chOff x="11496675" y="857250"/>
            <a:chExt cx="5695950" cy="4619625"/>
          </a:xfrm>
        </xdr:grpSpPr>
        <xdr:sp macro="" textlink="">
          <xdr:nvSpPr>
            <xdr:cNvPr id="4" name="Shape 4">
              <a:extLst>
                <a:ext uri="{FF2B5EF4-FFF2-40B4-BE49-F238E27FC236}">
                  <a16:creationId xmlns:a16="http://schemas.microsoft.com/office/drawing/2014/main" id="{00000000-0008-0000-0100-000004000000}"/>
                </a:ext>
              </a:extLst>
            </xdr:cNvPr>
            <xdr:cNvSpPr/>
          </xdr:nvSpPr>
          <xdr:spPr>
            <a:xfrm>
              <a:off x="11496675" y="857250"/>
              <a:ext cx="5695950" cy="4619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07" name="Shape 107" descr="Background">
              <a:extLst>
                <a:ext uri="{FF2B5EF4-FFF2-40B4-BE49-F238E27FC236}">
                  <a16:creationId xmlns:a16="http://schemas.microsoft.com/office/drawing/2014/main" id="{00000000-0008-0000-0100-00006B000000}"/>
                </a:ext>
              </a:extLst>
            </xdr:cNvPr>
            <xdr:cNvSpPr/>
          </xdr:nvSpPr>
          <xdr:spPr>
            <a:xfrm>
              <a:off x="11496675" y="857250"/>
              <a:ext cx="5695950" cy="4619625"/>
            </a:xfrm>
            <a:prstGeom prst="rect">
              <a:avLst/>
            </a:prstGeom>
            <a:solidFill>
              <a:srgbClr val="F5F5F5"/>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08" name="Shape 108" descr="Save time by filling cells automatically">
              <a:extLst>
                <a:ext uri="{FF2B5EF4-FFF2-40B4-BE49-F238E27FC236}">
                  <a16:creationId xmlns:a16="http://schemas.microsoft.com/office/drawing/2014/main" id="{00000000-0008-0000-0100-00006C000000}"/>
                </a:ext>
              </a:extLst>
            </xdr:cNvPr>
            <xdr:cNvSpPr txBox="1"/>
          </xdr:nvSpPr>
          <xdr:spPr>
            <a:xfrm>
              <a:off x="11728423" y="985473"/>
              <a:ext cx="5216551" cy="490903"/>
            </a:xfrm>
            <a:prstGeom prst="rect">
              <a:avLst/>
            </a:prstGeom>
            <a:noFill/>
            <a:ln>
              <a:noFill/>
            </a:ln>
          </xdr:spPr>
          <xdr:txBody>
            <a:bodyPr spcFirstLastPara="1" wrap="square" lIns="0" tIns="45700" rIns="0" bIns="45700" anchor="t" anchorCtr="0">
              <a:noAutofit/>
            </a:bodyPr>
            <a:lstStyle/>
            <a:p>
              <a:pPr marL="0" marR="0" lvl="0" indent="0" algn="l" rtl="0">
                <a:lnSpc>
                  <a:spcPct val="100000"/>
                </a:lnSpc>
                <a:spcBef>
                  <a:spcPts val="0"/>
                </a:spcBef>
                <a:spcAft>
                  <a:spcPts val="0"/>
                </a:spcAft>
                <a:buClr>
                  <a:srgbClr val="3A3838"/>
                </a:buClr>
                <a:buSzPts val="2200"/>
                <a:buFont typeface="Quattrocento Sans"/>
                <a:buNone/>
              </a:pPr>
              <a:r>
                <a:rPr lang="en-US" sz="2200" b="0" i="0" u="none" strike="noStrike" cap="none">
                  <a:solidFill>
                    <a:srgbClr val="3A3838"/>
                  </a:solidFill>
                  <a:latin typeface="Quattrocento Sans"/>
                  <a:ea typeface="Quattrocento Sans"/>
                  <a:cs typeface="Quattrocento Sans"/>
                  <a:sym typeface="Quattrocento Sans"/>
                </a:rPr>
                <a:t>Save time by filling cells automatically</a:t>
              </a:r>
              <a:endParaRPr sz="2200" b="0">
                <a:solidFill>
                  <a:srgbClr val="3A3838"/>
                </a:solidFill>
                <a:latin typeface="Quattrocento Sans"/>
                <a:ea typeface="Quattrocento Sans"/>
                <a:cs typeface="Quattrocento Sans"/>
                <a:sym typeface="Quattrocento Sans"/>
              </a:endParaRPr>
            </a:p>
          </xdr:txBody>
        </xdr:sp>
        <xdr:cxnSp macro="">
          <xdr:nvCxnSpPr>
            <xdr:cNvPr id="109" name="Shape 109" descr="Decorative line">
              <a:extLst>
                <a:ext uri="{FF2B5EF4-FFF2-40B4-BE49-F238E27FC236}">
                  <a16:creationId xmlns:a16="http://schemas.microsoft.com/office/drawing/2014/main" id="{00000000-0008-0000-0100-00006D000000}"/>
                </a:ext>
              </a:extLst>
            </xdr:cNvPr>
            <xdr:cNvCxnSpPr/>
          </xdr:nvCxnSpPr>
          <xdr:spPr>
            <a:xfrm>
              <a:off x="11731599" y="1492886"/>
              <a:ext cx="5213376" cy="0"/>
            </a:xfrm>
            <a:prstGeom prst="straightConnector1">
              <a:avLst/>
            </a:prstGeom>
            <a:noFill/>
            <a:ln w="25400" cap="flat" cmpd="sng">
              <a:solidFill>
                <a:srgbClr val="217346"/>
              </a:solidFill>
              <a:prstDash val="solid"/>
              <a:round/>
              <a:headEnd type="none" w="sm" len="sm"/>
              <a:tailEnd type="none" w="sm" len="sm"/>
            </a:ln>
          </xdr:spPr>
        </xdr:cxnSp>
        <xdr:sp macro="" textlink="">
          <xdr:nvSpPr>
            <xdr:cNvPr id="110" name="Shape 110" descr="Dive down for more detail">
              <a:extLst>
                <a:ext uri="{FF2B5EF4-FFF2-40B4-BE49-F238E27FC236}">
                  <a16:creationId xmlns:a16="http://schemas.microsoft.com/office/drawing/2014/main" id="{00000000-0008-0000-0100-00006E000000}"/>
                </a:ext>
              </a:extLst>
            </xdr:cNvPr>
            <xdr:cNvSpPr/>
          </xdr:nvSpPr>
          <xdr:spPr>
            <a:xfrm>
              <a:off x="11731599" y="4709282"/>
              <a:ext cx="2723067" cy="536454"/>
            </a:xfrm>
            <a:prstGeom prst="downArrowCallout">
              <a:avLst>
                <a:gd name="adj1" fmla="val 25000"/>
                <a:gd name="adj2" fmla="val 25000"/>
                <a:gd name="adj3" fmla="val 25000"/>
                <a:gd name="adj4" fmla="val 64977"/>
              </a:avLst>
            </a:prstGeom>
            <a:solidFill>
              <a:srgbClr val="D8D8D8"/>
            </a:solidFill>
            <a:ln w="12700" cap="flat" cmpd="sng">
              <a:solidFill>
                <a:srgbClr val="0B744D">
                  <a:alpha val="49803"/>
                </a:srgb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a:solidFill>
                    <a:srgbClr val="0B744D"/>
                  </a:solidFill>
                  <a:latin typeface="Quattrocento Sans"/>
                  <a:ea typeface="Quattrocento Sans"/>
                  <a:cs typeface="Quattrocento Sans"/>
                  <a:sym typeface="Quattrocento Sans"/>
                </a:rPr>
                <a:t>Dive down for more detail</a:t>
              </a:r>
              <a:endParaRPr sz="1400"/>
            </a:p>
          </xdr:txBody>
        </xdr:sp>
        <xdr:cxnSp macro="">
          <xdr:nvCxnSpPr>
            <xdr:cNvPr id="111" name="Shape 111" descr="Decorative line">
              <a:extLst>
                <a:ext uri="{FF2B5EF4-FFF2-40B4-BE49-F238E27FC236}">
                  <a16:creationId xmlns:a16="http://schemas.microsoft.com/office/drawing/2014/main" id="{00000000-0008-0000-0100-00006F000000}"/>
                </a:ext>
              </a:extLst>
            </xdr:cNvPr>
            <xdr:cNvCxnSpPr/>
          </xdr:nvCxnSpPr>
          <xdr:spPr>
            <a:xfrm>
              <a:off x="11731599" y="4448175"/>
              <a:ext cx="5213376" cy="0"/>
            </a:xfrm>
            <a:prstGeom prst="straightConnector1">
              <a:avLst/>
            </a:prstGeom>
            <a:noFill/>
            <a:ln w="25400" cap="flat" cmpd="sng">
              <a:solidFill>
                <a:srgbClr val="217346"/>
              </a:solidFill>
              <a:prstDash val="solid"/>
              <a:round/>
              <a:headEnd type="none" w="sm" len="sm"/>
              <a:tailEnd type="none" w="sm" len="sm"/>
            </a:ln>
          </xdr:spPr>
        </xdr:cxnSp>
        <xdr:sp macro="" textlink="">
          <xdr:nvSpPr>
            <xdr:cNvPr id="112" name="Shape 112" descr="Next step button, hyperlinked to next sheet">
              <a:hlinkClick xmlns:r="http://schemas.openxmlformats.org/officeDocument/2006/relationships" r:id="rId1"/>
              <a:extLst>
                <a:ext uri="{FF2B5EF4-FFF2-40B4-BE49-F238E27FC236}">
                  <a16:creationId xmlns:a16="http://schemas.microsoft.com/office/drawing/2014/main" id="{00000000-0008-0000-0100-000070000000}"/>
                </a:ext>
              </a:extLst>
            </xdr:cNvPr>
            <xdr:cNvSpPr/>
          </xdr:nvSpPr>
          <xdr:spPr>
            <a:xfrm>
              <a:off x="15790545" y="4709282"/>
              <a:ext cx="1154430" cy="348492"/>
            </a:xfrm>
            <a:prstGeom prst="rightArrowCallout">
              <a:avLst>
                <a:gd name="adj1" fmla="val 32829"/>
                <a:gd name="adj2" fmla="val 31524"/>
                <a:gd name="adj3" fmla="val 25000"/>
                <a:gd name="adj4" fmla="val 86357"/>
              </a:avLst>
            </a:prstGeom>
            <a:solidFill>
              <a:schemeClr val="lt1"/>
            </a:solidFill>
            <a:ln w="12700" cap="flat" cmpd="sng">
              <a:solidFill>
                <a:srgbClr val="0B744D"/>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a:solidFill>
                    <a:srgbClr val="0B744D"/>
                  </a:solidFill>
                  <a:latin typeface="Quattrocento Sans"/>
                  <a:ea typeface="Quattrocento Sans"/>
                  <a:cs typeface="Quattrocento Sans"/>
                  <a:sym typeface="Quattrocento Sans"/>
                </a:rPr>
                <a:t>Next step</a:t>
              </a:r>
              <a:endParaRPr sz="1400"/>
            </a:p>
          </xdr:txBody>
        </xdr:sp>
        <xdr:sp macro="" textlink="">
          <xdr:nvSpPr>
            <xdr:cNvPr id="113" name="Shape 113" descr="Here’s how to use the fill handle in Excel:">
              <a:extLst>
                <a:ext uri="{FF2B5EF4-FFF2-40B4-BE49-F238E27FC236}">
                  <a16:creationId xmlns:a16="http://schemas.microsoft.com/office/drawing/2014/main" id="{00000000-0008-0000-0100-000071000000}"/>
                </a:ext>
              </a:extLst>
            </xdr:cNvPr>
            <xdr:cNvSpPr txBox="1"/>
          </xdr:nvSpPr>
          <xdr:spPr>
            <a:xfrm>
              <a:off x="11725275" y="1566496"/>
              <a:ext cx="5300938" cy="252778"/>
            </a:xfrm>
            <a:prstGeom prst="rect">
              <a:avLst/>
            </a:prstGeom>
            <a:noFill/>
            <a:ln>
              <a:noFill/>
            </a:ln>
          </xdr:spPr>
          <xdr:txBody>
            <a:bodyPr spcFirstLastPara="1" wrap="square" lIns="0" tIns="45700" rIns="0" bIns="45700" anchor="t" anchorCtr="0">
              <a:noAutofit/>
            </a:bodyPr>
            <a:lstStyle/>
            <a:p>
              <a:pPr marL="0" marR="0" lvl="0" indent="0" algn="l" rtl="0">
                <a:lnSpc>
                  <a:spcPct val="100000"/>
                </a:lnSpc>
                <a:spcBef>
                  <a:spcPts val="0"/>
                </a:spcBef>
                <a:spcAft>
                  <a:spcPts val="0"/>
                </a:spcAft>
                <a:buClr>
                  <a:srgbClr val="3F3F3F"/>
                </a:buClr>
                <a:buSzPts val="1100"/>
                <a:buFont typeface="Quattrocento Sans"/>
                <a:buNone/>
              </a:pPr>
              <a:r>
                <a:rPr lang="en-US" sz="1100" b="0" i="0" u="none" strike="noStrike" cap="none">
                  <a:solidFill>
                    <a:srgbClr val="3F3F3F"/>
                  </a:solidFill>
                  <a:latin typeface="Quattrocento Sans"/>
                  <a:ea typeface="Quattrocento Sans"/>
                  <a:cs typeface="Quattrocento Sans"/>
                  <a:sym typeface="Quattrocento Sans"/>
                </a:rPr>
                <a:t>Here’s how to use the fill handle in Excel:</a:t>
              </a:r>
              <a:endParaRPr sz="1400"/>
            </a:p>
          </xdr:txBody>
        </xdr:sp>
        <xdr:sp macro="" textlink="">
          <xdr:nvSpPr>
            <xdr:cNvPr id="114" name="Shape 114" descr="Click the cell with the number 100">
              <a:extLst>
                <a:ext uri="{FF2B5EF4-FFF2-40B4-BE49-F238E27FC236}">
                  <a16:creationId xmlns:a16="http://schemas.microsoft.com/office/drawing/2014/main" id="{00000000-0008-0000-0100-000072000000}"/>
                </a:ext>
              </a:extLst>
            </xdr:cNvPr>
            <xdr:cNvSpPr txBox="1"/>
          </xdr:nvSpPr>
          <xdr:spPr>
            <a:xfrm>
              <a:off x="12135458" y="1912609"/>
              <a:ext cx="4809516" cy="561387"/>
            </a:xfrm>
            <a:prstGeom prst="rect">
              <a:avLst/>
            </a:prstGeom>
            <a:noFill/>
            <a:ln>
              <a:noFill/>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Clr>
                  <a:srgbClr val="3F3F3F"/>
                </a:buClr>
                <a:buSzPts val="1100"/>
                <a:buFont typeface="Quattrocento Sans"/>
                <a:buNone/>
              </a:pPr>
              <a:r>
                <a:rPr lang="en-US" sz="1100" b="0" i="0" u="none" strike="noStrike" cap="none">
                  <a:solidFill>
                    <a:srgbClr val="3F3F3F"/>
                  </a:solidFill>
                  <a:latin typeface="Quattrocento Sans"/>
                  <a:ea typeface="Quattrocento Sans"/>
                  <a:cs typeface="Quattrocento Sans"/>
                  <a:sym typeface="Quattrocento Sans"/>
                </a:rPr>
                <a:t>Click the cell with the number </a:t>
              </a:r>
              <a:r>
                <a:rPr lang="en-US" sz="1100" b="1" i="0" u="none" strike="noStrike" cap="none">
                  <a:solidFill>
                    <a:srgbClr val="3F3F3F"/>
                  </a:solidFill>
                  <a:latin typeface="Quattrocento Sans"/>
                  <a:ea typeface="Quattrocento Sans"/>
                  <a:cs typeface="Quattrocento Sans"/>
                  <a:sym typeface="Quattrocento Sans"/>
                </a:rPr>
                <a:t>100</a:t>
              </a:r>
              <a:r>
                <a:rPr lang="en-US" sz="1100" b="0" i="0" u="none" strike="noStrike" cap="none">
                  <a:solidFill>
                    <a:srgbClr val="3F3F3F"/>
                  </a:solidFill>
                  <a:latin typeface="Quattrocento Sans"/>
                  <a:ea typeface="Quattrocento Sans"/>
                  <a:cs typeface="Quattrocento Sans"/>
                  <a:sym typeface="Quattrocento Sans"/>
                </a:rPr>
                <a:t>.</a:t>
              </a:r>
              <a:endParaRPr sz="1400"/>
            </a:p>
          </xdr:txBody>
        </xdr:sp>
        <xdr:sp macro="" textlink="">
          <xdr:nvSpPr>
            <xdr:cNvPr id="115" name="Shape 115" descr="1">
              <a:extLst>
                <a:ext uri="{FF2B5EF4-FFF2-40B4-BE49-F238E27FC236}">
                  <a16:creationId xmlns:a16="http://schemas.microsoft.com/office/drawing/2014/main" id="{00000000-0008-0000-0100-000073000000}"/>
                </a:ext>
              </a:extLst>
            </xdr:cNvPr>
            <xdr:cNvSpPr/>
          </xdr:nvSpPr>
          <xdr:spPr>
            <a:xfrm>
              <a:off x="11728424" y="1870111"/>
              <a:ext cx="371587"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1</a:t>
              </a:r>
              <a:endParaRPr sz="1400"/>
            </a:p>
          </xdr:txBody>
        </xdr:sp>
        <xdr:sp macro="" textlink="">
          <xdr:nvSpPr>
            <xdr:cNvPr id="116" name="Shape 116" descr="Rest your cursor on the lower-right corner of the cell until &#10;it becomes a cross:">
              <a:extLst>
                <a:ext uri="{FF2B5EF4-FFF2-40B4-BE49-F238E27FC236}">
                  <a16:creationId xmlns:a16="http://schemas.microsoft.com/office/drawing/2014/main" id="{00000000-0008-0000-0100-000074000000}"/>
                </a:ext>
              </a:extLst>
            </xdr:cNvPr>
            <xdr:cNvSpPr txBox="1"/>
          </xdr:nvSpPr>
          <xdr:spPr>
            <a:xfrm>
              <a:off x="12135457" y="2399529"/>
              <a:ext cx="4809517" cy="561387"/>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rgbClr val="3F3F3F"/>
                  </a:solidFill>
                  <a:latin typeface="Quattrocento Sans"/>
                  <a:ea typeface="Quattrocento Sans"/>
                  <a:cs typeface="Quattrocento Sans"/>
                  <a:sym typeface="Quattrocento Sans"/>
                </a:rPr>
                <a:t>Rest your cursor on the lower-right corner of the cell until </a:t>
              </a:r>
              <a:br>
                <a:rPr lang="en-US" sz="1100">
                  <a:solidFill>
                    <a:srgbClr val="3F3F3F"/>
                  </a:solidFill>
                  <a:latin typeface="Quattrocento Sans"/>
                  <a:ea typeface="Quattrocento Sans"/>
                  <a:cs typeface="Quattrocento Sans"/>
                  <a:sym typeface="Quattrocento Sans"/>
                </a:rPr>
              </a:br>
              <a:r>
                <a:rPr lang="en-US" sz="1100">
                  <a:solidFill>
                    <a:srgbClr val="3F3F3F"/>
                  </a:solidFill>
                  <a:latin typeface="Quattrocento Sans"/>
                  <a:ea typeface="Quattrocento Sans"/>
                  <a:cs typeface="Quattrocento Sans"/>
                  <a:sym typeface="Quattrocento Sans"/>
                </a:rPr>
                <a:t>it becomes a cross:</a:t>
              </a:r>
              <a:endParaRPr sz="1400"/>
            </a:p>
          </xdr:txBody>
        </xdr:sp>
        <xdr:sp macro="" textlink="">
          <xdr:nvSpPr>
            <xdr:cNvPr id="117" name="Shape 117" descr="2">
              <a:extLst>
                <a:ext uri="{FF2B5EF4-FFF2-40B4-BE49-F238E27FC236}">
                  <a16:creationId xmlns:a16="http://schemas.microsoft.com/office/drawing/2014/main" id="{00000000-0008-0000-0100-000075000000}"/>
                </a:ext>
              </a:extLst>
            </xdr:cNvPr>
            <xdr:cNvSpPr/>
          </xdr:nvSpPr>
          <xdr:spPr>
            <a:xfrm>
              <a:off x="11728424" y="2357031"/>
              <a:ext cx="371587"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2</a:t>
              </a:r>
              <a:endParaRPr sz="1400"/>
            </a:p>
          </xdr:txBody>
        </xdr:sp>
        <xdr:sp macro="" textlink="">
          <xdr:nvSpPr>
            <xdr:cNvPr id="118" name="Shape 118" descr="Click the cross and drag down three cells. Excel will automatically fill the cells with the totals: 110, 120, and 130. People call this “filling down”&#10;">
              <a:extLst>
                <a:ext uri="{FF2B5EF4-FFF2-40B4-BE49-F238E27FC236}">
                  <a16:creationId xmlns:a16="http://schemas.microsoft.com/office/drawing/2014/main" id="{00000000-0008-0000-0100-000076000000}"/>
                </a:ext>
              </a:extLst>
            </xdr:cNvPr>
            <xdr:cNvSpPr txBox="1"/>
          </xdr:nvSpPr>
          <xdr:spPr>
            <a:xfrm>
              <a:off x="12135458" y="3057719"/>
              <a:ext cx="4809516" cy="561387"/>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rgbClr val="3F3F3F"/>
                  </a:solidFill>
                  <a:latin typeface="Quattrocento Sans"/>
                  <a:ea typeface="Quattrocento Sans"/>
                  <a:cs typeface="Quattrocento Sans"/>
                  <a:sym typeface="Quattrocento Sans"/>
                </a:rPr>
                <a:t>Click the cross and drag down three cells. Excel will automatically fill the cells with the totals: </a:t>
              </a:r>
              <a:r>
                <a:rPr lang="en-US" sz="1100" b="1">
                  <a:solidFill>
                    <a:srgbClr val="3F3F3F"/>
                  </a:solidFill>
                  <a:latin typeface="Quattrocento Sans"/>
                  <a:ea typeface="Quattrocento Sans"/>
                  <a:cs typeface="Quattrocento Sans"/>
                  <a:sym typeface="Quattrocento Sans"/>
                </a:rPr>
                <a:t>110</a:t>
              </a:r>
              <a:r>
                <a:rPr lang="en-US" sz="1100">
                  <a:solidFill>
                    <a:srgbClr val="3F3F3F"/>
                  </a:solidFill>
                  <a:latin typeface="Quattrocento Sans"/>
                  <a:ea typeface="Quattrocento Sans"/>
                  <a:cs typeface="Quattrocento Sans"/>
                  <a:sym typeface="Quattrocento Sans"/>
                </a:rPr>
                <a:t>, </a:t>
              </a:r>
              <a:r>
                <a:rPr lang="en-US" sz="1100" b="1">
                  <a:solidFill>
                    <a:srgbClr val="3F3F3F"/>
                  </a:solidFill>
                  <a:latin typeface="Quattrocento Sans"/>
                  <a:ea typeface="Quattrocento Sans"/>
                  <a:cs typeface="Quattrocento Sans"/>
                  <a:sym typeface="Quattrocento Sans"/>
                </a:rPr>
                <a:t>120</a:t>
              </a:r>
              <a:r>
                <a:rPr lang="en-US" sz="1100">
                  <a:solidFill>
                    <a:srgbClr val="3F3F3F"/>
                  </a:solidFill>
                  <a:latin typeface="Quattrocento Sans"/>
                  <a:ea typeface="Quattrocento Sans"/>
                  <a:cs typeface="Quattrocento Sans"/>
                  <a:sym typeface="Quattrocento Sans"/>
                </a:rPr>
                <a:t>, and </a:t>
              </a:r>
              <a:r>
                <a:rPr lang="en-US" sz="1100" b="1">
                  <a:solidFill>
                    <a:srgbClr val="3F3F3F"/>
                  </a:solidFill>
                  <a:latin typeface="Quattrocento Sans"/>
                  <a:ea typeface="Quattrocento Sans"/>
                  <a:cs typeface="Quattrocento Sans"/>
                  <a:sym typeface="Quattrocento Sans"/>
                </a:rPr>
                <a:t>130</a:t>
              </a:r>
              <a:r>
                <a:rPr lang="en-US" sz="1100">
                  <a:solidFill>
                    <a:srgbClr val="3F3F3F"/>
                  </a:solidFill>
                  <a:latin typeface="Quattrocento Sans"/>
                  <a:ea typeface="Quattrocento Sans"/>
                  <a:cs typeface="Quattrocento Sans"/>
                  <a:sym typeface="Quattrocento Sans"/>
                </a:rPr>
                <a:t>. People call this “filling down.”</a:t>
              </a:r>
              <a:endParaRPr sz="1400"/>
            </a:p>
          </xdr:txBody>
        </xdr:sp>
        <xdr:sp macro="" textlink="">
          <xdr:nvSpPr>
            <xdr:cNvPr id="119" name="Shape 119" descr="3">
              <a:extLst>
                <a:ext uri="{FF2B5EF4-FFF2-40B4-BE49-F238E27FC236}">
                  <a16:creationId xmlns:a16="http://schemas.microsoft.com/office/drawing/2014/main" id="{00000000-0008-0000-0100-000077000000}"/>
                </a:ext>
              </a:extLst>
            </xdr:cNvPr>
            <xdr:cNvSpPr/>
          </xdr:nvSpPr>
          <xdr:spPr>
            <a:xfrm>
              <a:off x="11728424" y="3015221"/>
              <a:ext cx="371587"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3</a:t>
              </a:r>
              <a:endParaRPr sz="1400"/>
            </a:p>
          </xdr:txBody>
        </xdr:sp>
        <xdr:sp macro="" textlink="">
          <xdr:nvSpPr>
            <xdr:cNvPr id="120" name="Shape 120" descr="Select the yellow cell with 200, and fill again but this time drag the fill handle to the right to fill the cells. This is known as “filling right”">
              <a:extLst>
                <a:ext uri="{FF2B5EF4-FFF2-40B4-BE49-F238E27FC236}">
                  <a16:creationId xmlns:a16="http://schemas.microsoft.com/office/drawing/2014/main" id="{00000000-0008-0000-0100-000078000000}"/>
                </a:ext>
              </a:extLst>
            </xdr:cNvPr>
            <xdr:cNvSpPr txBox="1"/>
          </xdr:nvSpPr>
          <xdr:spPr>
            <a:xfrm>
              <a:off x="12135458" y="3539251"/>
              <a:ext cx="4809516" cy="561387"/>
            </a:xfrm>
            <a:prstGeom prst="rect">
              <a:avLst/>
            </a:prstGeom>
            <a:noFill/>
            <a:ln>
              <a:noFill/>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Clr>
                  <a:srgbClr val="3F3F3F"/>
                </a:buClr>
                <a:buSzPts val="1100"/>
                <a:buFont typeface="Quattrocento Sans"/>
                <a:buNone/>
              </a:pPr>
              <a:r>
                <a:rPr lang="en-US" sz="1100" b="0" i="0" u="none" strike="noStrike" cap="none">
                  <a:solidFill>
                    <a:srgbClr val="3F3F3F"/>
                  </a:solidFill>
                  <a:latin typeface="Quattrocento Sans"/>
                  <a:ea typeface="Quattrocento Sans"/>
                  <a:cs typeface="Quattrocento Sans"/>
                  <a:sym typeface="Quattrocento Sans"/>
                </a:rPr>
                <a:t>Click the yellow cell with </a:t>
              </a:r>
              <a:r>
                <a:rPr lang="en-US" sz="1100" b="1" i="0" u="none" strike="noStrike" cap="none">
                  <a:solidFill>
                    <a:srgbClr val="3F3F3F"/>
                  </a:solidFill>
                  <a:latin typeface="Quattrocento Sans"/>
                  <a:ea typeface="Quattrocento Sans"/>
                  <a:cs typeface="Quattrocento Sans"/>
                  <a:sym typeface="Quattrocento Sans"/>
                </a:rPr>
                <a:t>200</a:t>
              </a:r>
              <a:r>
                <a:rPr lang="en-US" sz="1100">
                  <a:solidFill>
                    <a:srgbClr val="3F3F3F"/>
                  </a:solidFill>
                  <a:latin typeface="Quattrocento Sans"/>
                  <a:ea typeface="Quattrocento Sans"/>
                  <a:cs typeface="Quattrocento Sans"/>
                  <a:sym typeface="Quattrocento Sans"/>
                </a:rPr>
                <a:t>, and fill again but this time drag the fill handle to the </a:t>
              </a:r>
              <a:r>
                <a:rPr lang="en-US" sz="1100" i="1">
                  <a:solidFill>
                    <a:srgbClr val="3F3F3F"/>
                  </a:solidFill>
                  <a:latin typeface="Quattrocento Sans"/>
                  <a:ea typeface="Quattrocento Sans"/>
                  <a:cs typeface="Quattrocento Sans"/>
                  <a:sym typeface="Quattrocento Sans"/>
                </a:rPr>
                <a:t>right</a:t>
              </a:r>
              <a:r>
                <a:rPr lang="en-US" sz="1100">
                  <a:solidFill>
                    <a:srgbClr val="3F3F3F"/>
                  </a:solidFill>
                  <a:latin typeface="Quattrocento Sans"/>
                  <a:ea typeface="Quattrocento Sans"/>
                  <a:cs typeface="Quattrocento Sans"/>
                  <a:sym typeface="Quattrocento Sans"/>
                </a:rPr>
                <a:t> to fill the cells. This is known as “filling right.”</a:t>
              </a:r>
              <a:endParaRPr sz="1100" i="0" u="none" strike="noStrike" cap="none">
                <a:solidFill>
                  <a:srgbClr val="3F3F3F"/>
                </a:solidFill>
                <a:latin typeface="Quattrocento Sans"/>
                <a:ea typeface="Quattrocento Sans"/>
                <a:cs typeface="Quattrocento Sans"/>
                <a:sym typeface="Quattrocento Sans"/>
              </a:endParaRPr>
            </a:p>
          </xdr:txBody>
        </xdr:sp>
        <xdr:sp macro="" textlink="">
          <xdr:nvSpPr>
            <xdr:cNvPr id="121" name="Shape 121" descr="4">
              <a:extLst>
                <a:ext uri="{FF2B5EF4-FFF2-40B4-BE49-F238E27FC236}">
                  <a16:creationId xmlns:a16="http://schemas.microsoft.com/office/drawing/2014/main" id="{00000000-0008-0000-0100-000079000000}"/>
                </a:ext>
              </a:extLst>
            </xdr:cNvPr>
            <xdr:cNvSpPr/>
          </xdr:nvSpPr>
          <xdr:spPr>
            <a:xfrm>
              <a:off x="11728424" y="3496753"/>
              <a:ext cx="371587"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4</a:t>
              </a:r>
              <a:endParaRPr sz="1400"/>
            </a:p>
          </xdr:txBody>
        </xdr:sp>
      </xdr:grpSp>
    </xdr:grpSp>
    <xdr:clientData fLocksWithSheet="0"/>
  </xdr:oneCellAnchor>
  <xdr:oneCellAnchor>
    <xdr:from>
      <xdr:col>6</xdr:col>
      <xdr:colOff>561975</xdr:colOff>
      <xdr:row>2</xdr:row>
      <xdr:rowOff>219075</xdr:rowOff>
    </xdr:from>
    <xdr:ext cx="2057400" cy="1743075"/>
    <xdr:grpSp>
      <xdr:nvGrpSpPr>
        <xdr:cNvPr id="3" name="Shape 2">
          <a:extLst>
            <a:ext uri="{FF2B5EF4-FFF2-40B4-BE49-F238E27FC236}">
              <a16:creationId xmlns:a16="http://schemas.microsoft.com/office/drawing/2014/main" id="{00000000-0008-0000-0100-000003000000}"/>
            </a:ext>
          </a:extLst>
        </xdr:cNvPr>
        <xdr:cNvGrpSpPr/>
      </xdr:nvGrpSpPr>
      <xdr:grpSpPr>
        <a:xfrm>
          <a:off x="9301806" y="1143000"/>
          <a:ext cx="2057400" cy="1743075"/>
          <a:chOff x="4251504" y="2908463"/>
          <a:chExt cx="2123197" cy="1743075"/>
        </a:xfrm>
      </xdr:grpSpPr>
      <xdr:grpSp>
        <xdr:nvGrpSpPr>
          <xdr:cNvPr id="122" name="Shape 122" descr="EXTRA CREDIT&#10;Click and drag to select these four cells, and then press CTRL+D. That's the shortcut key for filling down. Can you guess what the shortcut for filling right is? &#10;">
            <a:extLst>
              <a:ext uri="{FF2B5EF4-FFF2-40B4-BE49-F238E27FC236}">
                <a16:creationId xmlns:a16="http://schemas.microsoft.com/office/drawing/2014/main" id="{00000000-0008-0000-0100-00007A000000}"/>
              </a:ext>
            </a:extLst>
          </xdr:cNvPr>
          <xdr:cNvGrpSpPr/>
        </xdr:nvGrpSpPr>
        <xdr:grpSpPr>
          <a:xfrm>
            <a:off x="4251504" y="2908463"/>
            <a:ext cx="2123197" cy="1743075"/>
            <a:chOff x="9238880" y="1209675"/>
            <a:chExt cx="2114920" cy="1769645"/>
          </a:xfrm>
        </xdr:grpSpPr>
        <xdr:sp macro="" textlink="">
          <xdr:nvSpPr>
            <xdr:cNvPr id="5" name="Shape 4">
              <a:extLst>
                <a:ext uri="{FF2B5EF4-FFF2-40B4-BE49-F238E27FC236}">
                  <a16:creationId xmlns:a16="http://schemas.microsoft.com/office/drawing/2014/main" id="{00000000-0008-0000-0100-000005000000}"/>
                </a:ext>
              </a:extLst>
            </xdr:cNvPr>
            <xdr:cNvSpPr/>
          </xdr:nvSpPr>
          <xdr:spPr>
            <a:xfrm>
              <a:off x="9304420" y="1209675"/>
              <a:ext cx="2049375" cy="1769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123" name="Shape 123" descr="Bracket line">
              <a:extLst>
                <a:ext uri="{FF2B5EF4-FFF2-40B4-BE49-F238E27FC236}">
                  <a16:creationId xmlns:a16="http://schemas.microsoft.com/office/drawing/2014/main" id="{00000000-0008-0000-0100-00007B000000}"/>
                </a:ext>
              </a:extLst>
            </xdr:cNvPr>
            <xdr:cNvGrpSpPr/>
          </xdr:nvGrpSpPr>
          <xdr:grpSpPr>
            <a:xfrm rot="599914">
              <a:off x="9304420" y="1235818"/>
              <a:ext cx="281570" cy="779592"/>
              <a:chOff x="9871108" y="1184220"/>
              <a:chExt cx="273326" cy="789155"/>
            </a:xfrm>
          </xdr:grpSpPr>
          <xdr:sp macro="" textlink="">
            <xdr:nvSpPr>
              <xdr:cNvPr id="124" name="Shape 124" descr="Bracket line">
                <a:extLst>
                  <a:ext uri="{FF2B5EF4-FFF2-40B4-BE49-F238E27FC236}">
                    <a16:creationId xmlns:a16="http://schemas.microsoft.com/office/drawing/2014/main" id="{00000000-0008-0000-0100-00007C000000}"/>
                  </a:ext>
                </a:extLst>
              </xdr:cNvPr>
              <xdr:cNvSpPr/>
            </xdr:nvSpPr>
            <xdr:spPr>
              <a:xfrm>
                <a:off x="9871108" y="1184220"/>
                <a:ext cx="273326" cy="262769"/>
              </a:xfrm>
              <a:custGeom>
                <a:avLst/>
                <a:gdLst/>
                <a:ahLst/>
                <a:cxnLst/>
                <a:rect l="l" t="t" r="r" b="b"/>
                <a:pathLst>
                  <a:path w="273326" h="217696" extrusionOk="0">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cap="flat" cmpd="sng">
                <a:solidFill>
                  <a:srgbClr val="F4B08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lt1"/>
                  </a:solidFill>
                  <a:latin typeface="Calibri"/>
                  <a:ea typeface="Calibri"/>
                  <a:cs typeface="Calibri"/>
                  <a:sym typeface="Calibri"/>
                </a:endParaRPr>
              </a:p>
            </xdr:txBody>
          </xdr:sp>
          <xdr:sp macro="" textlink="">
            <xdr:nvSpPr>
              <xdr:cNvPr id="125" name="Shape 125" descr="Bracket line">
                <a:extLst>
                  <a:ext uri="{FF2B5EF4-FFF2-40B4-BE49-F238E27FC236}">
                    <a16:creationId xmlns:a16="http://schemas.microsoft.com/office/drawing/2014/main" id="{00000000-0008-0000-0100-00007D000000}"/>
                  </a:ext>
                </a:extLst>
              </xdr:cNvPr>
              <xdr:cNvSpPr/>
            </xdr:nvSpPr>
            <xdr:spPr>
              <a:xfrm>
                <a:off x="9983011" y="1430777"/>
                <a:ext cx="160895" cy="542598"/>
              </a:xfrm>
              <a:custGeom>
                <a:avLst/>
                <a:gdLst/>
                <a:ahLst/>
                <a:cxnLst/>
                <a:rect l="l" t="t" r="r" b="b"/>
                <a:pathLst>
                  <a:path w="231913" h="579782" extrusionOk="0">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cap="flat" cmpd="sng">
                <a:solidFill>
                  <a:srgbClr val="F4B08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lt1"/>
                  </a:solidFill>
                  <a:latin typeface="Calibri"/>
                  <a:ea typeface="Calibri"/>
                  <a:cs typeface="Calibri"/>
                  <a:sym typeface="Calibri"/>
                </a:endParaRPr>
              </a:p>
            </xdr:txBody>
          </xdr:sp>
        </xdr:grpSp>
        <xdr:sp macro="" textlink="">
          <xdr:nvSpPr>
            <xdr:cNvPr id="126" name="Shape 126" descr="EXTRA CREDIT&#10;Click and drag to select these four cells, and then press CTRL+D. That's the shortcut key for filling down. Can you guess what the shortcut for filling right is? ">
              <a:extLst>
                <a:ext uri="{FF2B5EF4-FFF2-40B4-BE49-F238E27FC236}">
                  <a16:creationId xmlns:a16="http://schemas.microsoft.com/office/drawing/2014/main" id="{00000000-0008-0000-0100-00007E000000}"/>
                </a:ext>
              </a:extLst>
            </xdr:cNvPr>
            <xdr:cNvSpPr txBox="1"/>
          </xdr:nvSpPr>
          <xdr:spPr>
            <a:xfrm>
              <a:off x="9923106" y="1209675"/>
              <a:ext cx="1430694" cy="176964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200" b="1">
                  <a:solidFill>
                    <a:srgbClr val="F4B081"/>
                  </a:solidFill>
                  <a:latin typeface="Quattrocento Sans"/>
                  <a:ea typeface="Quattrocento Sans"/>
                  <a:cs typeface="Quattrocento Sans"/>
                  <a:sym typeface="Quattrocento Sans"/>
                </a:rPr>
                <a:t>EXTRA CREDIT</a:t>
              </a:r>
              <a:endParaRPr sz="1200" b="1">
                <a:solidFill>
                  <a:srgbClr val="F4B081"/>
                </a:solidFill>
                <a:latin typeface="Quattrocento Sans"/>
                <a:ea typeface="Quattrocento Sans"/>
                <a:cs typeface="Quattrocento Sans"/>
                <a:sym typeface="Quattrocento Sans"/>
              </a:endParaRPr>
            </a:p>
            <a:p>
              <a:pPr marL="0" lvl="0" indent="0" algn="l" rtl="0">
                <a:spcBef>
                  <a:spcPts val="0"/>
                </a:spcBef>
                <a:spcAft>
                  <a:spcPts val="0"/>
                </a:spcAft>
                <a:buNone/>
              </a:pPr>
              <a:r>
                <a:rPr lang="en-US" sz="1100" b="0" i="0">
                  <a:solidFill>
                    <a:schemeClr val="dk1"/>
                  </a:solidFill>
                  <a:latin typeface="Calibri"/>
                  <a:ea typeface="Calibri"/>
                  <a:cs typeface="Calibri"/>
                  <a:sym typeface="Calibri"/>
                </a:rPr>
                <a:t>Click and drag to select these four cells, and then press CTRL+D. That's the shortcut key for filling down. Can you guess what the shortcut for filling </a:t>
              </a:r>
              <a:r>
                <a:rPr lang="en-US" sz="1100" b="0" i="1">
                  <a:solidFill>
                    <a:schemeClr val="dk1"/>
                  </a:solidFill>
                  <a:latin typeface="Calibri"/>
                  <a:ea typeface="Calibri"/>
                  <a:cs typeface="Calibri"/>
                  <a:sym typeface="Calibri"/>
                </a:rPr>
                <a:t>right </a:t>
              </a:r>
              <a:r>
                <a:rPr lang="en-US" sz="1100" b="0" i="0">
                  <a:solidFill>
                    <a:schemeClr val="dk1"/>
                  </a:solidFill>
                  <a:latin typeface="Calibri"/>
                  <a:ea typeface="Calibri"/>
                  <a:cs typeface="Calibri"/>
                  <a:sym typeface="Calibri"/>
                </a:rPr>
                <a:t>is? </a:t>
              </a:r>
              <a:endParaRPr sz="1100"/>
            </a:p>
          </xdr:txBody>
        </xdr:sp>
        <xdr:pic>
          <xdr:nvPicPr>
            <xdr:cNvPr id="127" name="Shape 127" descr="Ribbon">
              <a:extLst>
                <a:ext uri="{FF2B5EF4-FFF2-40B4-BE49-F238E27FC236}">
                  <a16:creationId xmlns:a16="http://schemas.microsoft.com/office/drawing/2014/main" id="{00000000-0008-0000-0100-00007F000000}"/>
                </a:ext>
              </a:extLst>
            </xdr:cNvPr>
            <xdr:cNvPicPr preferRelativeResize="0"/>
          </xdr:nvPicPr>
          <xdr:blipFill rotWithShape="1">
            <a:blip xmlns:r="http://schemas.openxmlformats.org/officeDocument/2006/relationships" r:embed="rId2">
              <a:alphaModFix/>
            </a:blip>
            <a:srcRect/>
            <a:stretch/>
          </xdr:blipFill>
          <xdr:spPr>
            <a:xfrm>
              <a:off x="9563658" y="1264439"/>
              <a:ext cx="471540" cy="439238"/>
            </a:xfrm>
            <a:prstGeom prst="rect">
              <a:avLst/>
            </a:prstGeom>
            <a:noFill/>
            <a:ln>
              <a:noFill/>
            </a:ln>
          </xdr:spPr>
        </xdr:pic>
      </xdr:grpSp>
    </xdr:grpSp>
    <xdr:clientData fLocksWithSheet="0"/>
  </xdr:oneCellAnchor>
  <xdr:oneCellAnchor>
    <xdr:from>
      <xdr:col>0</xdr:col>
      <xdr:colOff>390525</xdr:colOff>
      <xdr:row>25</xdr:row>
      <xdr:rowOff>142875</xdr:rowOff>
    </xdr:from>
    <xdr:ext cx="5695950" cy="2733675"/>
    <xdr:grpSp>
      <xdr:nvGrpSpPr>
        <xdr:cNvPr id="6" name="Shape 2">
          <a:extLst>
            <a:ext uri="{FF2B5EF4-FFF2-40B4-BE49-F238E27FC236}">
              <a16:creationId xmlns:a16="http://schemas.microsoft.com/office/drawing/2014/main" id="{00000000-0008-0000-0100-000006000000}"/>
            </a:ext>
          </a:extLst>
        </xdr:cNvPr>
        <xdr:cNvGrpSpPr/>
      </xdr:nvGrpSpPr>
      <xdr:grpSpPr>
        <a:xfrm>
          <a:off x="390525" y="5548956"/>
          <a:ext cx="5695950" cy="2733675"/>
          <a:chOff x="2498025" y="2413163"/>
          <a:chExt cx="5695950" cy="2733675"/>
        </a:xfrm>
      </xdr:grpSpPr>
      <xdr:grpSp>
        <xdr:nvGrpSpPr>
          <xdr:cNvPr id="128" name="Shape 128" descr="Use the fill handle to copy cells&#10;Sometimes you don't need the numbers to change as you fill. Instead, you just want to copy values to other adjacent cells. Here's how to do that:&#10;Click the cell with the word Produce. Rest your cursor on the lower-right corner of the cell until it becomes a cross, then drag down three cells.&#10;Now select the cell with the word Fruit. Rest your cursor on the lower- right corner again, and when you get the cross, double-click.  That's another way to fill down in case you ever need to fill a long column">
            <a:extLst>
              <a:ext uri="{FF2B5EF4-FFF2-40B4-BE49-F238E27FC236}">
                <a16:creationId xmlns:a16="http://schemas.microsoft.com/office/drawing/2014/main" id="{00000000-0008-0000-0100-000080000000}"/>
              </a:ext>
            </a:extLst>
          </xdr:cNvPr>
          <xdr:cNvGrpSpPr/>
        </xdr:nvGrpSpPr>
        <xdr:grpSpPr>
          <a:xfrm>
            <a:off x="2498025" y="2413163"/>
            <a:ext cx="5695950" cy="2733675"/>
            <a:chOff x="0" y="-9524"/>
            <a:chExt cx="5695950" cy="2705100"/>
          </a:xfrm>
        </xdr:grpSpPr>
        <xdr:sp macro="" textlink="">
          <xdr:nvSpPr>
            <xdr:cNvPr id="7" name="Shape 4">
              <a:extLst>
                <a:ext uri="{FF2B5EF4-FFF2-40B4-BE49-F238E27FC236}">
                  <a16:creationId xmlns:a16="http://schemas.microsoft.com/office/drawing/2014/main" id="{00000000-0008-0000-0100-000007000000}"/>
                </a:ext>
              </a:extLst>
            </xdr:cNvPr>
            <xdr:cNvSpPr/>
          </xdr:nvSpPr>
          <xdr:spPr>
            <a:xfrm>
              <a:off x="0" y="-9524"/>
              <a:ext cx="5695950" cy="2705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29" name="Shape 129" descr="Background">
              <a:extLst>
                <a:ext uri="{FF2B5EF4-FFF2-40B4-BE49-F238E27FC236}">
                  <a16:creationId xmlns:a16="http://schemas.microsoft.com/office/drawing/2014/main" id="{00000000-0008-0000-0100-000081000000}"/>
                </a:ext>
              </a:extLst>
            </xdr:cNvPr>
            <xdr:cNvSpPr/>
          </xdr:nvSpPr>
          <xdr:spPr>
            <a:xfrm>
              <a:off x="0" y="-9524"/>
              <a:ext cx="5695950" cy="2705100"/>
            </a:xfrm>
            <a:prstGeom prst="rect">
              <a:avLst/>
            </a:prstGeom>
            <a:solidFill>
              <a:srgbClr val="F5F5F5"/>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30" name="Shape 130" descr="Use the fill handle to copy cells">
              <a:extLst>
                <a:ext uri="{FF2B5EF4-FFF2-40B4-BE49-F238E27FC236}">
                  <a16:creationId xmlns:a16="http://schemas.microsoft.com/office/drawing/2014/main" id="{00000000-0008-0000-0100-000082000000}"/>
                </a:ext>
              </a:extLst>
            </xdr:cNvPr>
            <xdr:cNvSpPr txBox="1"/>
          </xdr:nvSpPr>
          <xdr:spPr>
            <a:xfrm>
              <a:off x="231748" y="118698"/>
              <a:ext cx="5216551" cy="490903"/>
            </a:xfrm>
            <a:prstGeom prst="rect">
              <a:avLst/>
            </a:prstGeom>
            <a:noFill/>
            <a:ln>
              <a:noFill/>
            </a:ln>
          </xdr:spPr>
          <xdr:txBody>
            <a:bodyPr spcFirstLastPara="1" wrap="square" lIns="0" tIns="45700" rIns="0" bIns="45700" anchor="t" anchorCtr="0">
              <a:noAutofit/>
            </a:bodyPr>
            <a:lstStyle/>
            <a:p>
              <a:pPr marL="0" marR="0" lvl="0" indent="0" algn="l" rtl="0">
                <a:lnSpc>
                  <a:spcPct val="100000"/>
                </a:lnSpc>
                <a:spcBef>
                  <a:spcPts val="0"/>
                </a:spcBef>
                <a:spcAft>
                  <a:spcPts val="0"/>
                </a:spcAft>
                <a:buClr>
                  <a:srgbClr val="3A3838"/>
                </a:buClr>
                <a:buSzPts val="2200"/>
                <a:buFont typeface="Quattrocento Sans"/>
                <a:buNone/>
              </a:pPr>
              <a:r>
                <a:rPr lang="en-US" sz="2200" b="0" i="0" u="none" strike="noStrike" cap="none">
                  <a:solidFill>
                    <a:srgbClr val="3A3838"/>
                  </a:solidFill>
                  <a:latin typeface="Quattrocento Sans"/>
                  <a:ea typeface="Quattrocento Sans"/>
                  <a:cs typeface="Quattrocento Sans"/>
                  <a:sym typeface="Quattrocento Sans"/>
                </a:rPr>
                <a:t>Use the fill handle to copy cells</a:t>
              </a:r>
              <a:endParaRPr sz="2200" b="0">
                <a:solidFill>
                  <a:srgbClr val="3A3838"/>
                </a:solidFill>
                <a:latin typeface="Quattrocento Sans"/>
                <a:ea typeface="Quattrocento Sans"/>
                <a:cs typeface="Quattrocento Sans"/>
                <a:sym typeface="Quattrocento Sans"/>
              </a:endParaRPr>
            </a:p>
          </xdr:txBody>
        </xdr:sp>
        <xdr:cxnSp macro="">
          <xdr:nvCxnSpPr>
            <xdr:cNvPr id="131" name="Shape 131" descr="Decorative line">
              <a:extLst>
                <a:ext uri="{FF2B5EF4-FFF2-40B4-BE49-F238E27FC236}">
                  <a16:creationId xmlns:a16="http://schemas.microsoft.com/office/drawing/2014/main" id="{00000000-0008-0000-0100-000083000000}"/>
                </a:ext>
              </a:extLst>
            </xdr:cNvPr>
            <xdr:cNvCxnSpPr/>
          </xdr:nvCxnSpPr>
          <xdr:spPr>
            <a:xfrm>
              <a:off x="234924" y="626111"/>
              <a:ext cx="5213376" cy="0"/>
            </a:xfrm>
            <a:prstGeom prst="straightConnector1">
              <a:avLst/>
            </a:prstGeom>
            <a:noFill/>
            <a:ln w="25400" cap="flat" cmpd="sng">
              <a:solidFill>
                <a:srgbClr val="217346"/>
              </a:solidFill>
              <a:prstDash val="solid"/>
              <a:round/>
              <a:headEnd type="none" w="sm" len="sm"/>
              <a:tailEnd type="none" w="sm" len="sm"/>
            </a:ln>
          </xdr:spPr>
        </xdr:cxnSp>
        <xdr:cxnSp macro="">
          <xdr:nvCxnSpPr>
            <xdr:cNvPr id="132" name="Shape 132" descr="Decorative line">
              <a:extLst>
                <a:ext uri="{FF2B5EF4-FFF2-40B4-BE49-F238E27FC236}">
                  <a16:creationId xmlns:a16="http://schemas.microsoft.com/office/drawing/2014/main" id="{00000000-0008-0000-0100-000084000000}"/>
                </a:ext>
              </a:extLst>
            </xdr:cNvPr>
            <xdr:cNvCxnSpPr/>
          </xdr:nvCxnSpPr>
          <xdr:spPr>
            <a:xfrm>
              <a:off x="234924" y="2466975"/>
              <a:ext cx="5213376" cy="0"/>
            </a:xfrm>
            <a:prstGeom prst="straightConnector1">
              <a:avLst/>
            </a:prstGeom>
            <a:noFill/>
            <a:ln w="25400" cap="flat" cmpd="sng">
              <a:solidFill>
                <a:srgbClr val="217346"/>
              </a:solidFill>
              <a:prstDash val="solid"/>
              <a:round/>
              <a:headEnd type="none" w="sm" len="sm"/>
              <a:tailEnd type="none" w="sm" len="sm"/>
            </a:ln>
          </xdr:spPr>
        </xdr:cxnSp>
        <xdr:sp macro="" textlink="">
          <xdr:nvSpPr>
            <xdr:cNvPr id="133" name="Shape 133" descr="Sometimes you don't need the numbers to change as you fill. Instead, you just want to copy values to other adjacent cells. Here's how to do that:">
              <a:extLst>
                <a:ext uri="{FF2B5EF4-FFF2-40B4-BE49-F238E27FC236}">
                  <a16:creationId xmlns:a16="http://schemas.microsoft.com/office/drawing/2014/main" id="{00000000-0008-0000-0100-000085000000}"/>
                </a:ext>
              </a:extLst>
            </xdr:cNvPr>
            <xdr:cNvSpPr txBox="1"/>
          </xdr:nvSpPr>
          <xdr:spPr>
            <a:xfrm>
              <a:off x="228600" y="699721"/>
              <a:ext cx="5300938" cy="420026"/>
            </a:xfrm>
            <a:prstGeom prst="rect">
              <a:avLst/>
            </a:prstGeom>
            <a:noFill/>
            <a:ln>
              <a:noFill/>
            </a:ln>
          </xdr:spPr>
          <xdr:txBody>
            <a:bodyPr spcFirstLastPara="1" wrap="square" lIns="0" tIns="45700" rIns="0" bIns="45700" anchor="t" anchorCtr="0">
              <a:noAutofit/>
            </a:bodyPr>
            <a:lstStyle/>
            <a:p>
              <a:pPr marL="0" lvl="0" indent="0" algn="l" rtl="0">
                <a:spcBef>
                  <a:spcPts val="0"/>
                </a:spcBef>
                <a:spcAft>
                  <a:spcPts val="0"/>
                </a:spcAft>
                <a:buNone/>
              </a:pPr>
              <a:r>
                <a:rPr lang="en-US" sz="1100">
                  <a:solidFill>
                    <a:schemeClr val="dk1"/>
                  </a:solidFill>
                  <a:latin typeface="Quattrocento Sans"/>
                  <a:ea typeface="Quattrocento Sans"/>
                  <a:cs typeface="Quattrocento Sans"/>
                  <a:sym typeface="Quattrocento Sans"/>
                </a:rPr>
                <a:t>Sometimes you don't need the numbers to change as you fill. Instead, you just want to copy values to other adjacent cells. Here's how to do that:</a:t>
              </a:r>
              <a:endParaRPr sz="1400"/>
            </a:p>
          </xdr:txBody>
        </xdr:sp>
        <xdr:sp macro="" textlink="">
          <xdr:nvSpPr>
            <xdr:cNvPr id="134" name="Shape 134" descr="Click the cell with the word Produce. Rest your cursor on the lower-right corner of the cell until it becomes a cross, then drag down three cells">
              <a:extLst>
                <a:ext uri="{FF2B5EF4-FFF2-40B4-BE49-F238E27FC236}">
                  <a16:creationId xmlns:a16="http://schemas.microsoft.com/office/drawing/2014/main" id="{00000000-0008-0000-0100-000086000000}"/>
                </a:ext>
              </a:extLst>
            </xdr:cNvPr>
            <xdr:cNvSpPr txBox="1"/>
          </xdr:nvSpPr>
          <xdr:spPr>
            <a:xfrm>
              <a:off x="638783" y="1207467"/>
              <a:ext cx="4809516" cy="561387"/>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rgbClr val="3F3F3F"/>
                  </a:solidFill>
                  <a:latin typeface="Quattrocento Sans"/>
                  <a:ea typeface="Quattrocento Sans"/>
                  <a:cs typeface="Quattrocento Sans"/>
                  <a:sym typeface="Quattrocento Sans"/>
                </a:rPr>
                <a:t>Click the cell with the word </a:t>
              </a:r>
              <a:r>
                <a:rPr lang="en-US" sz="1100" b="1">
                  <a:solidFill>
                    <a:srgbClr val="3F3F3F"/>
                  </a:solidFill>
                  <a:latin typeface="Quattrocento Sans"/>
                  <a:ea typeface="Quattrocento Sans"/>
                  <a:cs typeface="Quattrocento Sans"/>
                  <a:sym typeface="Quattrocento Sans"/>
                </a:rPr>
                <a:t>Produce</a:t>
              </a:r>
              <a:r>
                <a:rPr lang="en-US" sz="1100">
                  <a:solidFill>
                    <a:srgbClr val="3F3F3F"/>
                  </a:solidFill>
                  <a:latin typeface="Quattrocento Sans"/>
                  <a:ea typeface="Quattrocento Sans"/>
                  <a:cs typeface="Quattrocento Sans"/>
                  <a:sym typeface="Quattrocento Sans"/>
                </a:rPr>
                <a:t>. Rest your cursor on the lower-right corner of the cell until it becomes a cross, then drag down three cells.</a:t>
              </a:r>
              <a:endParaRPr sz="1400"/>
            </a:p>
          </xdr:txBody>
        </xdr:sp>
        <xdr:sp macro="" textlink="">
          <xdr:nvSpPr>
            <xdr:cNvPr id="135" name="Shape 135" descr="1">
              <a:extLst>
                <a:ext uri="{FF2B5EF4-FFF2-40B4-BE49-F238E27FC236}">
                  <a16:creationId xmlns:a16="http://schemas.microsoft.com/office/drawing/2014/main" id="{00000000-0008-0000-0100-000087000000}"/>
                </a:ext>
              </a:extLst>
            </xdr:cNvPr>
            <xdr:cNvSpPr/>
          </xdr:nvSpPr>
          <xdr:spPr>
            <a:xfrm>
              <a:off x="231749" y="1164969"/>
              <a:ext cx="371587"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1</a:t>
              </a:r>
              <a:endParaRPr sz="1400"/>
            </a:p>
          </xdr:txBody>
        </xdr:sp>
        <xdr:sp macro="" textlink="">
          <xdr:nvSpPr>
            <xdr:cNvPr id="136" name="Shape 136" descr="Now select the cell with the word Fruit. Rest your cursor on the lower- right corner again, and when you get the cross, double-click.  That's another way to fill down in case you ever need to fill a long column">
              <a:extLst>
                <a:ext uri="{FF2B5EF4-FFF2-40B4-BE49-F238E27FC236}">
                  <a16:creationId xmlns:a16="http://schemas.microsoft.com/office/drawing/2014/main" id="{00000000-0008-0000-0100-000088000000}"/>
                </a:ext>
              </a:extLst>
            </xdr:cNvPr>
            <xdr:cNvSpPr txBox="1"/>
          </xdr:nvSpPr>
          <xdr:spPr>
            <a:xfrm>
              <a:off x="638782" y="1722774"/>
              <a:ext cx="4809517" cy="656407"/>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rgbClr val="3F3F3F"/>
                  </a:solidFill>
                  <a:latin typeface="Quattrocento Sans"/>
                  <a:ea typeface="Quattrocento Sans"/>
                  <a:cs typeface="Quattrocento Sans"/>
                  <a:sym typeface="Quattrocento Sans"/>
                </a:rPr>
                <a:t>Now select the cell with the word </a:t>
              </a:r>
              <a:r>
                <a:rPr lang="en-US" sz="1100" b="1">
                  <a:solidFill>
                    <a:srgbClr val="3F3F3F"/>
                  </a:solidFill>
                  <a:latin typeface="Quattrocento Sans"/>
                  <a:ea typeface="Quattrocento Sans"/>
                  <a:cs typeface="Quattrocento Sans"/>
                  <a:sym typeface="Quattrocento Sans"/>
                </a:rPr>
                <a:t>Fruit</a:t>
              </a:r>
              <a:r>
                <a:rPr lang="en-US" sz="1100">
                  <a:solidFill>
                    <a:srgbClr val="3F3F3F"/>
                  </a:solidFill>
                  <a:latin typeface="Quattrocento Sans"/>
                  <a:ea typeface="Quattrocento Sans"/>
                  <a:cs typeface="Quattrocento Sans"/>
                  <a:sym typeface="Quattrocento Sans"/>
                </a:rPr>
                <a:t>. Rest your cursor on the lower- right corner again, and when you get the cross, double-click. That's another way to fill down in case you ever need to fill a long column. </a:t>
              </a:r>
              <a:endParaRPr sz="1400"/>
            </a:p>
          </xdr:txBody>
        </xdr:sp>
        <xdr:sp macro="" textlink="">
          <xdr:nvSpPr>
            <xdr:cNvPr id="137" name="Shape 137" descr="2">
              <a:extLst>
                <a:ext uri="{FF2B5EF4-FFF2-40B4-BE49-F238E27FC236}">
                  <a16:creationId xmlns:a16="http://schemas.microsoft.com/office/drawing/2014/main" id="{00000000-0008-0000-0100-000089000000}"/>
                </a:ext>
              </a:extLst>
            </xdr:cNvPr>
            <xdr:cNvSpPr/>
          </xdr:nvSpPr>
          <xdr:spPr>
            <a:xfrm>
              <a:off x="231749" y="1680276"/>
              <a:ext cx="371587"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2</a:t>
              </a:r>
              <a:endParaRPr sz="1400"/>
            </a:p>
          </xdr:txBody>
        </xdr:sp>
      </xdr:grpSp>
    </xdr:grpSp>
    <xdr:clientData fLocksWithSheet="0"/>
  </xdr:oneCellAnchor>
  <xdr:oneCellAnchor>
    <xdr:from>
      <xdr:col>2</xdr:col>
      <xdr:colOff>388592</xdr:colOff>
      <xdr:row>46</xdr:row>
      <xdr:rowOff>79513</xdr:rowOff>
    </xdr:from>
    <xdr:ext cx="3486150" cy="2314575"/>
    <xdr:grpSp>
      <xdr:nvGrpSpPr>
        <xdr:cNvPr id="8" name="Shape 2">
          <a:extLst>
            <a:ext uri="{FF2B5EF4-FFF2-40B4-BE49-F238E27FC236}">
              <a16:creationId xmlns:a16="http://schemas.microsoft.com/office/drawing/2014/main" id="{00000000-0008-0000-0100-000008000000}"/>
            </a:ext>
          </a:extLst>
        </xdr:cNvPr>
        <xdr:cNvGrpSpPr/>
      </xdr:nvGrpSpPr>
      <xdr:grpSpPr>
        <a:xfrm>
          <a:off x="6760045" y="9565898"/>
          <a:ext cx="3486150" cy="2314575"/>
          <a:chOff x="3602925" y="2622713"/>
          <a:chExt cx="3486150" cy="2314575"/>
        </a:xfrm>
      </xdr:grpSpPr>
      <xdr:grpSp>
        <xdr:nvGrpSpPr>
          <xdr:cNvPr id="138" name="Shape 138" descr="IMPORTANT DETAIL&#10;Select this cell, and then drag the fill &#10;handle down 3 cells. After that, click this button:&#10;This is the AutoFill Options button, and it lets you change the fill immediately after. Choose another option like Copy cells or Fill formatting only. You never know when these might come in handy someday">
            <a:extLst>
              <a:ext uri="{FF2B5EF4-FFF2-40B4-BE49-F238E27FC236}">
                <a16:creationId xmlns:a16="http://schemas.microsoft.com/office/drawing/2014/main" id="{00000000-0008-0000-0100-00008A000000}"/>
              </a:ext>
            </a:extLst>
          </xdr:cNvPr>
          <xdr:cNvGrpSpPr/>
        </xdr:nvGrpSpPr>
        <xdr:grpSpPr>
          <a:xfrm>
            <a:off x="3602925" y="2622713"/>
            <a:ext cx="3486150" cy="2314575"/>
            <a:chOff x="6705600" y="9845654"/>
            <a:chExt cx="3482574" cy="2308246"/>
          </a:xfrm>
        </xdr:grpSpPr>
        <xdr:sp macro="" textlink="">
          <xdr:nvSpPr>
            <xdr:cNvPr id="9" name="Shape 4">
              <a:extLst>
                <a:ext uri="{FF2B5EF4-FFF2-40B4-BE49-F238E27FC236}">
                  <a16:creationId xmlns:a16="http://schemas.microsoft.com/office/drawing/2014/main" id="{00000000-0008-0000-0100-000009000000}"/>
                </a:ext>
              </a:extLst>
            </xdr:cNvPr>
            <xdr:cNvSpPr/>
          </xdr:nvSpPr>
          <xdr:spPr>
            <a:xfrm>
              <a:off x="6705600" y="9845654"/>
              <a:ext cx="3482550" cy="23082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39" name="Shape 139" descr="Arrow">
              <a:extLst>
                <a:ext uri="{FF2B5EF4-FFF2-40B4-BE49-F238E27FC236}">
                  <a16:creationId xmlns:a16="http://schemas.microsoft.com/office/drawing/2014/main" id="{00000000-0008-0000-0100-00008B000000}"/>
                </a:ext>
              </a:extLst>
            </xdr:cNvPr>
            <xdr:cNvSpPr/>
          </xdr:nvSpPr>
          <xdr:spPr>
            <a:xfrm>
              <a:off x="8496466" y="9845654"/>
              <a:ext cx="804429" cy="878377"/>
            </a:xfrm>
            <a:custGeom>
              <a:avLst/>
              <a:gdLst/>
              <a:ahLst/>
              <a:cxnLst/>
              <a:rect l="l" t="t" r="r" b="b"/>
              <a:pathLst>
                <a:path w="279015" h="1281090" extrusionOk="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cap="flat" cmpd="sng">
              <a:solidFill>
                <a:srgbClr val="F4B08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0" name="Shape 140" descr="IMPORTANT DETAIL&#10;Select this cell, and then drag the fill &#10;handle down 3 cells. After that, click this button:&#10;This is the AutoFill Options button, and it lets you change the fill immediately after. Choose another option like Copy cells or Fill formatting only. You never know when these might come in handy someday">
              <a:extLst>
                <a:ext uri="{FF2B5EF4-FFF2-40B4-BE49-F238E27FC236}">
                  <a16:creationId xmlns:a16="http://schemas.microsoft.com/office/drawing/2014/main" id="{00000000-0008-0000-0100-00008C000000}"/>
                </a:ext>
              </a:extLst>
            </xdr:cNvPr>
            <xdr:cNvSpPr txBox="1"/>
          </xdr:nvSpPr>
          <xdr:spPr>
            <a:xfrm>
              <a:off x="7077075" y="10623960"/>
              <a:ext cx="2838450" cy="1529940"/>
            </a:xfrm>
            <a:prstGeom prst="rect">
              <a:avLst/>
            </a:prstGeom>
            <a:noFill/>
            <a:ln>
              <a:noFill/>
            </a:ln>
          </xdr:spPr>
          <xdr:txBody>
            <a:bodyPr spcFirstLastPara="1" wrap="square" lIns="0" tIns="45700" rIns="0" bIns="45700" anchor="t" anchorCtr="0">
              <a:noAutofit/>
            </a:bodyPr>
            <a:lstStyle/>
            <a:p>
              <a:pPr marL="0" lvl="0" indent="0" algn="l" rtl="0">
                <a:spcBef>
                  <a:spcPts val="0"/>
                </a:spcBef>
                <a:spcAft>
                  <a:spcPts val="0"/>
                </a:spcAft>
                <a:buNone/>
              </a:pPr>
              <a:r>
                <a:rPr lang="en-US" sz="1200" b="1">
                  <a:solidFill>
                    <a:srgbClr val="F4B081"/>
                  </a:solidFill>
                  <a:latin typeface="Quattrocento Sans"/>
                  <a:ea typeface="Quattrocento Sans"/>
                  <a:cs typeface="Quattrocento Sans"/>
                  <a:sym typeface="Quattrocento Sans"/>
                </a:rPr>
                <a:t>IMPORTANT DETAIL</a:t>
              </a:r>
              <a:endParaRPr sz="1200" b="1">
                <a:solidFill>
                  <a:srgbClr val="F4B081"/>
                </a:solidFill>
                <a:latin typeface="Quattrocento Sans"/>
                <a:ea typeface="Quattrocento Sans"/>
                <a:cs typeface="Quattrocento Sans"/>
                <a:sym typeface="Quattrocento Sans"/>
              </a:endParaRPr>
            </a:p>
            <a:p>
              <a:pPr marL="0" lvl="0" indent="0" algn="l" rtl="0">
                <a:spcBef>
                  <a:spcPts val="0"/>
                </a:spcBef>
                <a:spcAft>
                  <a:spcPts val="0"/>
                </a:spcAft>
                <a:buNone/>
              </a:pPr>
              <a:r>
                <a:rPr lang="en-US" sz="1100" b="0" i="0">
                  <a:solidFill>
                    <a:schemeClr val="dk1"/>
                  </a:solidFill>
                  <a:latin typeface="Calibri"/>
                  <a:ea typeface="Calibri"/>
                  <a:cs typeface="Calibri"/>
                  <a:sym typeface="Calibri"/>
                </a:rPr>
                <a:t>Select this cell, and then drag the fill </a:t>
              </a:r>
              <a:br>
                <a:rPr lang="en-US" sz="1100" b="0" i="0">
                  <a:solidFill>
                    <a:schemeClr val="dk1"/>
                  </a:solidFill>
                  <a:latin typeface="Calibri"/>
                  <a:ea typeface="Calibri"/>
                  <a:cs typeface="Calibri"/>
                  <a:sym typeface="Calibri"/>
                </a:rPr>
              </a:br>
              <a:r>
                <a:rPr lang="en-US" sz="1100" b="0" i="0">
                  <a:solidFill>
                    <a:schemeClr val="dk1"/>
                  </a:solidFill>
                  <a:latin typeface="Calibri"/>
                  <a:ea typeface="Calibri"/>
                  <a:cs typeface="Calibri"/>
                  <a:sym typeface="Calibri"/>
                </a:rPr>
                <a:t>handle down 3 cells. After that, click this button:</a:t>
              </a:r>
              <a:endParaRPr sz="1400"/>
            </a:p>
            <a:p>
              <a:pPr marL="0" lvl="0" indent="0" algn="l" rtl="0">
                <a:spcBef>
                  <a:spcPts val="0"/>
                </a:spcBef>
                <a:spcAft>
                  <a:spcPts val="0"/>
                </a:spcAft>
                <a:buNone/>
              </a:pPr>
              <a:r>
                <a:rPr lang="en-US" sz="1100" b="0" i="0">
                  <a:solidFill>
                    <a:schemeClr val="dk1"/>
                  </a:solidFill>
                  <a:latin typeface="Calibri"/>
                  <a:ea typeface="Calibri"/>
                  <a:cs typeface="Calibri"/>
                  <a:sym typeface="Calibri"/>
                </a:rPr>
                <a:t>This is the </a:t>
              </a:r>
              <a:r>
                <a:rPr lang="en-US" sz="1100" b="1" i="0">
                  <a:solidFill>
                    <a:schemeClr val="dk1"/>
                  </a:solidFill>
                  <a:latin typeface="Calibri"/>
                  <a:ea typeface="Calibri"/>
                  <a:cs typeface="Calibri"/>
                  <a:sym typeface="Calibri"/>
                </a:rPr>
                <a:t>AutoFill Options </a:t>
              </a:r>
              <a:r>
                <a:rPr lang="en-US" sz="1100" b="0" i="0">
                  <a:solidFill>
                    <a:schemeClr val="dk1"/>
                  </a:solidFill>
                  <a:latin typeface="Calibri"/>
                  <a:ea typeface="Calibri"/>
                  <a:cs typeface="Calibri"/>
                  <a:sym typeface="Calibri"/>
                </a:rPr>
                <a:t>button, and it lets you change the fill immediately after. Choose another option like Copy cells or Fill formatting only. You never know when these might come in handy someday.</a:t>
              </a:r>
              <a:endParaRPr sz="1400"/>
            </a:p>
            <a:p>
              <a:pPr marL="0" lvl="0" indent="0" algn="l" rtl="0">
                <a:spcBef>
                  <a:spcPts val="0"/>
                </a:spcBef>
                <a:spcAft>
                  <a:spcPts val="0"/>
                </a:spcAft>
                <a:buNone/>
              </a:pPr>
              <a:endParaRPr sz="1000" b="0" i="0">
                <a:solidFill>
                  <a:schemeClr val="dk1"/>
                </a:solidFill>
                <a:latin typeface="Calibri"/>
                <a:ea typeface="Calibri"/>
                <a:cs typeface="Calibri"/>
                <a:sym typeface="Calibri"/>
              </a:endParaRPr>
            </a:p>
          </xdr:txBody>
        </xdr:sp>
        <xdr:pic>
          <xdr:nvPicPr>
            <xdr:cNvPr id="141" name="Shape 141" descr="Glasses">
              <a:extLst>
                <a:ext uri="{FF2B5EF4-FFF2-40B4-BE49-F238E27FC236}">
                  <a16:creationId xmlns:a16="http://schemas.microsoft.com/office/drawing/2014/main" id="{00000000-0008-0000-0100-00008D000000}"/>
                </a:ext>
              </a:extLst>
            </xdr:cNvPr>
            <xdr:cNvPicPr preferRelativeResize="0"/>
          </xdr:nvPicPr>
          <xdr:blipFill rotWithShape="1">
            <a:blip xmlns:r="http://schemas.openxmlformats.org/officeDocument/2006/relationships" r:embed="rId3">
              <a:alphaModFix/>
            </a:blip>
            <a:srcRect/>
            <a:stretch/>
          </xdr:blipFill>
          <xdr:spPr>
            <a:xfrm>
              <a:off x="6705600" y="10585887"/>
              <a:ext cx="323835" cy="364733"/>
            </a:xfrm>
            <a:prstGeom prst="rect">
              <a:avLst/>
            </a:prstGeom>
            <a:noFill/>
            <a:ln>
              <a:noFill/>
            </a:ln>
          </xdr:spPr>
        </xdr:pic>
        <xdr:pic>
          <xdr:nvPicPr>
            <xdr:cNvPr id="142" name="Shape 142" descr="AutoFill Options">
              <a:extLst>
                <a:ext uri="{FF2B5EF4-FFF2-40B4-BE49-F238E27FC236}">
                  <a16:creationId xmlns:a16="http://schemas.microsoft.com/office/drawing/2014/main" id="{00000000-0008-0000-0100-00008E000000}"/>
                </a:ext>
              </a:extLst>
            </xdr:cNvPr>
            <xdr:cNvPicPr preferRelativeResize="0"/>
          </xdr:nvPicPr>
          <xdr:blipFill rotWithShape="1">
            <a:blip xmlns:r="http://schemas.openxmlformats.org/officeDocument/2006/relationships" r:embed="rId4">
              <a:alphaModFix/>
            </a:blip>
            <a:srcRect l="15611" t="14187" r="4667" b="11099"/>
            <a:stretch/>
          </xdr:blipFill>
          <xdr:spPr>
            <a:xfrm>
              <a:off x="9998667" y="11017937"/>
              <a:ext cx="189507" cy="191986"/>
            </a:xfrm>
            <a:prstGeom prst="rect">
              <a:avLst/>
            </a:prstGeom>
            <a:noFill/>
            <a:ln>
              <a:noFill/>
            </a:ln>
          </xdr:spPr>
        </xdr:pic>
      </xdr:grpSp>
    </xdr:grpSp>
    <xdr:clientData fLocksWithSheet="0"/>
  </xdr:oneCellAnchor>
  <xdr:oneCellAnchor>
    <xdr:from>
      <xdr:col>0</xdr:col>
      <xdr:colOff>390525</xdr:colOff>
      <xdr:row>41</xdr:row>
      <xdr:rowOff>0</xdr:rowOff>
    </xdr:from>
    <xdr:ext cx="5695950" cy="4076700"/>
    <xdr:grpSp>
      <xdr:nvGrpSpPr>
        <xdr:cNvPr id="10" name="Shape 2">
          <a:extLst>
            <a:ext uri="{FF2B5EF4-FFF2-40B4-BE49-F238E27FC236}">
              <a16:creationId xmlns:a16="http://schemas.microsoft.com/office/drawing/2014/main" id="{00000000-0008-0000-0100-00000A000000}"/>
            </a:ext>
          </a:extLst>
        </xdr:cNvPr>
        <xdr:cNvGrpSpPr/>
      </xdr:nvGrpSpPr>
      <xdr:grpSpPr>
        <a:xfrm>
          <a:off x="390525" y="8521014"/>
          <a:ext cx="5695950" cy="4076700"/>
          <a:chOff x="2498025" y="1741650"/>
          <a:chExt cx="5695950" cy="4076700"/>
        </a:xfrm>
      </xdr:grpSpPr>
      <xdr:grpSp>
        <xdr:nvGrpSpPr>
          <xdr:cNvPr id="143" name="Shape 143" descr="Fill a series&#10;Excel can automatically fill some cells based on a series. For example, you can type Jan in one cell, and then fill the other cells with Feb, Mar, etc. &#10;Click the cell with the word Jan.&#10;Rest your cursor on the lower-right corner of the cell until it becomes a cross, then drag right two cells. Excel detects a series, and fills in Feb and Mar for you.&#10;Now select the cell with Week 1&#10;Rest your cursor on the lower-right corner again, and when you get the cross, double-click it.">
            <a:extLst>
              <a:ext uri="{FF2B5EF4-FFF2-40B4-BE49-F238E27FC236}">
                <a16:creationId xmlns:a16="http://schemas.microsoft.com/office/drawing/2014/main" id="{00000000-0008-0000-0100-00008F000000}"/>
              </a:ext>
            </a:extLst>
          </xdr:cNvPr>
          <xdr:cNvGrpSpPr/>
        </xdr:nvGrpSpPr>
        <xdr:grpSpPr>
          <a:xfrm>
            <a:off x="2498025" y="1741650"/>
            <a:ext cx="5695950" cy="4076700"/>
            <a:chOff x="0" y="-9524"/>
            <a:chExt cx="5695950" cy="3946524"/>
          </a:xfrm>
        </xdr:grpSpPr>
        <xdr:sp macro="" textlink="">
          <xdr:nvSpPr>
            <xdr:cNvPr id="11" name="Shape 4">
              <a:extLst>
                <a:ext uri="{FF2B5EF4-FFF2-40B4-BE49-F238E27FC236}">
                  <a16:creationId xmlns:a16="http://schemas.microsoft.com/office/drawing/2014/main" id="{00000000-0008-0000-0100-00000B000000}"/>
                </a:ext>
              </a:extLst>
            </xdr:cNvPr>
            <xdr:cNvSpPr/>
          </xdr:nvSpPr>
          <xdr:spPr>
            <a:xfrm>
              <a:off x="0" y="-9524"/>
              <a:ext cx="5695950" cy="39465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44" name="Shape 144" descr="Background">
              <a:extLst>
                <a:ext uri="{FF2B5EF4-FFF2-40B4-BE49-F238E27FC236}">
                  <a16:creationId xmlns:a16="http://schemas.microsoft.com/office/drawing/2014/main" id="{00000000-0008-0000-0100-000090000000}"/>
                </a:ext>
              </a:extLst>
            </xdr:cNvPr>
            <xdr:cNvSpPr/>
          </xdr:nvSpPr>
          <xdr:spPr>
            <a:xfrm>
              <a:off x="0" y="-9524"/>
              <a:ext cx="5695950" cy="3946524"/>
            </a:xfrm>
            <a:prstGeom prst="rect">
              <a:avLst/>
            </a:prstGeom>
            <a:solidFill>
              <a:srgbClr val="F5F5F5"/>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5" name="Shape 145" descr="Fill a series">
              <a:extLst>
                <a:ext uri="{FF2B5EF4-FFF2-40B4-BE49-F238E27FC236}">
                  <a16:creationId xmlns:a16="http://schemas.microsoft.com/office/drawing/2014/main" id="{00000000-0008-0000-0100-000091000000}"/>
                </a:ext>
              </a:extLst>
            </xdr:cNvPr>
            <xdr:cNvSpPr txBox="1"/>
          </xdr:nvSpPr>
          <xdr:spPr>
            <a:xfrm>
              <a:off x="231748" y="118698"/>
              <a:ext cx="5216551" cy="490903"/>
            </a:xfrm>
            <a:prstGeom prst="rect">
              <a:avLst/>
            </a:prstGeom>
            <a:noFill/>
            <a:ln>
              <a:noFill/>
            </a:ln>
          </xdr:spPr>
          <xdr:txBody>
            <a:bodyPr spcFirstLastPara="1" wrap="square" lIns="0" tIns="45700" rIns="0" bIns="45700" anchor="t" anchorCtr="0">
              <a:noAutofit/>
            </a:bodyPr>
            <a:lstStyle/>
            <a:p>
              <a:pPr marL="0" marR="0" lvl="0" indent="0" algn="l" rtl="0">
                <a:lnSpc>
                  <a:spcPct val="100000"/>
                </a:lnSpc>
                <a:spcBef>
                  <a:spcPts val="0"/>
                </a:spcBef>
                <a:spcAft>
                  <a:spcPts val="0"/>
                </a:spcAft>
                <a:buClr>
                  <a:srgbClr val="3A3838"/>
                </a:buClr>
                <a:buSzPts val="2200"/>
                <a:buFont typeface="Quattrocento Sans"/>
                <a:buNone/>
              </a:pPr>
              <a:r>
                <a:rPr lang="en-US" sz="2200" b="0" i="0" u="none" strike="noStrike" cap="none">
                  <a:solidFill>
                    <a:srgbClr val="3A3838"/>
                  </a:solidFill>
                  <a:latin typeface="Quattrocento Sans"/>
                  <a:ea typeface="Quattrocento Sans"/>
                  <a:cs typeface="Quattrocento Sans"/>
                  <a:sym typeface="Quattrocento Sans"/>
                </a:rPr>
                <a:t>Fill a series</a:t>
              </a:r>
              <a:endParaRPr sz="2200" b="0">
                <a:solidFill>
                  <a:srgbClr val="3A3838"/>
                </a:solidFill>
                <a:latin typeface="Quattrocento Sans"/>
                <a:ea typeface="Quattrocento Sans"/>
                <a:cs typeface="Quattrocento Sans"/>
                <a:sym typeface="Quattrocento Sans"/>
              </a:endParaRPr>
            </a:p>
          </xdr:txBody>
        </xdr:sp>
        <xdr:cxnSp macro="">
          <xdr:nvCxnSpPr>
            <xdr:cNvPr id="146" name="Shape 146" descr="Decorative line">
              <a:extLst>
                <a:ext uri="{FF2B5EF4-FFF2-40B4-BE49-F238E27FC236}">
                  <a16:creationId xmlns:a16="http://schemas.microsoft.com/office/drawing/2014/main" id="{00000000-0008-0000-0100-000092000000}"/>
                </a:ext>
              </a:extLst>
            </xdr:cNvPr>
            <xdr:cNvCxnSpPr/>
          </xdr:nvCxnSpPr>
          <xdr:spPr>
            <a:xfrm>
              <a:off x="234924" y="626111"/>
              <a:ext cx="5213376" cy="0"/>
            </a:xfrm>
            <a:prstGeom prst="straightConnector1">
              <a:avLst/>
            </a:prstGeom>
            <a:noFill/>
            <a:ln w="25400" cap="flat" cmpd="sng">
              <a:solidFill>
                <a:srgbClr val="217346"/>
              </a:solidFill>
              <a:prstDash val="solid"/>
              <a:round/>
              <a:headEnd type="none" w="sm" len="sm"/>
              <a:tailEnd type="none" w="sm" len="sm"/>
            </a:ln>
          </xdr:spPr>
        </xdr:cxnSp>
        <xdr:cxnSp macro="">
          <xdr:nvCxnSpPr>
            <xdr:cNvPr id="147" name="Shape 147" descr="Decorative line">
              <a:extLst>
                <a:ext uri="{FF2B5EF4-FFF2-40B4-BE49-F238E27FC236}">
                  <a16:creationId xmlns:a16="http://schemas.microsoft.com/office/drawing/2014/main" id="{00000000-0008-0000-0100-000093000000}"/>
                </a:ext>
              </a:extLst>
            </xdr:cNvPr>
            <xdr:cNvCxnSpPr/>
          </xdr:nvCxnSpPr>
          <xdr:spPr>
            <a:xfrm>
              <a:off x="234924" y="3733800"/>
              <a:ext cx="5213376" cy="0"/>
            </a:xfrm>
            <a:prstGeom prst="straightConnector1">
              <a:avLst/>
            </a:prstGeom>
            <a:noFill/>
            <a:ln w="25400" cap="flat" cmpd="sng">
              <a:solidFill>
                <a:srgbClr val="217346"/>
              </a:solidFill>
              <a:prstDash val="solid"/>
              <a:round/>
              <a:headEnd type="none" w="sm" len="sm"/>
              <a:tailEnd type="none" w="sm" len="sm"/>
            </a:ln>
          </xdr:spPr>
        </xdr:cxnSp>
        <xdr:sp macro="" textlink="">
          <xdr:nvSpPr>
            <xdr:cNvPr id="148" name="Shape 148" descr="Excel can automatically fill some cells based on a series. For example, you can type Jan in one cell, and then fill the other cells with Feb, Mar, etc. ">
              <a:extLst>
                <a:ext uri="{FF2B5EF4-FFF2-40B4-BE49-F238E27FC236}">
                  <a16:creationId xmlns:a16="http://schemas.microsoft.com/office/drawing/2014/main" id="{00000000-0008-0000-0100-000094000000}"/>
                </a:ext>
              </a:extLst>
            </xdr:cNvPr>
            <xdr:cNvSpPr txBox="1"/>
          </xdr:nvSpPr>
          <xdr:spPr>
            <a:xfrm>
              <a:off x="228600" y="699721"/>
              <a:ext cx="5300938" cy="420026"/>
            </a:xfrm>
            <a:prstGeom prst="rect">
              <a:avLst/>
            </a:prstGeom>
            <a:noFill/>
            <a:ln>
              <a:noFill/>
            </a:ln>
          </xdr:spPr>
          <xdr:txBody>
            <a:bodyPr spcFirstLastPara="1" wrap="square" lIns="0" tIns="45700" rIns="0" bIns="45700" anchor="t" anchorCtr="0">
              <a:noAutofit/>
            </a:bodyPr>
            <a:lstStyle/>
            <a:p>
              <a:pPr marL="0" lvl="0" indent="0" algn="l" rtl="0">
                <a:spcBef>
                  <a:spcPts val="0"/>
                </a:spcBef>
                <a:spcAft>
                  <a:spcPts val="0"/>
                </a:spcAft>
                <a:buNone/>
              </a:pPr>
              <a:r>
                <a:rPr lang="en-US" sz="1100" i="0">
                  <a:solidFill>
                    <a:schemeClr val="dk1"/>
                  </a:solidFill>
                  <a:latin typeface="Quattrocento Sans"/>
                  <a:ea typeface="Quattrocento Sans"/>
                  <a:cs typeface="Quattrocento Sans"/>
                  <a:sym typeface="Quattrocento Sans"/>
                </a:rPr>
                <a:t>Excel can automatically fill some cells based on a series. For example, you can type Jan in one cell, and then fill the other cells with Feb, Mar, etc. </a:t>
              </a:r>
              <a:endParaRPr sz="1100" i="0">
                <a:latin typeface="Quattrocento Sans"/>
                <a:ea typeface="Quattrocento Sans"/>
                <a:cs typeface="Quattrocento Sans"/>
                <a:sym typeface="Quattrocento Sans"/>
              </a:endParaRPr>
            </a:p>
          </xdr:txBody>
        </xdr:sp>
        <xdr:sp macro="" textlink="">
          <xdr:nvSpPr>
            <xdr:cNvPr id="149" name="Shape 149" descr="Click the cell with the word Jan">
              <a:extLst>
                <a:ext uri="{FF2B5EF4-FFF2-40B4-BE49-F238E27FC236}">
                  <a16:creationId xmlns:a16="http://schemas.microsoft.com/office/drawing/2014/main" id="{00000000-0008-0000-0100-000095000000}"/>
                </a:ext>
              </a:extLst>
            </xdr:cNvPr>
            <xdr:cNvSpPr txBox="1"/>
          </xdr:nvSpPr>
          <xdr:spPr>
            <a:xfrm>
              <a:off x="638783" y="1207467"/>
              <a:ext cx="4809516" cy="41918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rgbClr val="3F3F3F"/>
                  </a:solidFill>
                  <a:latin typeface="Quattrocento Sans"/>
                  <a:ea typeface="Quattrocento Sans"/>
                  <a:cs typeface="Quattrocento Sans"/>
                  <a:sym typeface="Quattrocento Sans"/>
                </a:rPr>
                <a:t>Click the cell with the word </a:t>
              </a:r>
              <a:r>
                <a:rPr lang="en-US" sz="1100" b="1">
                  <a:solidFill>
                    <a:srgbClr val="3F3F3F"/>
                  </a:solidFill>
                  <a:latin typeface="Quattrocento Sans"/>
                  <a:ea typeface="Quattrocento Sans"/>
                  <a:cs typeface="Quattrocento Sans"/>
                  <a:sym typeface="Quattrocento Sans"/>
                </a:rPr>
                <a:t>Jan</a:t>
              </a:r>
              <a:r>
                <a:rPr lang="en-US" sz="1100">
                  <a:solidFill>
                    <a:srgbClr val="3F3F3F"/>
                  </a:solidFill>
                  <a:latin typeface="Quattrocento Sans"/>
                  <a:ea typeface="Quattrocento Sans"/>
                  <a:cs typeface="Quattrocento Sans"/>
                  <a:sym typeface="Quattrocento Sans"/>
                </a:rPr>
                <a:t>.</a:t>
              </a:r>
              <a:endParaRPr sz="1400"/>
            </a:p>
          </xdr:txBody>
        </xdr:sp>
        <xdr:sp macro="" textlink="">
          <xdr:nvSpPr>
            <xdr:cNvPr id="150" name="Shape 150" descr="1">
              <a:extLst>
                <a:ext uri="{FF2B5EF4-FFF2-40B4-BE49-F238E27FC236}">
                  <a16:creationId xmlns:a16="http://schemas.microsoft.com/office/drawing/2014/main" id="{00000000-0008-0000-0100-000096000000}"/>
                </a:ext>
              </a:extLst>
            </xdr:cNvPr>
            <xdr:cNvSpPr/>
          </xdr:nvSpPr>
          <xdr:spPr>
            <a:xfrm>
              <a:off x="231749" y="1164969"/>
              <a:ext cx="371587"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1</a:t>
              </a:r>
              <a:endParaRPr sz="1400"/>
            </a:p>
          </xdr:txBody>
        </xdr:sp>
        <xdr:sp macro="" textlink="">
          <xdr:nvSpPr>
            <xdr:cNvPr id="151" name="Shape 151" descr="Rest your cursor on the lower-right corner of the cell until it becomes a cross, then drag right two cells. Excel detects a series, and fills in Feb and Mar for you">
              <a:extLst>
                <a:ext uri="{FF2B5EF4-FFF2-40B4-BE49-F238E27FC236}">
                  <a16:creationId xmlns:a16="http://schemas.microsoft.com/office/drawing/2014/main" id="{00000000-0008-0000-0100-000097000000}"/>
                </a:ext>
              </a:extLst>
            </xdr:cNvPr>
            <xdr:cNvSpPr txBox="1"/>
          </xdr:nvSpPr>
          <xdr:spPr>
            <a:xfrm>
              <a:off x="638782" y="1684080"/>
              <a:ext cx="4809517" cy="561387"/>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rgbClr val="3F3F3F"/>
                  </a:solidFill>
                  <a:latin typeface="Quattrocento Sans"/>
                  <a:ea typeface="Quattrocento Sans"/>
                  <a:cs typeface="Quattrocento Sans"/>
                  <a:sym typeface="Quattrocento Sans"/>
                </a:rPr>
                <a:t>Rest your cursor on the lower-right corner of the cell until it becomes a cross, then drag right two cells. Excel detects a series, and fills in </a:t>
              </a:r>
              <a:r>
                <a:rPr lang="en-US" sz="1100" b="1">
                  <a:solidFill>
                    <a:srgbClr val="3F3F3F"/>
                  </a:solidFill>
                  <a:latin typeface="Quattrocento Sans"/>
                  <a:ea typeface="Quattrocento Sans"/>
                  <a:cs typeface="Quattrocento Sans"/>
                  <a:sym typeface="Quattrocento Sans"/>
                </a:rPr>
                <a:t>Feb</a:t>
              </a:r>
              <a:r>
                <a:rPr lang="en-US" sz="1100">
                  <a:solidFill>
                    <a:srgbClr val="3F3F3F"/>
                  </a:solidFill>
                  <a:latin typeface="Quattrocento Sans"/>
                  <a:ea typeface="Quattrocento Sans"/>
                  <a:cs typeface="Quattrocento Sans"/>
                  <a:sym typeface="Quattrocento Sans"/>
                </a:rPr>
                <a:t> and </a:t>
              </a:r>
              <a:r>
                <a:rPr lang="en-US" sz="1100" b="1">
                  <a:solidFill>
                    <a:srgbClr val="3F3F3F"/>
                  </a:solidFill>
                  <a:latin typeface="Quattrocento Sans"/>
                  <a:ea typeface="Quattrocento Sans"/>
                  <a:cs typeface="Quattrocento Sans"/>
                  <a:sym typeface="Quattrocento Sans"/>
                </a:rPr>
                <a:t>Mar</a:t>
              </a:r>
              <a:r>
                <a:rPr lang="en-US" sz="1100">
                  <a:solidFill>
                    <a:srgbClr val="3F3F3F"/>
                  </a:solidFill>
                  <a:latin typeface="Quattrocento Sans"/>
                  <a:ea typeface="Quattrocento Sans"/>
                  <a:cs typeface="Quattrocento Sans"/>
                  <a:sym typeface="Quattrocento Sans"/>
                </a:rPr>
                <a:t> for you.</a:t>
              </a:r>
              <a:endParaRPr sz="1400"/>
            </a:p>
          </xdr:txBody>
        </xdr:sp>
        <xdr:sp macro="" textlink="">
          <xdr:nvSpPr>
            <xdr:cNvPr id="152" name="Shape 152" descr="2">
              <a:extLst>
                <a:ext uri="{FF2B5EF4-FFF2-40B4-BE49-F238E27FC236}">
                  <a16:creationId xmlns:a16="http://schemas.microsoft.com/office/drawing/2014/main" id="{00000000-0008-0000-0100-000098000000}"/>
                </a:ext>
              </a:extLst>
            </xdr:cNvPr>
            <xdr:cNvSpPr/>
          </xdr:nvSpPr>
          <xdr:spPr>
            <a:xfrm>
              <a:off x="231749" y="1641582"/>
              <a:ext cx="371587"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2</a:t>
              </a:r>
              <a:endParaRPr sz="1400"/>
            </a:p>
          </xdr:txBody>
        </xdr:sp>
        <xdr:sp macro="" textlink="">
          <xdr:nvSpPr>
            <xdr:cNvPr id="153" name="Shape 153" descr="Now select the cell with Week 1">
              <a:extLst>
                <a:ext uri="{FF2B5EF4-FFF2-40B4-BE49-F238E27FC236}">
                  <a16:creationId xmlns:a16="http://schemas.microsoft.com/office/drawing/2014/main" id="{00000000-0008-0000-0100-000099000000}"/>
                </a:ext>
              </a:extLst>
            </xdr:cNvPr>
            <xdr:cNvSpPr txBox="1"/>
          </xdr:nvSpPr>
          <xdr:spPr>
            <a:xfrm>
              <a:off x="638782" y="2340227"/>
              <a:ext cx="4809517" cy="49263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rgbClr val="3F3F3F"/>
                  </a:solidFill>
                  <a:latin typeface="Quattrocento Sans"/>
                  <a:ea typeface="Quattrocento Sans"/>
                  <a:cs typeface="Quattrocento Sans"/>
                  <a:sym typeface="Quattrocento Sans"/>
                </a:rPr>
                <a:t>Now select the cell with </a:t>
              </a:r>
              <a:r>
                <a:rPr lang="en-US" sz="1100" b="1">
                  <a:solidFill>
                    <a:srgbClr val="3F3F3F"/>
                  </a:solidFill>
                  <a:latin typeface="Quattrocento Sans"/>
                  <a:ea typeface="Quattrocento Sans"/>
                  <a:cs typeface="Quattrocento Sans"/>
                  <a:sym typeface="Quattrocento Sans"/>
                </a:rPr>
                <a:t>Week 1</a:t>
              </a:r>
              <a:r>
                <a:rPr lang="en-US" sz="1100">
                  <a:solidFill>
                    <a:srgbClr val="3F3F3F"/>
                  </a:solidFill>
                  <a:latin typeface="Quattrocento Sans"/>
                  <a:ea typeface="Quattrocento Sans"/>
                  <a:cs typeface="Quattrocento Sans"/>
                  <a:sym typeface="Quattrocento Sans"/>
                </a:rPr>
                <a:t>. </a:t>
              </a:r>
              <a:endParaRPr sz="1400"/>
            </a:p>
          </xdr:txBody>
        </xdr:sp>
        <xdr:sp macro="" textlink="">
          <xdr:nvSpPr>
            <xdr:cNvPr id="154" name="Shape 154" descr="3">
              <a:extLst>
                <a:ext uri="{FF2B5EF4-FFF2-40B4-BE49-F238E27FC236}">
                  <a16:creationId xmlns:a16="http://schemas.microsoft.com/office/drawing/2014/main" id="{00000000-0008-0000-0100-00009A000000}"/>
                </a:ext>
              </a:extLst>
            </xdr:cNvPr>
            <xdr:cNvSpPr/>
          </xdr:nvSpPr>
          <xdr:spPr>
            <a:xfrm>
              <a:off x="231749" y="2297728"/>
              <a:ext cx="371587"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3</a:t>
              </a:r>
              <a:endParaRPr sz="1400"/>
            </a:p>
          </xdr:txBody>
        </xdr:sp>
        <xdr:sp macro="" textlink="">
          <xdr:nvSpPr>
            <xdr:cNvPr id="155" name="Shape 155" descr="Rest your cursor on the lower-right corner again, and when you get the cross, double-click it">
              <a:extLst>
                <a:ext uri="{FF2B5EF4-FFF2-40B4-BE49-F238E27FC236}">
                  <a16:creationId xmlns:a16="http://schemas.microsoft.com/office/drawing/2014/main" id="{00000000-0008-0000-0100-00009B000000}"/>
                </a:ext>
              </a:extLst>
            </xdr:cNvPr>
            <xdr:cNvSpPr txBox="1"/>
          </xdr:nvSpPr>
          <xdr:spPr>
            <a:xfrm>
              <a:off x="638782" y="2823798"/>
              <a:ext cx="4809517" cy="561387"/>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rgbClr val="3F3F3F"/>
                  </a:solidFill>
                  <a:latin typeface="Quattrocento Sans"/>
                  <a:ea typeface="Quattrocento Sans"/>
                  <a:cs typeface="Quattrocento Sans"/>
                  <a:sym typeface="Quattrocento Sans"/>
                </a:rPr>
                <a:t>Rest your cursor on the lower-right corner again, and when you get the cross, </a:t>
              </a:r>
              <a:r>
                <a:rPr lang="en-US" sz="1100" i="1">
                  <a:solidFill>
                    <a:srgbClr val="3F3F3F"/>
                  </a:solidFill>
                  <a:latin typeface="Quattrocento Sans"/>
                  <a:ea typeface="Quattrocento Sans"/>
                  <a:cs typeface="Quattrocento Sans"/>
                  <a:sym typeface="Quattrocento Sans"/>
                </a:rPr>
                <a:t>double-click it</a:t>
              </a:r>
              <a:r>
                <a:rPr lang="en-US" sz="1100">
                  <a:solidFill>
                    <a:srgbClr val="3F3F3F"/>
                  </a:solidFill>
                  <a:latin typeface="Quattrocento Sans"/>
                  <a:ea typeface="Quattrocento Sans"/>
                  <a:cs typeface="Quattrocento Sans"/>
                  <a:sym typeface="Quattrocento Sans"/>
                </a:rPr>
                <a:t>. </a:t>
              </a:r>
              <a:endParaRPr sz="1400"/>
            </a:p>
          </xdr:txBody>
        </xdr:sp>
        <xdr:sp macro="" textlink="">
          <xdr:nvSpPr>
            <xdr:cNvPr id="156" name="Shape 156" descr="4">
              <a:extLst>
                <a:ext uri="{FF2B5EF4-FFF2-40B4-BE49-F238E27FC236}">
                  <a16:creationId xmlns:a16="http://schemas.microsoft.com/office/drawing/2014/main" id="{00000000-0008-0000-0100-00009C000000}"/>
                </a:ext>
              </a:extLst>
            </xdr:cNvPr>
            <xdr:cNvSpPr/>
          </xdr:nvSpPr>
          <xdr:spPr>
            <a:xfrm>
              <a:off x="231749" y="2781300"/>
              <a:ext cx="371587"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4</a:t>
              </a:r>
              <a:endParaRPr sz="1400"/>
            </a:p>
          </xdr:txBody>
        </xdr:sp>
      </xdr:grpSp>
    </xdr:grpSp>
    <xdr:clientData fLocksWithSheet="0"/>
  </xdr:oneCellAnchor>
  <xdr:oneCellAnchor>
    <xdr:from>
      <xdr:col>0</xdr:col>
      <xdr:colOff>390525</xdr:colOff>
      <xdr:row>62</xdr:row>
      <xdr:rowOff>171450</xdr:rowOff>
    </xdr:from>
    <xdr:ext cx="5695950" cy="2914650"/>
    <xdr:grpSp>
      <xdr:nvGrpSpPr>
        <xdr:cNvPr id="12" name="Shape 2">
          <a:extLst>
            <a:ext uri="{FF2B5EF4-FFF2-40B4-BE49-F238E27FC236}">
              <a16:creationId xmlns:a16="http://schemas.microsoft.com/office/drawing/2014/main" id="{00000000-0008-0000-0100-00000C000000}"/>
            </a:ext>
          </a:extLst>
        </xdr:cNvPr>
        <xdr:cNvGrpSpPr/>
      </xdr:nvGrpSpPr>
      <xdr:grpSpPr>
        <a:xfrm>
          <a:off x="390525" y="12785639"/>
          <a:ext cx="5695950" cy="2914650"/>
          <a:chOff x="2498025" y="2322675"/>
          <a:chExt cx="5695950" cy="2914650"/>
        </a:xfrm>
      </xdr:grpSpPr>
      <xdr:grpSp>
        <xdr:nvGrpSpPr>
          <xdr:cNvPr id="157" name="Shape 157" descr="More information on the web, contains links to the web&#10;Back to top&#10;Next step">
            <a:extLst>
              <a:ext uri="{FF2B5EF4-FFF2-40B4-BE49-F238E27FC236}">
                <a16:creationId xmlns:a16="http://schemas.microsoft.com/office/drawing/2014/main" id="{00000000-0008-0000-0100-00009D000000}"/>
              </a:ext>
            </a:extLst>
          </xdr:cNvPr>
          <xdr:cNvGrpSpPr/>
        </xdr:nvGrpSpPr>
        <xdr:grpSpPr>
          <a:xfrm>
            <a:off x="2498025" y="2322675"/>
            <a:ext cx="5695950" cy="2914650"/>
            <a:chOff x="0" y="1"/>
            <a:chExt cx="5695950" cy="2806700"/>
          </a:xfrm>
        </xdr:grpSpPr>
        <xdr:sp macro="" textlink="">
          <xdr:nvSpPr>
            <xdr:cNvPr id="13" name="Shape 4">
              <a:extLst>
                <a:ext uri="{FF2B5EF4-FFF2-40B4-BE49-F238E27FC236}">
                  <a16:creationId xmlns:a16="http://schemas.microsoft.com/office/drawing/2014/main" id="{00000000-0008-0000-0100-00000D000000}"/>
                </a:ext>
              </a:extLst>
            </xdr:cNvPr>
            <xdr:cNvSpPr/>
          </xdr:nvSpPr>
          <xdr:spPr>
            <a:xfrm>
              <a:off x="0" y="1"/>
              <a:ext cx="5695950" cy="28067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58" name="Shape 158" descr="Background">
              <a:extLst>
                <a:ext uri="{FF2B5EF4-FFF2-40B4-BE49-F238E27FC236}">
                  <a16:creationId xmlns:a16="http://schemas.microsoft.com/office/drawing/2014/main" id="{00000000-0008-0000-0100-00009E000000}"/>
                </a:ext>
              </a:extLst>
            </xdr:cNvPr>
            <xdr:cNvSpPr/>
          </xdr:nvSpPr>
          <xdr:spPr>
            <a:xfrm>
              <a:off x="0" y="1"/>
              <a:ext cx="5695950" cy="2806700"/>
            </a:xfrm>
            <a:prstGeom prst="rect">
              <a:avLst/>
            </a:prstGeom>
            <a:solidFill>
              <a:srgbClr val="F5F5F5"/>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59" name="Shape 159" descr="More information on the web">
              <a:extLst>
                <a:ext uri="{FF2B5EF4-FFF2-40B4-BE49-F238E27FC236}">
                  <a16:creationId xmlns:a16="http://schemas.microsoft.com/office/drawing/2014/main" id="{00000000-0008-0000-0100-00009F000000}"/>
                </a:ext>
              </a:extLst>
            </xdr:cNvPr>
            <xdr:cNvSpPr txBox="1"/>
          </xdr:nvSpPr>
          <xdr:spPr>
            <a:xfrm>
              <a:off x="231748" y="118698"/>
              <a:ext cx="5216551" cy="490903"/>
            </a:xfrm>
            <a:prstGeom prst="rect">
              <a:avLst/>
            </a:prstGeom>
            <a:noFill/>
            <a:ln>
              <a:noFill/>
            </a:ln>
          </xdr:spPr>
          <xdr:txBody>
            <a:bodyPr spcFirstLastPara="1" wrap="square" lIns="0" tIns="45700" rIns="0" bIns="45700" anchor="t" anchorCtr="0">
              <a:noAutofit/>
            </a:bodyPr>
            <a:lstStyle/>
            <a:p>
              <a:pPr marL="0" marR="0" lvl="0" indent="0" algn="l" rtl="0">
                <a:lnSpc>
                  <a:spcPct val="100000"/>
                </a:lnSpc>
                <a:spcBef>
                  <a:spcPts val="0"/>
                </a:spcBef>
                <a:spcAft>
                  <a:spcPts val="0"/>
                </a:spcAft>
                <a:buClr>
                  <a:srgbClr val="3A3838"/>
                </a:buClr>
                <a:buSzPts val="2200"/>
                <a:buFont typeface="Quattrocento Sans"/>
                <a:buNone/>
              </a:pPr>
              <a:r>
                <a:rPr lang="en-US" sz="2200" b="0" i="0" u="none" strike="noStrike" cap="none">
                  <a:solidFill>
                    <a:srgbClr val="3A3838"/>
                  </a:solidFill>
                  <a:latin typeface="Quattrocento Sans"/>
                  <a:ea typeface="Quattrocento Sans"/>
                  <a:cs typeface="Quattrocento Sans"/>
                  <a:sym typeface="Quattrocento Sans"/>
                </a:rPr>
                <a:t>More information on the web</a:t>
              </a:r>
              <a:endParaRPr sz="2200" b="0">
                <a:solidFill>
                  <a:srgbClr val="3A3838"/>
                </a:solidFill>
                <a:latin typeface="Quattrocento Sans"/>
                <a:ea typeface="Quattrocento Sans"/>
                <a:cs typeface="Quattrocento Sans"/>
                <a:sym typeface="Quattrocento Sans"/>
              </a:endParaRPr>
            </a:p>
          </xdr:txBody>
        </xdr:sp>
        <xdr:cxnSp macro="">
          <xdr:nvCxnSpPr>
            <xdr:cNvPr id="160" name="Shape 160" descr="Decorative line">
              <a:extLst>
                <a:ext uri="{FF2B5EF4-FFF2-40B4-BE49-F238E27FC236}">
                  <a16:creationId xmlns:a16="http://schemas.microsoft.com/office/drawing/2014/main" id="{00000000-0008-0000-0100-0000A0000000}"/>
                </a:ext>
              </a:extLst>
            </xdr:cNvPr>
            <xdr:cNvCxnSpPr/>
          </xdr:nvCxnSpPr>
          <xdr:spPr>
            <a:xfrm>
              <a:off x="234924" y="626111"/>
              <a:ext cx="5213376" cy="0"/>
            </a:xfrm>
            <a:prstGeom prst="straightConnector1">
              <a:avLst/>
            </a:prstGeom>
            <a:noFill/>
            <a:ln w="25400" cap="flat" cmpd="sng">
              <a:solidFill>
                <a:srgbClr val="217346"/>
              </a:solidFill>
              <a:prstDash val="solid"/>
              <a:round/>
              <a:headEnd type="none" w="sm" len="sm"/>
              <a:tailEnd type="none" w="sm" len="sm"/>
            </a:ln>
          </xdr:spPr>
        </xdr:cxnSp>
        <xdr:sp macro="" textlink="">
          <xdr:nvSpPr>
            <xdr:cNvPr id="161" name="Shape 161" descr="Back to top, hyperlinked to cell A1">
              <a:hlinkClick xmlns:r="http://schemas.openxmlformats.org/officeDocument/2006/relationships" r:id="rId5"/>
              <a:extLst>
                <a:ext uri="{FF2B5EF4-FFF2-40B4-BE49-F238E27FC236}">
                  <a16:creationId xmlns:a16="http://schemas.microsoft.com/office/drawing/2014/main" id="{00000000-0008-0000-0100-0000A1000000}"/>
                </a:ext>
              </a:extLst>
            </xdr:cNvPr>
            <xdr:cNvSpPr/>
          </xdr:nvSpPr>
          <xdr:spPr>
            <a:xfrm>
              <a:off x="234924" y="2030413"/>
              <a:ext cx="2723067" cy="536454"/>
            </a:xfrm>
            <a:prstGeom prst="upArrowCallout">
              <a:avLst>
                <a:gd name="adj1" fmla="val 25000"/>
                <a:gd name="adj2" fmla="val 25000"/>
                <a:gd name="adj3" fmla="val 25000"/>
                <a:gd name="adj4" fmla="val 64977"/>
              </a:avLst>
            </a:prstGeom>
            <a:solidFill>
              <a:srgbClr val="D8D8D8"/>
            </a:solidFill>
            <a:ln w="12700" cap="flat" cmpd="sng">
              <a:solidFill>
                <a:srgbClr val="0B744D">
                  <a:alpha val="49803"/>
                </a:srgb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a:solidFill>
                    <a:srgbClr val="0B744D"/>
                  </a:solidFill>
                  <a:latin typeface="Quattrocento Sans"/>
                  <a:ea typeface="Quattrocento Sans"/>
                  <a:cs typeface="Quattrocento Sans"/>
                  <a:sym typeface="Quattrocento Sans"/>
                </a:rPr>
                <a:t>Back to top</a:t>
              </a:r>
              <a:endParaRPr sz="1400"/>
            </a:p>
          </xdr:txBody>
        </xdr:sp>
        <xdr:cxnSp macro="">
          <xdr:nvCxnSpPr>
            <xdr:cNvPr id="162" name="Shape 162" descr="Decorative line">
              <a:extLst>
                <a:ext uri="{FF2B5EF4-FFF2-40B4-BE49-F238E27FC236}">
                  <a16:creationId xmlns:a16="http://schemas.microsoft.com/office/drawing/2014/main" id="{00000000-0008-0000-0100-0000A2000000}"/>
                </a:ext>
              </a:extLst>
            </xdr:cNvPr>
            <xdr:cNvCxnSpPr/>
          </xdr:nvCxnSpPr>
          <xdr:spPr>
            <a:xfrm>
              <a:off x="234924" y="1790700"/>
              <a:ext cx="5213376" cy="0"/>
            </a:xfrm>
            <a:prstGeom prst="straightConnector1">
              <a:avLst/>
            </a:prstGeom>
            <a:noFill/>
            <a:ln w="25400" cap="flat" cmpd="sng">
              <a:solidFill>
                <a:srgbClr val="217346"/>
              </a:solidFill>
              <a:prstDash val="solid"/>
              <a:round/>
              <a:headEnd type="none" w="sm" len="sm"/>
              <a:tailEnd type="none" w="sm" len="sm"/>
            </a:ln>
          </xdr:spPr>
        </xdr:cxnSp>
        <xdr:sp macro="" textlink="">
          <xdr:nvSpPr>
            <xdr:cNvPr id="163" name="Shape 163" descr="Next step button, hyperlinked to next sheet">
              <a:hlinkClick xmlns:r="http://schemas.openxmlformats.org/officeDocument/2006/relationships" r:id="rId1"/>
              <a:extLst>
                <a:ext uri="{FF2B5EF4-FFF2-40B4-BE49-F238E27FC236}">
                  <a16:creationId xmlns:a16="http://schemas.microsoft.com/office/drawing/2014/main" id="{00000000-0008-0000-0100-0000A3000000}"/>
                </a:ext>
              </a:extLst>
            </xdr:cNvPr>
            <xdr:cNvSpPr/>
          </xdr:nvSpPr>
          <xdr:spPr>
            <a:xfrm>
              <a:off x="4293870" y="2220914"/>
              <a:ext cx="1154430" cy="348492"/>
            </a:xfrm>
            <a:prstGeom prst="rightArrowCallout">
              <a:avLst>
                <a:gd name="adj1" fmla="val 32829"/>
                <a:gd name="adj2" fmla="val 31524"/>
                <a:gd name="adj3" fmla="val 25000"/>
                <a:gd name="adj4" fmla="val 86357"/>
              </a:avLst>
            </a:prstGeom>
            <a:solidFill>
              <a:schemeClr val="lt1"/>
            </a:solidFill>
            <a:ln w="12700" cap="flat" cmpd="sng">
              <a:solidFill>
                <a:srgbClr val="0B744D"/>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a:solidFill>
                    <a:srgbClr val="0B744D"/>
                  </a:solidFill>
                  <a:latin typeface="Quattrocento Sans"/>
                  <a:ea typeface="Quattrocento Sans"/>
                  <a:cs typeface="Quattrocento Sans"/>
                  <a:sym typeface="Quattrocento Sans"/>
                </a:rPr>
                <a:t>Next step</a:t>
              </a:r>
              <a:endParaRPr sz="1400"/>
            </a:p>
          </xdr:txBody>
        </xdr:sp>
        <xdr:sp macro="" textlink="">
          <xdr:nvSpPr>
            <xdr:cNvPr id="164" name="Shape 164" descr="Fill data automatically in worksheet cells, Hyperlinked to web">
              <a:hlinkClick xmlns:r="http://schemas.openxmlformats.org/officeDocument/2006/relationships" r:id="rId6"/>
              <a:extLst>
                <a:ext uri="{FF2B5EF4-FFF2-40B4-BE49-F238E27FC236}">
                  <a16:creationId xmlns:a16="http://schemas.microsoft.com/office/drawing/2014/main" id="{00000000-0008-0000-0100-0000A4000000}"/>
                </a:ext>
              </a:extLst>
            </xdr:cNvPr>
            <xdr:cNvSpPr txBox="1"/>
          </xdr:nvSpPr>
          <xdr:spPr>
            <a:xfrm>
              <a:off x="638783" y="794849"/>
              <a:ext cx="2752117" cy="310052"/>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u="sng">
                  <a:solidFill>
                    <a:srgbClr val="3F3F3F"/>
                  </a:solidFill>
                  <a:latin typeface="Quattrocento Sans"/>
                  <a:ea typeface="Quattrocento Sans"/>
                  <a:cs typeface="Quattrocento Sans"/>
                  <a:sym typeface="Quattrocento Sans"/>
                </a:rPr>
                <a:t>Fill data automatically in worksheet cells</a:t>
              </a:r>
              <a:endParaRPr sz="1400"/>
            </a:p>
          </xdr:txBody>
        </xdr:sp>
        <xdr:pic>
          <xdr:nvPicPr>
            <xdr:cNvPr id="165" name="Shape 165" descr="Arrow">
              <a:hlinkClick xmlns:r="http://schemas.openxmlformats.org/officeDocument/2006/relationships" r:id="rId6"/>
              <a:extLst>
                <a:ext uri="{FF2B5EF4-FFF2-40B4-BE49-F238E27FC236}">
                  <a16:creationId xmlns:a16="http://schemas.microsoft.com/office/drawing/2014/main" id="{00000000-0008-0000-0100-0000A5000000}"/>
                </a:ext>
              </a:extLst>
            </xdr:cNvPr>
            <xdr:cNvPicPr preferRelativeResize="0"/>
          </xdr:nvPicPr>
          <xdr:blipFill rotWithShape="1">
            <a:blip xmlns:r="http://schemas.openxmlformats.org/officeDocument/2006/relationships" r:embed="rId7">
              <a:alphaModFix/>
            </a:blip>
            <a:srcRect/>
            <a:stretch/>
          </xdr:blipFill>
          <xdr:spPr>
            <a:xfrm>
              <a:off x="211503" y="699572"/>
              <a:ext cx="454554" cy="448472"/>
            </a:xfrm>
            <a:prstGeom prst="rect">
              <a:avLst/>
            </a:prstGeom>
            <a:noFill/>
            <a:ln>
              <a:noFill/>
            </a:ln>
          </xdr:spPr>
        </xdr:pic>
        <xdr:sp macro="" textlink="">
          <xdr:nvSpPr>
            <xdr:cNvPr id="166" name="Shape 166" descr="Fill a formula down into adjacent cells, Hyperlinked to web">
              <a:hlinkClick xmlns:r="http://schemas.openxmlformats.org/officeDocument/2006/relationships" r:id="rId8"/>
              <a:extLst>
                <a:ext uri="{FF2B5EF4-FFF2-40B4-BE49-F238E27FC236}">
                  <a16:creationId xmlns:a16="http://schemas.microsoft.com/office/drawing/2014/main" id="{00000000-0008-0000-0100-0000A6000000}"/>
                </a:ext>
              </a:extLst>
            </xdr:cNvPr>
            <xdr:cNvSpPr txBox="1"/>
          </xdr:nvSpPr>
          <xdr:spPr>
            <a:xfrm>
              <a:off x="638783" y="1259456"/>
              <a:ext cx="2752117" cy="290453"/>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u="sng">
                  <a:solidFill>
                    <a:srgbClr val="3F3F3F"/>
                  </a:solidFill>
                  <a:latin typeface="Quattrocento Sans"/>
                  <a:ea typeface="Quattrocento Sans"/>
                  <a:cs typeface="Quattrocento Sans"/>
                  <a:sym typeface="Quattrocento Sans"/>
                </a:rPr>
                <a:t>Fill a formula down into adjacent cells</a:t>
              </a:r>
              <a:endParaRPr sz="1400"/>
            </a:p>
            <a:p>
              <a:pPr marL="0" lvl="0" indent="0" algn="l" rtl="0">
                <a:spcBef>
                  <a:spcPts val="0"/>
                </a:spcBef>
                <a:spcAft>
                  <a:spcPts val="0"/>
                </a:spcAft>
                <a:buNone/>
              </a:pPr>
              <a:br>
                <a:rPr lang="en-US" sz="1100" u="sng">
                  <a:solidFill>
                    <a:srgbClr val="3F3F3F"/>
                  </a:solidFill>
                  <a:latin typeface="Quattrocento Sans"/>
                  <a:ea typeface="Quattrocento Sans"/>
                  <a:cs typeface="Quattrocento Sans"/>
                  <a:sym typeface="Quattrocento Sans"/>
                </a:rPr>
              </a:br>
              <a:endParaRPr sz="1100" u="sng">
                <a:solidFill>
                  <a:srgbClr val="3F3F3F"/>
                </a:solidFill>
                <a:latin typeface="Quattrocento Sans"/>
                <a:ea typeface="Quattrocento Sans"/>
                <a:cs typeface="Quattrocento Sans"/>
                <a:sym typeface="Quattrocento Sans"/>
              </a:endParaRPr>
            </a:p>
          </xdr:txBody>
        </xdr:sp>
        <xdr:pic>
          <xdr:nvPicPr>
            <xdr:cNvPr id="167" name="Shape 167" descr="Arrow">
              <a:hlinkClick xmlns:r="http://schemas.openxmlformats.org/officeDocument/2006/relationships" r:id="rId8"/>
              <a:extLst>
                <a:ext uri="{FF2B5EF4-FFF2-40B4-BE49-F238E27FC236}">
                  <a16:creationId xmlns:a16="http://schemas.microsoft.com/office/drawing/2014/main" id="{00000000-0008-0000-0100-0000A7000000}"/>
                </a:ext>
              </a:extLst>
            </xdr:cNvPr>
            <xdr:cNvPicPr preferRelativeResize="0"/>
          </xdr:nvPicPr>
          <xdr:blipFill rotWithShape="1">
            <a:blip xmlns:r="http://schemas.openxmlformats.org/officeDocument/2006/relationships" r:embed="rId7">
              <a:alphaModFix/>
            </a:blip>
            <a:srcRect/>
            <a:stretch/>
          </xdr:blipFill>
          <xdr:spPr>
            <a:xfrm>
              <a:off x="211503" y="1157426"/>
              <a:ext cx="454554" cy="448472"/>
            </a:xfrm>
            <a:prstGeom prst="rect">
              <a:avLst/>
            </a:prstGeom>
            <a:noFill/>
            <a:ln>
              <a:noFill/>
            </a:ln>
          </xdr:spPr>
        </xdr:pic>
      </xdr:grpSp>
    </xdr:grpSp>
    <xdr:clientData fLocksWithSheet="0"/>
  </xdr:oneCellAnchor>
  <xdr:oneCellAnchor>
    <xdr:from>
      <xdr:col>2</xdr:col>
      <xdr:colOff>28575</xdr:colOff>
      <xdr:row>61</xdr:row>
      <xdr:rowOff>104775</xdr:rowOff>
    </xdr:from>
    <xdr:ext cx="3762375" cy="1171575"/>
    <xdr:grpSp>
      <xdr:nvGrpSpPr>
        <xdr:cNvPr id="14" name="Shape 2">
          <a:extLst>
            <a:ext uri="{FF2B5EF4-FFF2-40B4-BE49-F238E27FC236}">
              <a16:creationId xmlns:a16="http://schemas.microsoft.com/office/drawing/2014/main" id="{00000000-0008-0000-0100-00000E000000}"/>
            </a:ext>
          </a:extLst>
        </xdr:cNvPr>
        <xdr:cNvGrpSpPr/>
      </xdr:nvGrpSpPr>
      <xdr:grpSpPr>
        <a:xfrm>
          <a:off x="6400028" y="12513018"/>
          <a:ext cx="3762375" cy="1171575"/>
          <a:chOff x="3464813" y="3194213"/>
          <a:chExt cx="3762375" cy="1171575"/>
        </a:xfrm>
      </xdr:grpSpPr>
      <xdr:grpSp>
        <xdr:nvGrpSpPr>
          <xdr:cNvPr id="168" name="Shape 168" descr="Select these two cells, and then drag the fill handle to the right. Excel fills the series in increments of 15. Try changing 15 and 30 to other values, like 1 and 1.8. Or, Mon and Wed. Or, January and March. And then fill to the right again... see what happens!">
            <a:extLst>
              <a:ext uri="{FF2B5EF4-FFF2-40B4-BE49-F238E27FC236}">
                <a16:creationId xmlns:a16="http://schemas.microsoft.com/office/drawing/2014/main" id="{00000000-0008-0000-0100-0000A8000000}"/>
              </a:ext>
            </a:extLst>
          </xdr:cNvPr>
          <xdr:cNvGrpSpPr/>
        </xdr:nvGrpSpPr>
        <xdr:grpSpPr>
          <a:xfrm>
            <a:off x="3464813" y="3194213"/>
            <a:ext cx="3762375" cy="1171575"/>
            <a:chOff x="6375400" y="12710331"/>
            <a:chExt cx="3768724" cy="1161191"/>
          </a:xfrm>
        </xdr:grpSpPr>
        <xdr:sp macro="" textlink="">
          <xdr:nvSpPr>
            <xdr:cNvPr id="15" name="Shape 4">
              <a:extLst>
                <a:ext uri="{FF2B5EF4-FFF2-40B4-BE49-F238E27FC236}">
                  <a16:creationId xmlns:a16="http://schemas.microsoft.com/office/drawing/2014/main" id="{00000000-0008-0000-0100-00000F000000}"/>
                </a:ext>
              </a:extLst>
            </xdr:cNvPr>
            <xdr:cNvSpPr/>
          </xdr:nvSpPr>
          <xdr:spPr>
            <a:xfrm>
              <a:off x="6375400" y="12710331"/>
              <a:ext cx="3768700" cy="1161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69" name="Shape 169" descr="EXPERIMENT&#10;Select these two cells, and then drag the fill handle to the right. Excel fills the series in increments of 15. Try changing 15 and 30 to other values, like 1 and 1.8. Or, Mon and Wed. Or, January and March. And then fill to the right again... see what happens!">
              <a:extLst>
                <a:ext uri="{FF2B5EF4-FFF2-40B4-BE49-F238E27FC236}">
                  <a16:creationId xmlns:a16="http://schemas.microsoft.com/office/drawing/2014/main" id="{00000000-0008-0000-0100-0000A9000000}"/>
                </a:ext>
              </a:extLst>
            </xdr:cNvPr>
            <xdr:cNvSpPr txBox="1"/>
          </xdr:nvSpPr>
          <xdr:spPr>
            <a:xfrm>
              <a:off x="6607610" y="12923420"/>
              <a:ext cx="3536514" cy="948102"/>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200" b="1">
                  <a:solidFill>
                    <a:srgbClr val="F4B081"/>
                  </a:solidFill>
                  <a:latin typeface="Quattrocento Sans"/>
                  <a:ea typeface="Quattrocento Sans"/>
                  <a:cs typeface="Quattrocento Sans"/>
                  <a:sym typeface="Quattrocento Sans"/>
                </a:rPr>
                <a:t>EXPERIMENT</a:t>
              </a:r>
              <a:endParaRPr sz="1200" b="1">
                <a:solidFill>
                  <a:srgbClr val="F4B081"/>
                </a:solidFill>
                <a:latin typeface="Quattrocento Sans"/>
                <a:ea typeface="Quattrocento Sans"/>
                <a:cs typeface="Quattrocento Sans"/>
                <a:sym typeface="Quattrocento Sans"/>
              </a:endParaRPr>
            </a:p>
            <a:p>
              <a:pPr marL="0" lvl="0" indent="0" algn="l" rtl="0">
                <a:spcBef>
                  <a:spcPts val="0"/>
                </a:spcBef>
                <a:spcAft>
                  <a:spcPts val="0"/>
                </a:spcAft>
                <a:buNone/>
              </a:pPr>
              <a:r>
                <a:rPr lang="en-US" sz="1100">
                  <a:solidFill>
                    <a:srgbClr val="3A3838"/>
                  </a:solidFill>
                  <a:latin typeface="Calibri"/>
                  <a:ea typeface="Calibri"/>
                  <a:cs typeface="Calibri"/>
                  <a:sym typeface="Calibri"/>
                </a:rPr>
                <a:t>Select these two cells, and then drag the fill handle to the right. Excel fills the series in increments of 15. Try changing 15 and 30 to other values, like 1 and 1.8. Or, Mon and Wed. Or, January and March. And then fill to the right again... see what happens!</a:t>
              </a:r>
              <a:endParaRPr sz="1400"/>
            </a:p>
          </xdr:txBody>
        </xdr:sp>
        <xdr:sp macro="" textlink="">
          <xdr:nvSpPr>
            <xdr:cNvPr id="170" name="Shape 170" descr="Bracket line">
              <a:extLst>
                <a:ext uri="{FF2B5EF4-FFF2-40B4-BE49-F238E27FC236}">
                  <a16:creationId xmlns:a16="http://schemas.microsoft.com/office/drawing/2014/main" id="{00000000-0008-0000-0100-0000AA000000}"/>
                </a:ext>
              </a:extLst>
            </xdr:cNvPr>
            <xdr:cNvSpPr/>
          </xdr:nvSpPr>
          <xdr:spPr>
            <a:xfrm rot="5400000">
              <a:off x="7204291" y="12535116"/>
              <a:ext cx="181608" cy="534983"/>
            </a:xfrm>
            <a:custGeom>
              <a:avLst/>
              <a:gdLst/>
              <a:ahLst/>
              <a:cxnLst/>
              <a:rect l="l" t="t" r="r" b="b"/>
              <a:pathLst>
                <a:path w="167704" h="207258" extrusionOk="0">
                  <a:moveTo>
                    <a:pt x="0" y="193"/>
                  </a:moveTo>
                  <a:cubicBezTo>
                    <a:pt x="64880" y="-498"/>
                    <a:pt x="129760" y="-1188"/>
                    <a:pt x="157369" y="33323"/>
                  </a:cubicBezTo>
                  <a:cubicBezTo>
                    <a:pt x="184978" y="67834"/>
                    <a:pt x="146326" y="179649"/>
                    <a:pt x="165652" y="207258"/>
                  </a:cubicBezTo>
                </a:path>
              </a:pathLst>
            </a:custGeom>
            <a:noFill/>
            <a:ln w="19050" cap="flat" cmpd="sng">
              <a:solidFill>
                <a:srgbClr val="F4B08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lt1"/>
                </a:solidFill>
                <a:latin typeface="Calibri"/>
                <a:ea typeface="Calibri"/>
                <a:cs typeface="Calibri"/>
                <a:sym typeface="Calibri"/>
              </a:endParaRPr>
            </a:p>
          </xdr:txBody>
        </xdr:sp>
        <xdr:sp macro="" textlink="">
          <xdr:nvSpPr>
            <xdr:cNvPr id="171" name="Shape 171" descr="Bracket line">
              <a:extLst>
                <a:ext uri="{FF2B5EF4-FFF2-40B4-BE49-F238E27FC236}">
                  <a16:creationId xmlns:a16="http://schemas.microsoft.com/office/drawing/2014/main" id="{00000000-0008-0000-0100-0000AB000000}"/>
                </a:ext>
              </a:extLst>
            </xdr:cNvPr>
            <xdr:cNvSpPr/>
          </xdr:nvSpPr>
          <xdr:spPr>
            <a:xfrm rot="-5400000" flipH="1">
              <a:off x="6553722" y="12534549"/>
              <a:ext cx="183793" cy="535358"/>
            </a:xfrm>
            <a:custGeom>
              <a:avLst/>
              <a:gdLst/>
              <a:ahLst/>
              <a:cxnLst/>
              <a:rect l="l" t="t" r="r" b="b"/>
              <a:pathLst>
                <a:path w="169722" h="219894" extrusionOk="0">
                  <a:moveTo>
                    <a:pt x="0" y="334"/>
                  </a:moveTo>
                  <a:cubicBezTo>
                    <a:pt x="64880" y="-357"/>
                    <a:pt x="129082" y="-3129"/>
                    <a:pt x="157369" y="33464"/>
                  </a:cubicBezTo>
                  <a:cubicBezTo>
                    <a:pt x="185656" y="70057"/>
                    <a:pt x="150396" y="192285"/>
                    <a:pt x="169722" y="219894"/>
                  </a:cubicBezTo>
                </a:path>
              </a:pathLst>
            </a:custGeom>
            <a:noFill/>
            <a:ln w="19050" cap="flat" cmpd="sng">
              <a:solidFill>
                <a:srgbClr val="F4B08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lt1"/>
                </a:solidFill>
                <a:latin typeface="Calibri"/>
                <a:ea typeface="Calibri"/>
                <a:cs typeface="Calibri"/>
                <a:sym typeface="Calibri"/>
              </a:endParaRPr>
            </a:p>
          </xdr:txBody>
        </xdr:sp>
        <xdr:sp macro="" textlink="">
          <xdr:nvSpPr>
            <xdr:cNvPr id="172" name="Shape 172">
              <a:extLst>
                <a:ext uri="{FF2B5EF4-FFF2-40B4-BE49-F238E27FC236}">
                  <a16:creationId xmlns:a16="http://schemas.microsoft.com/office/drawing/2014/main" id="{00000000-0008-0000-0100-0000AC000000}"/>
                </a:ext>
              </a:extLst>
            </xdr:cNvPr>
            <xdr:cNvSpPr/>
          </xdr:nvSpPr>
          <xdr:spPr>
            <a:xfrm>
              <a:off x="6802792" y="12888984"/>
              <a:ext cx="175277" cy="207177"/>
            </a:xfrm>
            <a:prstGeom prst="arc">
              <a:avLst>
                <a:gd name="adj1" fmla="val 15985420"/>
                <a:gd name="adj2" fmla="val 0"/>
              </a:avLst>
            </a:prstGeom>
            <a:noFill/>
            <a:ln w="19050" cap="flat" cmpd="sng">
              <a:solidFill>
                <a:srgbClr val="F4B08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lt1"/>
                </a:solidFill>
                <a:latin typeface="Calibri"/>
                <a:ea typeface="Calibri"/>
                <a:cs typeface="Calibri"/>
                <a:sym typeface="Calibri"/>
              </a:endParaRPr>
            </a:p>
          </xdr:txBody>
        </xdr:sp>
        <xdr:sp macro="" textlink="">
          <xdr:nvSpPr>
            <xdr:cNvPr id="173" name="Shape 173">
              <a:extLst>
                <a:ext uri="{FF2B5EF4-FFF2-40B4-BE49-F238E27FC236}">
                  <a16:creationId xmlns:a16="http://schemas.microsoft.com/office/drawing/2014/main" id="{00000000-0008-0000-0100-0000AD000000}"/>
                </a:ext>
              </a:extLst>
            </xdr:cNvPr>
            <xdr:cNvSpPr/>
          </xdr:nvSpPr>
          <xdr:spPr>
            <a:xfrm flipH="1">
              <a:off x="6978069" y="12880168"/>
              <a:ext cx="175277" cy="220401"/>
            </a:xfrm>
            <a:prstGeom prst="arc">
              <a:avLst>
                <a:gd name="adj1" fmla="val 17341536"/>
                <a:gd name="adj2" fmla="val 0"/>
              </a:avLst>
            </a:prstGeom>
            <a:noFill/>
            <a:ln w="19050" cap="flat" cmpd="sng">
              <a:solidFill>
                <a:srgbClr val="F4B08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lt1"/>
                </a:solidFill>
                <a:latin typeface="Calibri"/>
                <a:ea typeface="Calibri"/>
                <a:cs typeface="Calibri"/>
                <a:sym typeface="Calibri"/>
              </a:endParaRPr>
            </a:p>
          </xdr:txBody>
        </xdr:sp>
        <xdr:pic>
          <xdr:nvPicPr>
            <xdr:cNvPr id="174" name="Shape 174" descr="Flask">
              <a:extLst>
                <a:ext uri="{FF2B5EF4-FFF2-40B4-BE49-F238E27FC236}">
                  <a16:creationId xmlns:a16="http://schemas.microsoft.com/office/drawing/2014/main" id="{00000000-0008-0000-0100-0000AE000000}"/>
                </a:ext>
              </a:extLst>
            </xdr:cNvPr>
            <xdr:cNvPicPr preferRelativeResize="0"/>
          </xdr:nvPicPr>
          <xdr:blipFill rotWithShape="1">
            <a:blip xmlns:r="http://schemas.openxmlformats.org/officeDocument/2006/relationships" r:embed="rId9">
              <a:alphaModFix/>
            </a:blip>
            <a:srcRect/>
            <a:stretch/>
          </xdr:blipFill>
          <xdr:spPr>
            <a:xfrm>
              <a:off x="6375400" y="13028195"/>
              <a:ext cx="384748" cy="368300"/>
            </a:xfrm>
            <a:prstGeom prst="rect">
              <a:avLst/>
            </a:prstGeom>
            <a:noFill/>
            <a:ln>
              <a:noFill/>
            </a:ln>
          </xdr:spPr>
        </xdr:pic>
      </xdr:grpSp>
    </xdr:grpSp>
    <xdr:clientData fLocksWithSheet="0"/>
  </xdr:oneCellAnchor>
  <xdr:oneCellAnchor>
    <xdr:from>
      <xdr:col>1</xdr:col>
      <xdr:colOff>1409700</xdr:colOff>
      <xdr:row>7</xdr:row>
      <xdr:rowOff>171450</xdr:rowOff>
    </xdr:from>
    <xdr:ext cx="609600" cy="247650"/>
    <xdr:pic>
      <xdr:nvPicPr>
        <xdr:cNvPr id="16" name="image2.png" descr="Lower-right corner of the cell">
          <a:extLst>
            <a:ext uri="{FF2B5EF4-FFF2-40B4-BE49-F238E27FC236}">
              <a16:creationId xmlns:a16="http://schemas.microsoft.com/office/drawing/2014/main" id="{00000000-0008-0000-0100-000010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2</xdr:col>
      <xdr:colOff>2038350</xdr:colOff>
      <xdr:row>9</xdr:row>
      <xdr:rowOff>200025</xdr:rowOff>
    </xdr:from>
    <xdr:ext cx="1666875" cy="1219200"/>
    <xdr:grpSp>
      <xdr:nvGrpSpPr>
        <xdr:cNvPr id="2" name="Shape 2">
          <a:extLst>
            <a:ext uri="{FF2B5EF4-FFF2-40B4-BE49-F238E27FC236}">
              <a16:creationId xmlns:a16="http://schemas.microsoft.com/office/drawing/2014/main" id="{00000000-0008-0000-0200-000002000000}"/>
            </a:ext>
          </a:extLst>
        </xdr:cNvPr>
        <xdr:cNvGrpSpPr/>
      </xdr:nvGrpSpPr>
      <xdr:grpSpPr>
        <a:xfrm>
          <a:off x="8406493" y="2476500"/>
          <a:ext cx="1666875" cy="1219200"/>
          <a:chOff x="4512563" y="3170400"/>
          <a:chExt cx="1666875" cy="1219200"/>
        </a:xfrm>
      </xdr:grpSpPr>
      <xdr:grpSp>
        <xdr:nvGrpSpPr>
          <xdr:cNvPr id="175" name="Shape 175" descr="GOOD TO KNOW: CTRL+E is the shortcut for Flash Fill">
            <a:extLst>
              <a:ext uri="{FF2B5EF4-FFF2-40B4-BE49-F238E27FC236}">
                <a16:creationId xmlns:a16="http://schemas.microsoft.com/office/drawing/2014/main" id="{00000000-0008-0000-0200-0000AF000000}"/>
              </a:ext>
            </a:extLst>
          </xdr:cNvPr>
          <xdr:cNvGrpSpPr/>
        </xdr:nvGrpSpPr>
        <xdr:grpSpPr>
          <a:xfrm>
            <a:off x="4512563" y="3170400"/>
            <a:ext cx="1666875" cy="1219200"/>
            <a:chOff x="8420099" y="2619375"/>
            <a:chExt cx="1657351" cy="1228724"/>
          </a:xfrm>
        </xdr:grpSpPr>
        <xdr:sp macro="" textlink="">
          <xdr:nvSpPr>
            <xdr:cNvPr id="4" name="Shape 4">
              <a:extLst>
                <a:ext uri="{FF2B5EF4-FFF2-40B4-BE49-F238E27FC236}">
                  <a16:creationId xmlns:a16="http://schemas.microsoft.com/office/drawing/2014/main" id="{00000000-0008-0000-0200-000004000000}"/>
                </a:ext>
              </a:extLst>
            </xdr:cNvPr>
            <xdr:cNvSpPr/>
          </xdr:nvSpPr>
          <xdr:spPr>
            <a:xfrm>
              <a:off x="8420099" y="2619375"/>
              <a:ext cx="1657350" cy="12287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76" name="Shape 176" descr="GOOD TO KNOW&#10;CTRL+E is the shortcut for Flash Fill">
              <a:extLst>
                <a:ext uri="{FF2B5EF4-FFF2-40B4-BE49-F238E27FC236}">
                  <a16:creationId xmlns:a16="http://schemas.microsoft.com/office/drawing/2014/main" id="{00000000-0008-0000-0200-0000B0000000}"/>
                </a:ext>
              </a:extLst>
            </xdr:cNvPr>
            <xdr:cNvSpPr txBox="1"/>
          </xdr:nvSpPr>
          <xdr:spPr>
            <a:xfrm>
              <a:off x="8743781" y="2636226"/>
              <a:ext cx="1333669" cy="1211873"/>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200" b="1">
                  <a:solidFill>
                    <a:srgbClr val="F4B081"/>
                  </a:solidFill>
                  <a:latin typeface="Quattrocento Sans"/>
                  <a:ea typeface="Quattrocento Sans"/>
                  <a:cs typeface="Quattrocento Sans"/>
                  <a:sym typeface="Quattrocento Sans"/>
                </a:rPr>
                <a:t>GOOD TO KNOW</a:t>
              </a:r>
              <a:endParaRPr sz="1200" b="1">
                <a:solidFill>
                  <a:srgbClr val="F4B081"/>
                </a:solidFill>
                <a:latin typeface="Quattrocento Sans"/>
                <a:ea typeface="Quattrocento Sans"/>
                <a:cs typeface="Quattrocento Sans"/>
                <a:sym typeface="Quattrocento Sans"/>
              </a:endParaRPr>
            </a:p>
            <a:p>
              <a:pPr marL="0" lvl="0" indent="0" algn="l" rtl="0">
                <a:spcBef>
                  <a:spcPts val="0"/>
                </a:spcBef>
                <a:spcAft>
                  <a:spcPts val="0"/>
                </a:spcAft>
                <a:buNone/>
              </a:pPr>
              <a:r>
                <a:rPr lang="en-US" sz="1100" b="0" i="0">
                  <a:solidFill>
                    <a:schemeClr val="dk1"/>
                  </a:solidFill>
                  <a:latin typeface="Calibri"/>
                  <a:ea typeface="Calibri"/>
                  <a:cs typeface="Calibri"/>
                  <a:sym typeface="Calibri"/>
                </a:rPr>
                <a:t>CTRL+E is the shortcut for Flash Fill. </a:t>
              </a:r>
              <a:endParaRPr sz="1100">
                <a:latin typeface="Calibri"/>
                <a:ea typeface="Calibri"/>
                <a:cs typeface="Calibri"/>
                <a:sym typeface="Calibri"/>
              </a:endParaRPr>
            </a:p>
          </xdr:txBody>
        </xdr:sp>
        <xdr:pic>
          <xdr:nvPicPr>
            <xdr:cNvPr id="177" name="Shape 177" descr="Glasses">
              <a:extLst>
                <a:ext uri="{FF2B5EF4-FFF2-40B4-BE49-F238E27FC236}">
                  <a16:creationId xmlns:a16="http://schemas.microsoft.com/office/drawing/2014/main" id="{00000000-0008-0000-0200-0000B1000000}"/>
                </a:ext>
              </a:extLst>
            </xdr:cNvPr>
            <xdr:cNvPicPr preferRelativeResize="0"/>
          </xdr:nvPicPr>
          <xdr:blipFill rotWithShape="1">
            <a:blip xmlns:r="http://schemas.openxmlformats.org/officeDocument/2006/relationships" r:embed="rId1">
              <a:alphaModFix/>
            </a:blip>
            <a:srcRect/>
            <a:stretch/>
          </xdr:blipFill>
          <xdr:spPr>
            <a:xfrm>
              <a:off x="8420099" y="2619375"/>
              <a:ext cx="349249" cy="349249"/>
            </a:xfrm>
            <a:prstGeom prst="rect">
              <a:avLst/>
            </a:prstGeom>
            <a:noFill/>
            <a:ln>
              <a:noFill/>
            </a:ln>
          </xdr:spPr>
        </xdr:pic>
      </xdr:grpSp>
    </xdr:grpSp>
    <xdr:clientData fLocksWithSheet="0"/>
  </xdr:oneCellAnchor>
  <xdr:oneCellAnchor>
    <xdr:from>
      <xdr:col>1</xdr:col>
      <xdr:colOff>5429250</xdr:colOff>
      <xdr:row>56</xdr:row>
      <xdr:rowOff>0</xdr:rowOff>
    </xdr:from>
    <xdr:ext cx="9344025" cy="3133725"/>
    <xdr:grpSp>
      <xdr:nvGrpSpPr>
        <xdr:cNvPr id="3" name="Shape 2">
          <a:extLst>
            <a:ext uri="{FF2B5EF4-FFF2-40B4-BE49-F238E27FC236}">
              <a16:creationId xmlns:a16="http://schemas.microsoft.com/office/drawing/2014/main" id="{00000000-0008-0000-0200-000003000000}"/>
            </a:ext>
          </a:extLst>
        </xdr:cNvPr>
        <xdr:cNvGrpSpPr/>
      </xdr:nvGrpSpPr>
      <xdr:grpSpPr>
        <a:xfrm>
          <a:off x="6272893" y="11266714"/>
          <a:ext cx="9344025" cy="3133725"/>
          <a:chOff x="673988" y="2213138"/>
          <a:chExt cx="9344025" cy="3133726"/>
        </a:xfrm>
      </xdr:grpSpPr>
      <xdr:grpSp>
        <xdr:nvGrpSpPr>
          <xdr:cNvPr id="178" name="Shape 178" descr="=LEFT(C56,FIND(&quot; &quot;,C56)-1)&#10;Extract characters from the left side of...&#10;…this cell...&#10;...and extract this many characters. To specify the number of characters, use the FIND function...&#10;...and find the character position number of...&#10;... the first space...&#10;...in this cell.&#10;...then subtract 1 to exclude the space itself.&#10;=RIGHT(C56,LEN(C56)-FIND(&quot; &quot;,C56))&#10;Extract characters from the right side of...&#10;…this cell...&#10;...and extract this many characters. To specify the number of characters, use the LEN function...&#10;...and get the count of characters (character length) of... &#10;...this cell...&#10;...and subtract this number:&#10;Find the character position number of...&#10;...the first space...&#10;...in this cell">
            <a:extLst>
              <a:ext uri="{FF2B5EF4-FFF2-40B4-BE49-F238E27FC236}">
                <a16:creationId xmlns:a16="http://schemas.microsoft.com/office/drawing/2014/main" id="{00000000-0008-0000-0200-0000B2000000}"/>
              </a:ext>
            </a:extLst>
          </xdr:cNvPr>
          <xdr:cNvGrpSpPr/>
        </xdr:nvGrpSpPr>
        <xdr:grpSpPr>
          <a:xfrm>
            <a:off x="673988" y="2213138"/>
            <a:ext cx="9344025" cy="3133726"/>
            <a:chOff x="6276975" y="11658600"/>
            <a:chExt cx="9127486" cy="3138238"/>
          </a:xfrm>
        </xdr:grpSpPr>
        <xdr:sp macro="" textlink="">
          <xdr:nvSpPr>
            <xdr:cNvPr id="5" name="Shape 4">
              <a:extLst>
                <a:ext uri="{FF2B5EF4-FFF2-40B4-BE49-F238E27FC236}">
                  <a16:creationId xmlns:a16="http://schemas.microsoft.com/office/drawing/2014/main" id="{00000000-0008-0000-0200-000005000000}"/>
                </a:ext>
              </a:extLst>
            </xdr:cNvPr>
            <xdr:cNvSpPr/>
          </xdr:nvSpPr>
          <xdr:spPr>
            <a:xfrm>
              <a:off x="6276975" y="11658600"/>
              <a:ext cx="9127475" cy="31382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79" name="Shape 179" descr="HOW IT WORKS:">
              <a:extLst>
                <a:ext uri="{FF2B5EF4-FFF2-40B4-BE49-F238E27FC236}">
                  <a16:creationId xmlns:a16="http://schemas.microsoft.com/office/drawing/2014/main" id="{00000000-0008-0000-0200-0000B3000000}"/>
                </a:ext>
              </a:extLst>
            </xdr:cNvPr>
            <xdr:cNvSpPr txBox="1"/>
          </xdr:nvSpPr>
          <xdr:spPr>
            <a:xfrm>
              <a:off x="6276975" y="11792065"/>
              <a:ext cx="2676672" cy="298372"/>
            </a:xfrm>
            <a:prstGeom prst="rect">
              <a:avLst/>
            </a:prstGeom>
            <a:noFill/>
            <a:ln>
              <a:noFill/>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Clr>
                  <a:schemeClr val="accent1"/>
                </a:buClr>
                <a:buSzPts val="1200"/>
                <a:buFont typeface="Quattrocento Sans"/>
                <a:buNone/>
              </a:pPr>
              <a:r>
                <a:rPr lang="en-US" sz="1200" b="1" i="0" u="none" strike="noStrike" cap="none">
                  <a:solidFill>
                    <a:schemeClr val="accent1"/>
                  </a:solidFill>
                  <a:latin typeface="Quattrocento Sans"/>
                  <a:ea typeface="Quattrocento Sans"/>
                  <a:cs typeface="Quattrocento Sans"/>
                  <a:sym typeface="Quattrocento Sans"/>
                </a:rPr>
                <a:t>HOW IT WORKS:</a:t>
              </a:r>
              <a:endParaRPr sz="1050" b="1" i="0" u="none" cap="none">
                <a:solidFill>
                  <a:schemeClr val="accent1"/>
                </a:solidFill>
                <a:latin typeface="Quattrocento Sans"/>
                <a:ea typeface="Quattrocento Sans"/>
                <a:cs typeface="Quattrocento Sans"/>
                <a:sym typeface="Quattrocento Sans"/>
              </a:endParaRPr>
            </a:p>
          </xdr:txBody>
        </xdr:sp>
        <xdr:sp macro="" textlink="">
          <xdr:nvSpPr>
            <xdr:cNvPr id="180" name="Shape 180" descr="=LEFT(C56,FIND(&quot; &quot;,C56)-1)">
              <a:extLst>
                <a:ext uri="{FF2B5EF4-FFF2-40B4-BE49-F238E27FC236}">
                  <a16:creationId xmlns:a16="http://schemas.microsoft.com/office/drawing/2014/main" id="{00000000-0008-0000-0200-0000B4000000}"/>
                </a:ext>
              </a:extLst>
            </xdr:cNvPr>
            <xdr:cNvSpPr txBox="1"/>
          </xdr:nvSpPr>
          <xdr:spPr>
            <a:xfrm>
              <a:off x="6324979" y="13221358"/>
              <a:ext cx="3533395" cy="911212"/>
            </a:xfrm>
            <a:prstGeom prst="rect">
              <a:avLst/>
            </a:prstGeom>
            <a:noFill/>
            <a:ln>
              <a:noFill/>
            </a:ln>
          </xdr:spPr>
          <xdr:txBody>
            <a:bodyPr spcFirstLastPara="1" wrap="square" lIns="91425" tIns="45700" rIns="91425" bIns="45700" anchor="t" anchorCtr="0">
              <a:noAutofit/>
            </a:bodyPr>
            <a:lstStyle/>
            <a:p>
              <a:pPr marL="0" marR="0" lvl="0" indent="0" algn="l" rtl="0">
                <a:spcBef>
                  <a:spcPts val="0"/>
                </a:spcBef>
                <a:spcAft>
                  <a:spcPts val="0"/>
                </a:spcAft>
                <a:buNone/>
              </a:pPr>
              <a:r>
                <a:rPr lang="en-US" sz="1600" b="1">
                  <a:solidFill>
                    <a:srgbClr val="000000"/>
                  </a:solidFill>
                  <a:latin typeface="Courier New"/>
                  <a:ea typeface="Courier New"/>
                  <a:cs typeface="Courier New"/>
                  <a:sym typeface="Courier New"/>
                </a:rPr>
                <a:t>=LEFT(C56,FIND(" ",C56)-1)</a:t>
              </a:r>
              <a:endParaRPr sz="1600" b="1">
                <a:latin typeface="Times New Roman"/>
                <a:ea typeface="Times New Roman"/>
                <a:cs typeface="Times New Roman"/>
                <a:sym typeface="Times New Roman"/>
              </a:endParaRPr>
            </a:p>
          </xdr:txBody>
        </xdr:sp>
        <xdr:sp macro="" textlink="">
          <xdr:nvSpPr>
            <xdr:cNvPr id="181" name="Shape 181" descr="Bracket line">
              <a:extLst>
                <a:ext uri="{FF2B5EF4-FFF2-40B4-BE49-F238E27FC236}">
                  <a16:creationId xmlns:a16="http://schemas.microsoft.com/office/drawing/2014/main" id="{00000000-0008-0000-0200-0000B5000000}"/>
                </a:ext>
              </a:extLst>
            </xdr:cNvPr>
            <xdr:cNvSpPr/>
          </xdr:nvSpPr>
          <xdr:spPr>
            <a:xfrm rot="5400000">
              <a:off x="6687591" y="12953542"/>
              <a:ext cx="225836" cy="442046"/>
            </a:xfrm>
            <a:prstGeom prst="leftBrace">
              <a:avLst>
                <a:gd name="adj1" fmla="val 8333"/>
                <a:gd name="adj2" fmla="val 50000"/>
              </a:avLst>
            </a:prstGeom>
            <a:noFill/>
            <a:ln w="9525" cap="flat" cmpd="sng">
              <a:solidFill>
                <a:schemeClr val="accent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1100"/>
            </a:p>
          </xdr:txBody>
        </xdr:sp>
        <xdr:sp macro="" textlink="">
          <xdr:nvSpPr>
            <xdr:cNvPr id="182" name="Shape 182">
              <a:extLst>
                <a:ext uri="{FF2B5EF4-FFF2-40B4-BE49-F238E27FC236}">
                  <a16:creationId xmlns:a16="http://schemas.microsoft.com/office/drawing/2014/main" id="{00000000-0008-0000-0200-0000B6000000}"/>
                </a:ext>
              </a:extLst>
            </xdr:cNvPr>
            <xdr:cNvSpPr txBox="1"/>
          </xdr:nvSpPr>
          <xdr:spPr>
            <a:xfrm>
              <a:off x="6366119" y="12049236"/>
              <a:ext cx="732019" cy="1013444"/>
            </a:xfrm>
            <a:prstGeom prst="rect">
              <a:avLst/>
            </a:prstGeom>
            <a:solidFill>
              <a:srgbClr val="DDEAF6"/>
            </a:solidFill>
            <a:ln>
              <a:noFill/>
            </a:ln>
          </xdr:spPr>
          <xdr:txBody>
            <a:bodyPr spcFirstLastPara="1" wrap="square" lIns="91425" tIns="45700" rIns="91425" bIns="45700" anchor="t" anchorCtr="0">
              <a:noAutofit/>
            </a:bodyPr>
            <a:lstStyle/>
            <a:p>
              <a:pPr marL="0" marR="0" lvl="0" indent="0" algn="l" rtl="0">
                <a:lnSpc>
                  <a:spcPct val="107000"/>
                </a:lnSpc>
                <a:spcBef>
                  <a:spcPts val="0"/>
                </a:spcBef>
                <a:spcAft>
                  <a:spcPts val="0"/>
                </a:spcAft>
                <a:buNone/>
              </a:pPr>
              <a:r>
                <a:rPr lang="en-US" sz="1100">
                  <a:latin typeface="Calibri"/>
                  <a:ea typeface="Calibri"/>
                  <a:cs typeface="Calibri"/>
                  <a:sym typeface="Calibri"/>
                </a:rPr>
                <a:t>Extract characters from the left side of...</a:t>
              </a:r>
              <a:endParaRPr sz="1100">
                <a:latin typeface="Calibri"/>
                <a:ea typeface="Calibri"/>
                <a:cs typeface="Calibri"/>
                <a:sym typeface="Calibri"/>
              </a:endParaRPr>
            </a:p>
          </xdr:txBody>
        </xdr:sp>
        <xdr:sp macro="" textlink="">
          <xdr:nvSpPr>
            <xdr:cNvPr id="183" name="Shape 183" descr="Bracket line">
              <a:extLst>
                <a:ext uri="{FF2B5EF4-FFF2-40B4-BE49-F238E27FC236}">
                  <a16:creationId xmlns:a16="http://schemas.microsoft.com/office/drawing/2014/main" id="{00000000-0008-0000-0200-0000B7000000}"/>
                </a:ext>
              </a:extLst>
            </xdr:cNvPr>
            <xdr:cNvSpPr/>
          </xdr:nvSpPr>
          <xdr:spPr>
            <a:xfrm rot="5400000">
              <a:off x="7171462" y="13012841"/>
              <a:ext cx="245051" cy="323295"/>
            </a:xfrm>
            <a:prstGeom prst="leftBrace">
              <a:avLst>
                <a:gd name="adj1" fmla="val 8333"/>
                <a:gd name="adj2" fmla="val 50000"/>
              </a:avLst>
            </a:prstGeom>
            <a:noFill/>
            <a:ln w="9525" cap="flat" cmpd="sng">
              <a:solidFill>
                <a:schemeClr val="accent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1100"/>
            </a:p>
          </xdr:txBody>
        </xdr:sp>
        <xdr:sp macro="" textlink="">
          <xdr:nvSpPr>
            <xdr:cNvPr id="184" name="Shape 184" descr="…this cell...">
              <a:extLst>
                <a:ext uri="{FF2B5EF4-FFF2-40B4-BE49-F238E27FC236}">
                  <a16:creationId xmlns:a16="http://schemas.microsoft.com/office/drawing/2014/main" id="{00000000-0008-0000-0200-0000B8000000}"/>
                </a:ext>
              </a:extLst>
            </xdr:cNvPr>
            <xdr:cNvSpPr txBox="1"/>
          </xdr:nvSpPr>
          <xdr:spPr>
            <a:xfrm>
              <a:off x="7130325" y="12048409"/>
              <a:ext cx="490127" cy="1010481"/>
            </a:xfrm>
            <a:prstGeom prst="rect">
              <a:avLst/>
            </a:prstGeom>
            <a:solidFill>
              <a:srgbClr val="DDEAF6"/>
            </a:solidFill>
            <a:ln>
              <a:noFill/>
            </a:ln>
          </xdr:spPr>
          <xdr:txBody>
            <a:bodyPr spcFirstLastPara="1" wrap="square" lIns="91425" tIns="45700" rIns="91425" bIns="45700" anchor="t" anchorCtr="0">
              <a:noAutofit/>
            </a:bodyPr>
            <a:lstStyle/>
            <a:p>
              <a:pPr marL="0" marR="0" lvl="0" indent="0" algn="l" rtl="0">
                <a:lnSpc>
                  <a:spcPct val="107000"/>
                </a:lnSpc>
                <a:spcBef>
                  <a:spcPts val="0"/>
                </a:spcBef>
                <a:spcAft>
                  <a:spcPts val="0"/>
                </a:spcAft>
                <a:buNone/>
              </a:pPr>
              <a:r>
                <a:rPr lang="en-US" sz="1100">
                  <a:latin typeface="Calibri"/>
                  <a:ea typeface="Calibri"/>
                  <a:cs typeface="Calibri"/>
                  <a:sym typeface="Calibri"/>
                </a:rPr>
                <a:t>…this cell...</a:t>
              </a:r>
              <a:endParaRPr sz="1400"/>
            </a:p>
          </xdr:txBody>
        </xdr:sp>
        <xdr:sp macro="" textlink="">
          <xdr:nvSpPr>
            <xdr:cNvPr id="185" name="Shape 185" descr="...and extract this many characters. To specify the number of characters, use the FIND function...">
              <a:extLst>
                <a:ext uri="{FF2B5EF4-FFF2-40B4-BE49-F238E27FC236}">
                  <a16:creationId xmlns:a16="http://schemas.microsoft.com/office/drawing/2014/main" id="{00000000-0008-0000-0200-0000B9000000}"/>
                </a:ext>
              </a:extLst>
            </xdr:cNvPr>
            <xdr:cNvSpPr txBox="1"/>
          </xdr:nvSpPr>
          <xdr:spPr>
            <a:xfrm>
              <a:off x="7653298" y="12048406"/>
              <a:ext cx="1843074" cy="1010484"/>
            </a:xfrm>
            <a:prstGeom prst="rect">
              <a:avLst/>
            </a:prstGeom>
            <a:solidFill>
              <a:srgbClr val="DDEAF6"/>
            </a:solidFill>
            <a:ln>
              <a:noFill/>
            </a:ln>
          </xdr:spPr>
          <xdr:txBody>
            <a:bodyPr spcFirstLastPara="1" wrap="square" lIns="91425" tIns="45700" rIns="91425" bIns="45700" anchor="t" anchorCtr="0">
              <a:noAutofit/>
            </a:bodyPr>
            <a:lstStyle/>
            <a:p>
              <a:pPr marL="0" marR="0" lvl="0" indent="0" algn="l" rtl="0">
                <a:lnSpc>
                  <a:spcPct val="107000"/>
                </a:lnSpc>
                <a:spcBef>
                  <a:spcPts val="0"/>
                </a:spcBef>
                <a:spcAft>
                  <a:spcPts val="0"/>
                </a:spcAft>
                <a:buNone/>
              </a:pPr>
              <a:r>
                <a:rPr lang="en-US" sz="1100">
                  <a:latin typeface="Calibri"/>
                  <a:ea typeface="Calibri"/>
                  <a:cs typeface="Calibri"/>
                  <a:sym typeface="Calibri"/>
                </a:rPr>
                <a:t>...and extract this many characters. To specify the number of characters, use the FIND function...</a:t>
              </a:r>
              <a:endParaRPr sz="1100">
                <a:latin typeface="Calibri"/>
                <a:ea typeface="Calibri"/>
                <a:cs typeface="Calibri"/>
                <a:sym typeface="Calibri"/>
              </a:endParaRPr>
            </a:p>
            <a:p>
              <a:pPr marL="0" marR="0" lvl="0" indent="0" algn="l" rtl="0">
                <a:lnSpc>
                  <a:spcPct val="107000"/>
                </a:lnSpc>
                <a:spcBef>
                  <a:spcPts val="800"/>
                </a:spcBef>
                <a:spcAft>
                  <a:spcPts val="0"/>
                </a:spcAft>
                <a:buNone/>
              </a:pPr>
              <a:r>
                <a:rPr lang="en-US" sz="1100">
                  <a:latin typeface="Calibri"/>
                  <a:ea typeface="Calibri"/>
                  <a:cs typeface="Calibri"/>
                  <a:sym typeface="Calibri"/>
                </a:rPr>
                <a:t> </a:t>
              </a:r>
              <a:endParaRPr sz="1400"/>
            </a:p>
          </xdr:txBody>
        </xdr:sp>
        <xdr:sp macro="" textlink="">
          <xdr:nvSpPr>
            <xdr:cNvPr id="186" name="Shape 186" descr="Bracket line">
              <a:extLst>
                <a:ext uri="{FF2B5EF4-FFF2-40B4-BE49-F238E27FC236}">
                  <a16:creationId xmlns:a16="http://schemas.microsoft.com/office/drawing/2014/main" id="{00000000-0008-0000-0200-0000BA000000}"/>
                </a:ext>
              </a:extLst>
            </xdr:cNvPr>
            <xdr:cNvSpPr/>
          </xdr:nvSpPr>
          <xdr:spPr>
            <a:xfrm rot="5400000">
              <a:off x="8140876" y="12491986"/>
              <a:ext cx="229093" cy="1361242"/>
            </a:xfrm>
            <a:prstGeom prst="leftBrace">
              <a:avLst>
                <a:gd name="adj1" fmla="val 8333"/>
                <a:gd name="adj2" fmla="val 50000"/>
              </a:avLst>
            </a:prstGeom>
            <a:noFill/>
            <a:ln w="9525" cap="flat" cmpd="sng">
              <a:solidFill>
                <a:schemeClr val="accent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1100"/>
            </a:p>
          </xdr:txBody>
        </xdr:sp>
        <xdr:sp macro="" textlink="">
          <xdr:nvSpPr>
            <xdr:cNvPr id="187" name="Shape 187" descr="...and find the character position number of...">
              <a:extLst>
                <a:ext uri="{FF2B5EF4-FFF2-40B4-BE49-F238E27FC236}">
                  <a16:creationId xmlns:a16="http://schemas.microsoft.com/office/drawing/2014/main" id="{00000000-0008-0000-0200-0000BB000000}"/>
                </a:ext>
              </a:extLst>
            </xdr:cNvPr>
            <xdr:cNvSpPr txBox="1"/>
          </xdr:nvSpPr>
          <xdr:spPr>
            <a:xfrm>
              <a:off x="7009481" y="13736320"/>
              <a:ext cx="912519" cy="1037069"/>
            </a:xfrm>
            <a:prstGeom prst="rect">
              <a:avLst/>
            </a:prstGeom>
            <a:solidFill>
              <a:srgbClr val="E1EFD8"/>
            </a:solidFill>
            <a:ln>
              <a:noFill/>
            </a:ln>
          </xdr:spPr>
          <xdr:txBody>
            <a:bodyPr spcFirstLastPara="1" wrap="square" lIns="91425" tIns="45700" rIns="91425" bIns="45700" anchor="t" anchorCtr="0">
              <a:noAutofit/>
            </a:bodyPr>
            <a:lstStyle/>
            <a:p>
              <a:pPr marL="0" marR="0" lvl="0" indent="0" algn="l" rtl="0">
                <a:lnSpc>
                  <a:spcPct val="107000"/>
                </a:lnSpc>
                <a:spcBef>
                  <a:spcPts val="0"/>
                </a:spcBef>
                <a:spcAft>
                  <a:spcPts val="0"/>
                </a:spcAft>
                <a:buNone/>
              </a:pPr>
              <a:r>
                <a:rPr lang="en-US" sz="1100">
                  <a:latin typeface="Calibri"/>
                  <a:ea typeface="Calibri"/>
                  <a:cs typeface="Calibri"/>
                  <a:sym typeface="Calibri"/>
                </a:rPr>
                <a:t>...and find the character position number of...</a:t>
              </a:r>
              <a:endParaRPr sz="1100">
                <a:latin typeface="Calibri"/>
                <a:ea typeface="Calibri"/>
                <a:cs typeface="Calibri"/>
                <a:sym typeface="Calibri"/>
              </a:endParaRPr>
            </a:p>
            <a:p>
              <a:pPr marL="0" marR="0" lvl="0" indent="0" algn="l" rtl="0">
                <a:lnSpc>
                  <a:spcPct val="107000"/>
                </a:lnSpc>
                <a:spcBef>
                  <a:spcPts val="800"/>
                </a:spcBef>
                <a:spcAft>
                  <a:spcPts val="0"/>
                </a:spcAft>
                <a:buNone/>
              </a:pPr>
              <a:r>
                <a:rPr lang="en-US" sz="1100">
                  <a:latin typeface="Calibri"/>
                  <a:ea typeface="Calibri"/>
                  <a:cs typeface="Calibri"/>
                  <a:sym typeface="Calibri"/>
                </a:rPr>
                <a:t> </a:t>
              </a:r>
              <a:endParaRPr sz="1400"/>
            </a:p>
          </xdr:txBody>
        </xdr:sp>
        <xdr:sp macro="" textlink="">
          <xdr:nvSpPr>
            <xdr:cNvPr id="188" name="Shape 188" descr="Bracket line">
              <a:extLst>
                <a:ext uri="{FF2B5EF4-FFF2-40B4-BE49-F238E27FC236}">
                  <a16:creationId xmlns:a16="http://schemas.microsoft.com/office/drawing/2014/main" id="{00000000-0008-0000-0200-0000BC000000}"/>
                </a:ext>
              </a:extLst>
            </xdr:cNvPr>
            <xdr:cNvSpPr/>
          </xdr:nvSpPr>
          <xdr:spPr>
            <a:xfrm rot="-5400000">
              <a:off x="7771307" y="13395726"/>
              <a:ext cx="229093" cy="430056"/>
            </a:xfrm>
            <a:prstGeom prst="leftBrace">
              <a:avLst>
                <a:gd name="adj1" fmla="val 8333"/>
                <a:gd name="adj2" fmla="val 50000"/>
              </a:avLst>
            </a:prstGeom>
            <a:noFill/>
            <a:ln w="9525" cap="flat" cmpd="sng">
              <a:solidFill>
                <a:schemeClr val="accent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1100"/>
            </a:p>
          </xdr:txBody>
        </xdr:sp>
        <xdr:sp macro="" textlink="">
          <xdr:nvSpPr>
            <xdr:cNvPr id="189" name="Shape 189" descr="... the first space...">
              <a:extLst>
                <a:ext uri="{FF2B5EF4-FFF2-40B4-BE49-F238E27FC236}">
                  <a16:creationId xmlns:a16="http://schemas.microsoft.com/office/drawing/2014/main" id="{00000000-0008-0000-0200-0000BD000000}"/>
                </a:ext>
              </a:extLst>
            </xdr:cNvPr>
            <xdr:cNvSpPr txBox="1"/>
          </xdr:nvSpPr>
          <xdr:spPr>
            <a:xfrm>
              <a:off x="7953451" y="13736322"/>
              <a:ext cx="601987" cy="1037068"/>
            </a:xfrm>
            <a:prstGeom prst="rect">
              <a:avLst/>
            </a:prstGeom>
            <a:solidFill>
              <a:srgbClr val="E1EFD8"/>
            </a:solidFill>
            <a:ln>
              <a:noFill/>
            </a:ln>
          </xdr:spPr>
          <xdr:txBody>
            <a:bodyPr spcFirstLastPara="1" wrap="square" lIns="91425" tIns="45700" rIns="91425" bIns="45700" anchor="t" anchorCtr="0">
              <a:noAutofit/>
            </a:bodyPr>
            <a:lstStyle/>
            <a:p>
              <a:pPr marL="0" marR="0" lvl="0" indent="0" algn="l" rtl="0">
                <a:lnSpc>
                  <a:spcPct val="107000"/>
                </a:lnSpc>
                <a:spcBef>
                  <a:spcPts val="0"/>
                </a:spcBef>
                <a:spcAft>
                  <a:spcPts val="0"/>
                </a:spcAft>
                <a:buNone/>
              </a:pPr>
              <a:r>
                <a:rPr lang="en-US" sz="1100">
                  <a:latin typeface="Calibri"/>
                  <a:ea typeface="Calibri"/>
                  <a:cs typeface="Calibri"/>
                  <a:sym typeface="Calibri"/>
                </a:rPr>
                <a:t>... the first space...</a:t>
              </a:r>
              <a:endParaRPr sz="1400"/>
            </a:p>
            <a:p>
              <a:pPr marL="0" marR="0" lvl="0" indent="0" algn="l" rtl="0">
                <a:lnSpc>
                  <a:spcPct val="107000"/>
                </a:lnSpc>
                <a:spcBef>
                  <a:spcPts val="800"/>
                </a:spcBef>
                <a:spcAft>
                  <a:spcPts val="0"/>
                </a:spcAft>
                <a:buNone/>
              </a:pPr>
              <a:r>
                <a:rPr lang="en-US" sz="1100">
                  <a:latin typeface="Calibri"/>
                  <a:ea typeface="Calibri"/>
                  <a:cs typeface="Calibri"/>
                  <a:sym typeface="Calibri"/>
                </a:rPr>
                <a:t> </a:t>
              </a:r>
              <a:endParaRPr sz="1400"/>
            </a:p>
          </xdr:txBody>
        </xdr:sp>
        <xdr:sp macro="" textlink="">
          <xdr:nvSpPr>
            <xdr:cNvPr id="190" name="Shape 190" descr="Bracket line">
              <a:extLst>
                <a:ext uri="{FF2B5EF4-FFF2-40B4-BE49-F238E27FC236}">
                  <a16:creationId xmlns:a16="http://schemas.microsoft.com/office/drawing/2014/main" id="{00000000-0008-0000-0200-0000BE000000}"/>
                </a:ext>
              </a:extLst>
            </xdr:cNvPr>
            <xdr:cNvSpPr/>
          </xdr:nvSpPr>
          <xdr:spPr>
            <a:xfrm rot="-5400000">
              <a:off x="8331305" y="13444728"/>
              <a:ext cx="229093" cy="332054"/>
            </a:xfrm>
            <a:prstGeom prst="leftBrace">
              <a:avLst>
                <a:gd name="adj1" fmla="val 8333"/>
                <a:gd name="adj2" fmla="val 50000"/>
              </a:avLst>
            </a:prstGeom>
            <a:noFill/>
            <a:ln w="9525" cap="flat" cmpd="sng">
              <a:solidFill>
                <a:schemeClr val="accent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1100"/>
            </a:p>
          </xdr:txBody>
        </xdr:sp>
        <xdr:sp macro="" textlink="">
          <xdr:nvSpPr>
            <xdr:cNvPr id="191" name="Shape 191" descr="...in this cell">
              <a:extLst>
                <a:ext uri="{FF2B5EF4-FFF2-40B4-BE49-F238E27FC236}">
                  <a16:creationId xmlns:a16="http://schemas.microsoft.com/office/drawing/2014/main" id="{00000000-0008-0000-0200-0000BF000000}"/>
                </a:ext>
              </a:extLst>
            </xdr:cNvPr>
            <xdr:cNvSpPr txBox="1"/>
          </xdr:nvSpPr>
          <xdr:spPr>
            <a:xfrm>
              <a:off x="8586178" y="13736322"/>
              <a:ext cx="438356" cy="1037068"/>
            </a:xfrm>
            <a:prstGeom prst="rect">
              <a:avLst/>
            </a:prstGeom>
            <a:solidFill>
              <a:srgbClr val="E1EFD8"/>
            </a:solidFill>
            <a:ln>
              <a:noFill/>
            </a:ln>
          </xdr:spPr>
          <xdr:txBody>
            <a:bodyPr spcFirstLastPara="1" wrap="square" lIns="91425" tIns="45700" rIns="91425" bIns="45700" anchor="t" anchorCtr="0">
              <a:noAutofit/>
            </a:bodyPr>
            <a:lstStyle/>
            <a:p>
              <a:pPr marL="0" marR="0" lvl="0" indent="0" algn="l" rtl="0">
                <a:lnSpc>
                  <a:spcPct val="107000"/>
                </a:lnSpc>
                <a:spcBef>
                  <a:spcPts val="0"/>
                </a:spcBef>
                <a:spcAft>
                  <a:spcPts val="0"/>
                </a:spcAft>
                <a:buNone/>
              </a:pPr>
              <a:r>
                <a:rPr lang="en-US" sz="1100">
                  <a:latin typeface="Calibri"/>
                  <a:ea typeface="Calibri"/>
                  <a:cs typeface="Calibri"/>
                  <a:sym typeface="Calibri"/>
                </a:rPr>
                <a:t>...in this cell.</a:t>
              </a:r>
              <a:endParaRPr sz="1100">
                <a:latin typeface="Calibri"/>
                <a:ea typeface="Calibri"/>
                <a:cs typeface="Calibri"/>
                <a:sym typeface="Calibri"/>
              </a:endParaRPr>
            </a:p>
            <a:p>
              <a:pPr marL="0" marR="0" lvl="0" indent="0" algn="l" rtl="0">
                <a:lnSpc>
                  <a:spcPct val="107000"/>
                </a:lnSpc>
                <a:spcBef>
                  <a:spcPts val="800"/>
                </a:spcBef>
                <a:spcAft>
                  <a:spcPts val="0"/>
                </a:spcAft>
                <a:buNone/>
              </a:pPr>
              <a:r>
                <a:rPr lang="en-US" sz="1100">
                  <a:latin typeface="Calibri"/>
                  <a:ea typeface="Calibri"/>
                  <a:cs typeface="Calibri"/>
                  <a:sym typeface="Calibri"/>
                </a:rPr>
                <a:t> </a:t>
              </a:r>
              <a:endParaRPr sz="1400"/>
            </a:p>
          </xdr:txBody>
        </xdr:sp>
        <xdr:sp macro="" textlink="">
          <xdr:nvSpPr>
            <xdr:cNvPr id="192" name="Shape 192" descr="Bracket line">
              <a:extLst>
                <a:ext uri="{FF2B5EF4-FFF2-40B4-BE49-F238E27FC236}">
                  <a16:creationId xmlns:a16="http://schemas.microsoft.com/office/drawing/2014/main" id="{00000000-0008-0000-0200-0000C0000000}"/>
                </a:ext>
              </a:extLst>
            </xdr:cNvPr>
            <xdr:cNvSpPr/>
          </xdr:nvSpPr>
          <xdr:spPr>
            <a:xfrm rot="-5400000">
              <a:off x="8777251" y="13442703"/>
              <a:ext cx="229093" cy="374194"/>
            </a:xfrm>
            <a:prstGeom prst="leftBrace">
              <a:avLst>
                <a:gd name="adj1" fmla="val 8333"/>
                <a:gd name="adj2" fmla="val 50000"/>
              </a:avLst>
            </a:prstGeom>
            <a:noFill/>
            <a:ln w="9525" cap="flat" cmpd="sng">
              <a:solidFill>
                <a:schemeClr val="accent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1100"/>
            </a:p>
          </xdr:txBody>
        </xdr:sp>
        <xdr:sp macro="" textlink="">
          <xdr:nvSpPr>
            <xdr:cNvPr id="193" name="Shape 193" descr="...then subtract 1 to exclude the space itself">
              <a:extLst>
                <a:ext uri="{FF2B5EF4-FFF2-40B4-BE49-F238E27FC236}">
                  <a16:creationId xmlns:a16="http://schemas.microsoft.com/office/drawing/2014/main" id="{00000000-0008-0000-0200-0000C1000000}"/>
                </a:ext>
              </a:extLst>
            </xdr:cNvPr>
            <xdr:cNvSpPr txBox="1"/>
          </xdr:nvSpPr>
          <xdr:spPr>
            <a:xfrm>
              <a:off x="9049136" y="13734331"/>
              <a:ext cx="777067" cy="1035162"/>
            </a:xfrm>
            <a:prstGeom prst="rect">
              <a:avLst/>
            </a:prstGeom>
            <a:solidFill>
              <a:srgbClr val="DDEAF6"/>
            </a:solidFill>
            <a:ln>
              <a:noFill/>
            </a:ln>
          </xdr:spPr>
          <xdr:txBody>
            <a:bodyPr spcFirstLastPara="1" wrap="square" lIns="91425" tIns="45700" rIns="91425" bIns="45700" anchor="t" anchorCtr="0">
              <a:noAutofit/>
            </a:bodyPr>
            <a:lstStyle/>
            <a:p>
              <a:pPr marL="0" marR="0" lvl="0" indent="0" algn="l" rtl="0">
                <a:lnSpc>
                  <a:spcPct val="107000"/>
                </a:lnSpc>
                <a:spcBef>
                  <a:spcPts val="0"/>
                </a:spcBef>
                <a:spcAft>
                  <a:spcPts val="0"/>
                </a:spcAft>
                <a:buNone/>
              </a:pPr>
              <a:r>
                <a:rPr lang="en-US" sz="1100">
                  <a:latin typeface="Calibri"/>
                  <a:ea typeface="Calibri"/>
                  <a:cs typeface="Calibri"/>
                  <a:sym typeface="Calibri"/>
                </a:rPr>
                <a:t>...then subtract 1 to exclude the space itself.</a:t>
              </a:r>
              <a:endParaRPr sz="1400"/>
            </a:p>
            <a:p>
              <a:pPr marL="0" marR="0" lvl="0" indent="0" algn="l" rtl="0">
                <a:lnSpc>
                  <a:spcPct val="107000"/>
                </a:lnSpc>
                <a:spcBef>
                  <a:spcPts val="800"/>
                </a:spcBef>
                <a:spcAft>
                  <a:spcPts val="0"/>
                </a:spcAft>
                <a:buNone/>
              </a:pPr>
              <a:r>
                <a:rPr lang="en-US" sz="1100">
                  <a:latin typeface="Calibri"/>
                  <a:ea typeface="Calibri"/>
                  <a:cs typeface="Calibri"/>
                  <a:sym typeface="Calibri"/>
                </a:rPr>
                <a:t> </a:t>
              </a:r>
              <a:endParaRPr sz="1400"/>
            </a:p>
          </xdr:txBody>
        </xdr:sp>
        <xdr:sp macro="" textlink="">
          <xdr:nvSpPr>
            <xdr:cNvPr id="194" name="Shape 194" descr="Bracket line">
              <a:extLst>
                <a:ext uri="{FF2B5EF4-FFF2-40B4-BE49-F238E27FC236}">
                  <a16:creationId xmlns:a16="http://schemas.microsoft.com/office/drawing/2014/main" id="{00000000-0008-0000-0200-0000C2000000}"/>
                </a:ext>
              </a:extLst>
            </xdr:cNvPr>
            <xdr:cNvSpPr/>
          </xdr:nvSpPr>
          <xdr:spPr>
            <a:xfrm rot="5400000" flipH="1">
              <a:off x="9198819" y="13500103"/>
              <a:ext cx="229093" cy="221308"/>
            </a:xfrm>
            <a:prstGeom prst="leftBrace">
              <a:avLst>
                <a:gd name="adj1" fmla="val 8333"/>
                <a:gd name="adj2" fmla="val 26922"/>
              </a:avLst>
            </a:prstGeom>
            <a:noFill/>
            <a:ln w="9525" cap="flat" cmpd="sng">
              <a:solidFill>
                <a:schemeClr val="accent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1100"/>
            </a:p>
          </xdr:txBody>
        </xdr:sp>
        <xdr:sp macro="" textlink="">
          <xdr:nvSpPr>
            <xdr:cNvPr id="195" name="Shape 195" descr="Bracket line">
              <a:extLst>
                <a:ext uri="{FF2B5EF4-FFF2-40B4-BE49-F238E27FC236}">
                  <a16:creationId xmlns:a16="http://schemas.microsoft.com/office/drawing/2014/main" id="{00000000-0008-0000-0200-0000C3000000}"/>
                </a:ext>
              </a:extLst>
            </xdr:cNvPr>
            <xdr:cNvSpPr/>
          </xdr:nvSpPr>
          <xdr:spPr>
            <a:xfrm>
              <a:off x="6800850" y="11658600"/>
              <a:ext cx="2993066" cy="205863"/>
            </a:xfrm>
            <a:custGeom>
              <a:avLst/>
              <a:gdLst/>
              <a:ahLst/>
              <a:cxnLst/>
              <a:rect l="l" t="t" r="r" b="b"/>
              <a:pathLst>
                <a:path w="1629276" h="286057" extrusionOk="0">
                  <a:moveTo>
                    <a:pt x="1629276" y="0"/>
                  </a:moveTo>
                  <a:lnTo>
                    <a:pt x="1629276" y="140368"/>
                  </a:lnTo>
                  <a:lnTo>
                    <a:pt x="0" y="140368"/>
                  </a:lnTo>
                  <a:lnTo>
                    <a:pt x="0" y="286057"/>
                  </a:lnTo>
                </a:path>
              </a:pathLst>
            </a:custGeom>
            <a:noFill/>
            <a:ln w="19050" cap="flat" cmpd="sng">
              <a:solidFill>
                <a:srgbClr val="B5D2EC"/>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lt1"/>
                </a:solidFill>
                <a:latin typeface="Calibri"/>
                <a:ea typeface="Calibri"/>
                <a:cs typeface="Calibri"/>
                <a:sym typeface="Calibri"/>
              </a:endParaRPr>
            </a:p>
          </xdr:txBody>
        </xdr:sp>
        <xdr:sp macro="" textlink="">
          <xdr:nvSpPr>
            <xdr:cNvPr id="196" name="Shape 196" descr="Bracket line">
              <a:extLst>
                <a:ext uri="{FF2B5EF4-FFF2-40B4-BE49-F238E27FC236}">
                  <a16:creationId xmlns:a16="http://schemas.microsoft.com/office/drawing/2014/main" id="{00000000-0008-0000-0200-0000C4000000}"/>
                </a:ext>
              </a:extLst>
            </xdr:cNvPr>
            <xdr:cNvSpPr/>
          </xdr:nvSpPr>
          <xdr:spPr>
            <a:xfrm rot="5400000">
              <a:off x="9960393" y="12866085"/>
              <a:ext cx="216320" cy="635290"/>
            </a:xfrm>
            <a:prstGeom prst="leftBrace">
              <a:avLst>
                <a:gd name="adj1" fmla="val 8333"/>
                <a:gd name="adj2" fmla="val 50000"/>
              </a:avLst>
            </a:prstGeom>
            <a:noFill/>
            <a:ln w="9525" cap="flat" cmpd="sng">
              <a:solidFill>
                <a:schemeClr val="accent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1100"/>
            </a:p>
          </xdr:txBody>
        </xdr:sp>
        <xdr:sp macro="" textlink="">
          <xdr:nvSpPr>
            <xdr:cNvPr id="197" name="Shape 197">
              <a:extLst>
                <a:ext uri="{FF2B5EF4-FFF2-40B4-BE49-F238E27FC236}">
                  <a16:creationId xmlns:a16="http://schemas.microsoft.com/office/drawing/2014/main" id="{00000000-0008-0000-0200-0000C5000000}"/>
                </a:ext>
              </a:extLst>
            </xdr:cNvPr>
            <xdr:cNvSpPr txBox="1"/>
          </xdr:nvSpPr>
          <xdr:spPr>
            <a:xfrm>
              <a:off x="9725712" y="12063158"/>
              <a:ext cx="828641" cy="1013444"/>
            </a:xfrm>
            <a:prstGeom prst="rect">
              <a:avLst/>
            </a:prstGeom>
            <a:solidFill>
              <a:srgbClr val="DDEAF6"/>
            </a:solidFill>
            <a:ln>
              <a:noFill/>
            </a:ln>
          </xdr:spPr>
          <xdr:txBody>
            <a:bodyPr spcFirstLastPara="1" wrap="square" lIns="91425" tIns="45700" rIns="91425" bIns="45700" anchor="t" anchorCtr="0">
              <a:noAutofit/>
            </a:bodyPr>
            <a:lstStyle/>
            <a:p>
              <a:pPr marL="0" marR="0" lvl="0" indent="0" algn="l" rtl="0">
                <a:lnSpc>
                  <a:spcPct val="107000"/>
                </a:lnSpc>
                <a:spcBef>
                  <a:spcPts val="0"/>
                </a:spcBef>
                <a:spcAft>
                  <a:spcPts val="0"/>
                </a:spcAft>
                <a:buNone/>
              </a:pPr>
              <a:r>
                <a:rPr lang="en-US" sz="1100">
                  <a:latin typeface="Calibri"/>
                  <a:ea typeface="Calibri"/>
                  <a:cs typeface="Calibri"/>
                  <a:sym typeface="Calibri"/>
                </a:rPr>
                <a:t>Extract characters from the right side of...</a:t>
              </a:r>
              <a:endParaRPr sz="1100">
                <a:latin typeface="Calibri"/>
                <a:ea typeface="Calibri"/>
                <a:cs typeface="Calibri"/>
                <a:sym typeface="Calibri"/>
              </a:endParaRPr>
            </a:p>
          </xdr:txBody>
        </xdr:sp>
        <xdr:sp macro="" textlink="">
          <xdr:nvSpPr>
            <xdr:cNvPr id="198" name="Shape 198" descr="Bracket line">
              <a:extLst>
                <a:ext uri="{FF2B5EF4-FFF2-40B4-BE49-F238E27FC236}">
                  <a16:creationId xmlns:a16="http://schemas.microsoft.com/office/drawing/2014/main" id="{00000000-0008-0000-0200-0000C6000000}"/>
                </a:ext>
              </a:extLst>
            </xdr:cNvPr>
            <xdr:cNvSpPr/>
          </xdr:nvSpPr>
          <xdr:spPr>
            <a:xfrm rot="5400000">
              <a:off x="10600586" y="13005427"/>
              <a:ext cx="245051" cy="365968"/>
            </a:xfrm>
            <a:prstGeom prst="leftBrace">
              <a:avLst>
                <a:gd name="adj1" fmla="val 8333"/>
                <a:gd name="adj2" fmla="val 50000"/>
              </a:avLst>
            </a:prstGeom>
            <a:noFill/>
            <a:ln w="9525" cap="flat" cmpd="sng">
              <a:solidFill>
                <a:schemeClr val="accent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1100"/>
            </a:p>
          </xdr:txBody>
        </xdr:sp>
        <xdr:sp macro="" textlink="">
          <xdr:nvSpPr>
            <xdr:cNvPr id="199" name="Shape 199" descr="…this cell...">
              <a:extLst>
                <a:ext uri="{FF2B5EF4-FFF2-40B4-BE49-F238E27FC236}">
                  <a16:creationId xmlns:a16="http://schemas.microsoft.com/office/drawing/2014/main" id="{00000000-0008-0000-0200-0000C7000000}"/>
                </a:ext>
              </a:extLst>
            </xdr:cNvPr>
            <xdr:cNvSpPr txBox="1"/>
          </xdr:nvSpPr>
          <xdr:spPr>
            <a:xfrm>
              <a:off x="10600421" y="12062332"/>
              <a:ext cx="657313" cy="1010481"/>
            </a:xfrm>
            <a:prstGeom prst="rect">
              <a:avLst/>
            </a:prstGeom>
            <a:solidFill>
              <a:srgbClr val="DDEAF6"/>
            </a:solidFill>
            <a:ln>
              <a:noFill/>
            </a:ln>
          </xdr:spPr>
          <xdr:txBody>
            <a:bodyPr spcFirstLastPara="1" wrap="square" lIns="91425" tIns="45700" rIns="91425" bIns="45700" anchor="t" anchorCtr="0">
              <a:noAutofit/>
            </a:bodyPr>
            <a:lstStyle/>
            <a:p>
              <a:pPr marL="0" marR="0" lvl="0" indent="0" algn="l" rtl="0">
                <a:lnSpc>
                  <a:spcPct val="107000"/>
                </a:lnSpc>
                <a:spcBef>
                  <a:spcPts val="0"/>
                </a:spcBef>
                <a:spcAft>
                  <a:spcPts val="0"/>
                </a:spcAft>
                <a:buNone/>
              </a:pPr>
              <a:r>
                <a:rPr lang="en-US" sz="1100">
                  <a:latin typeface="Calibri"/>
                  <a:ea typeface="Calibri"/>
                  <a:cs typeface="Calibri"/>
                  <a:sym typeface="Calibri"/>
                </a:rPr>
                <a:t>…this cell...</a:t>
              </a:r>
              <a:endParaRPr sz="1400"/>
            </a:p>
          </xdr:txBody>
        </xdr:sp>
        <xdr:sp macro="" textlink="">
          <xdr:nvSpPr>
            <xdr:cNvPr id="200" name="Shape 200" descr="...and extract this many characters. To specify the number of characters, use the LEN function...">
              <a:extLst>
                <a:ext uri="{FF2B5EF4-FFF2-40B4-BE49-F238E27FC236}">
                  <a16:creationId xmlns:a16="http://schemas.microsoft.com/office/drawing/2014/main" id="{00000000-0008-0000-0200-0000C8000000}"/>
                </a:ext>
              </a:extLst>
            </xdr:cNvPr>
            <xdr:cNvSpPr txBox="1"/>
          </xdr:nvSpPr>
          <xdr:spPr>
            <a:xfrm>
              <a:off x="11305911" y="12062328"/>
              <a:ext cx="3208574" cy="1010484"/>
            </a:xfrm>
            <a:prstGeom prst="rect">
              <a:avLst/>
            </a:prstGeom>
            <a:solidFill>
              <a:srgbClr val="DDEAF6"/>
            </a:solidFill>
            <a:ln>
              <a:noFill/>
            </a:ln>
          </xdr:spPr>
          <xdr:txBody>
            <a:bodyPr spcFirstLastPara="1" wrap="square" lIns="91425" tIns="45700" rIns="91425" bIns="45700" anchor="t" anchorCtr="0">
              <a:noAutofit/>
            </a:bodyPr>
            <a:lstStyle/>
            <a:p>
              <a:pPr marL="0" marR="0" lvl="0" indent="0" algn="l" rtl="0">
                <a:lnSpc>
                  <a:spcPct val="107000"/>
                </a:lnSpc>
                <a:spcBef>
                  <a:spcPts val="0"/>
                </a:spcBef>
                <a:spcAft>
                  <a:spcPts val="0"/>
                </a:spcAft>
                <a:buNone/>
              </a:pPr>
              <a:r>
                <a:rPr lang="en-US" sz="1100">
                  <a:latin typeface="Calibri"/>
                  <a:ea typeface="Calibri"/>
                  <a:cs typeface="Calibri"/>
                  <a:sym typeface="Calibri"/>
                </a:rPr>
                <a:t>...and extract this many characters. To specify the number of characters, use the LEN function...</a:t>
              </a:r>
              <a:endParaRPr sz="1100">
                <a:latin typeface="Calibri"/>
                <a:ea typeface="Calibri"/>
                <a:cs typeface="Calibri"/>
                <a:sym typeface="Calibri"/>
              </a:endParaRPr>
            </a:p>
            <a:p>
              <a:pPr marL="0" marR="0" lvl="0" indent="0" algn="l" rtl="0">
                <a:lnSpc>
                  <a:spcPct val="107000"/>
                </a:lnSpc>
                <a:spcBef>
                  <a:spcPts val="800"/>
                </a:spcBef>
                <a:spcAft>
                  <a:spcPts val="0"/>
                </a:spcAft>
                <a:buNone/>
              </a:pPr>
              <a:r>
                <a:rPr lang="en-US" sz="1100">
                  <a:latin typeface="Calibri"/>
                  <a:ea typeface="Calibri"/>
                  <a:cs typeface="Calibri"/>
                  <a:sym typeface="Calibri"/>
                </a:rPr>
                <a:t> </a:t>
              </a:r>
              <a:endParaRPr sz="1400"/>
            </a:p>
          </xdr:txBody>
        </xdr:sp>
        <xdr:sp macro="" textlink="">
          <xdr:nvSpPr>
            <xdr:cNvPr id="201" name="Shape 201" descr="Bracket line">
              <a:extLst>
                <a:ext uri="{FF2B5EF4-FFF2-40B4-BE49-F238E27FC236}">
                  <a16:creationId xmlns:a16="http://schemas.microsoft.com/office/drawing/2014/main" id="{00000000-0008-0000-0200-0000C9000000}"/>
                </a:ext>
              </a:extLst>
            </xdr:cNvPr>
            <xdr:cNvSpPr/>
          </xdr:nvSpPr>
          <xdr:spPr>
            <a:xfrm rot="5400000">
              <a:off x="12393036" y="11712541"/>
              <a:ext cx="219905" cy="2938786"/>
            </a:xfrm>
            <a:prstGeom prst="leftBrace">
              <a:avLst>
                <a:gd name="adj1" fmla="val 8333"/>
                <a:gd name="adj2" fmla="val 50000"/>
              </a:avLst>
            </a:prstGeom>
            <a:noFill/>
            <a:ln w="9525" cap="flat" cmpd="sng">
              <a:solidFill>
                <a:schemeClr val="accent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1100"/>
            </a:p>
          </xdr:txBody>
        </xdr:sp>
        <xdr:sp macro="" textlink="">
          <xdr:nvSpPr>
            <xdr:cNvPr id="202" name="Shape 202" descr="=RIGHT(C56,LEN(C56)-FIND(&quot; &quot;,C56))">
              <a:extLst>
                <a:ext uri="{FF2B5EF4-FFF2-40B4-BE49-F238E27FC236}">
                  <a16:creationId xmlns:a16="http://schemas.microsoft.com/office/drawing/2014/main" id="{00000000-0008-0000-0200-0000CA000000}"/>
                </a:ext>
              </a:extLst>
            </xdr:cNvPr>
            <xdr:cNvSpPr txBox="1"/>
          </xdr:nvSpPr>
          <xdr:spPr>
            <a:xfrm>
              <a:off x="9508487" y="13242323"/>
              <a:ext cx="5895974" cy="911212"/>
            </a:xfrm>
            <a:prstGeom prst="rect">
              <a:avLst/>
            </a:prstGeom>
            <a:noFill/>
            <a:ln>
              <a:noFill/>
            </a:ln>
          </xdr:spPr>
          <xdr:txBody>
            <a:bodyPr spcFirstLastPara="1" wrap="square" lIns="91425" tIns="45700" rIns="91425" bIns="45700" anchor="t" anchorCtr="0">
              <a:noAutofit/>
            </a:bodyPr>
            <a:lstStyle/>
            <a:p>
              <a:pPr marL="0" marR="0" lvl="0" indent="0" algn="l" rtl="0">
                <a:spcBef>
                  <a:spcPts val="0"/>
                </a:spcBef>
                <a:spcAft>
                  <a:spcPts val="0"/>
                </a:spcAft>
                <a:buNone/>
              </a:pPr>
              <a:r>
                <a:rPr lang="en-US" sz="1600" b="1">
                  <a:solidFill>
                    <a:srgbClr val="000000"/>
                  </a:solidFill>
                  <a:latin typeface="Courier New"/>
                  <a:ea typeface="Courier New"/>
                  <a:cs typeface="Courier New"/>
                  <a:sym typeface="Courier New"/>
                </a:rPr>
                <a:t>=RIGHT(C56,LEN(C56)-FIND(" ",C56))</a:t>
              </a:r>
              <a:endParaRPr sz="1600" b="1">
                <a:latin typeface="Times New Roman"/>
                <a:ea typeface="Times New Roman"/>
                <a:cs typeface="Times New Roman"/>
                <a:sym typeface="Times New Roman"/>
              </a:endParaRPr>
            </a:p>
          </xdr:txBody>
        </xdr:sp>
        <xdr:sp macro="" textlink="">
          <xdr:nvSpPr>
            <xdr:cNvPr id="203" name="Shape 203">
              <a:extLst>
                <a:ext uri="{FF2B5EF4-FFF2-40B4-BE49-F238E27FC236}">
                  <a16:creationId xmlns:a16="http://schemas.microsoft.com/office/drawing/2014/main" id="{00000000-0008-0000-0200-0000CB000000}"/>
                </a:ext>
              </a:extLst>
            </xdr:cNvPr>
            <xdr:cNvSpPr txBox="1"/>
          </xdr:nvSpPr>
          <xdr:spPr>
            <a:xfrm>
              <a:off x="10076989" y="13759769"/>
              <a:ext cx="1188694" cy="1037069"/>
            </a:xfrm>
            <a:prstGeom prst="rect">
              <a:avLst/>
            </a:prstGeom>
            <a:solidFill>
              <a:srgbClr val="E1EFD8"/>
            </a:solidFill>
            <a:ln>
              <a:noFill/>
            </a:ln>
          </xdr:spPr>
          <xdr:txBody>
            <a:bodyPr spcFirstLastPara="1" wrap="square" lIns="91425" tIns="45700" rIns="91425" bIns="45700" anchor="t" anchorCtr="0">
              <a:noAutofit/>
            </a:bodyPr>
            <a:lstStyle/>
            <a:p>
              <a:pPr marL="0" marR="0" lvl="0" indent="0" algn="l" rtl="0">
                <a:lnSpc>
                  <a:spcPct val="107000"/>
                </a:lnSpc>
                <a:spcBef>
                  <a:spcPts val="0"/>
                </a:spcBef>
                <a:spcAft>
                  <a:spcPts val="0"/>
                </a:spcAft>
                <a:buNone/>
              </a:pPr>
              <a:r>
                <a:rPr lang="en-US" sz="1100">
                  <a:latin typeface="Calibri"/>
                  <a:ea typeface="Calibri"/>
                  <a:cs typeface="Calibri"/>
                  <a:sym typeface="Calibri"/>
                </a:rPr>
                <a:t>...and get the count of characters (character length) of... </a:t>
              </a:r>
              <a:endParaRPr sz="1400"/>
            </a:p>
          </xdr:txBody>
        </xdr:sp>
        <xdr:sp macro="" textlink="">
          <xdr:nvSpPr>
            <xdr:cNvPr id="204" name="Shape 204" descr="Bracket line">
              <a:extLst>
                <a:ext uri="{FF2B5EF4-FFF2-40B4-BE49-F238E27FC236}">
                  <a16:creationId xmlns:a16="http://schemas.microsoft.com/office/drawing/2014/main" id="{00000000-0008-0000-0200-0000CC000000}"/>
                </a:ext>
              </a:extLst>
            </xdr:cNvPr>
            <xdr:cNvSpPr/>
          </xdr:nvSpPr>
          <xdr:spPr>
            <a:xfrm rot="-5400000">
              <a:off x="11097873" y="13456113"/>
              <a:ext cx="248484" cy="356508"/>
            </a:xfrm>
            <a:prstGeom prst="leftBrace">
              <a:avLst>
                <a:gd name="adj1" fmla="val 8333"/>
                <a:gd name="adj2" fmla="val 50000"/>
              </a:avLst>
            </a:prstGeom>
            <a:noFill/>
            <a:ln w="9525" cap="flat" cmpd="sng">
              <a:solidFill>
                <a:schemeClr val="accent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1100"/>
            </a:p>
          </xdr:txBody>
        </xdr:sp>
        <xdr:sp macro="" textlink="">
          <xdr:nvSpPr>
            <xdr:cNvPr id="205" name="Shape 205" descr="...this cell...">
              <a:extLst>
                <a:ext uri="{FF2B5EF4-FFF2-40B4-BE49-F238E27FC236}">
                  <a16:creationId xmlns:a16="http://schemas.microsoft.com/office/drawing/2014/main" id="{00000000-0008-0000-0200-0000CD000000}"/>
                </a:ext>
              </a:extLst>
            </xdr:cNvPr>
            <xdr:cNvSpPr txBox="1"/>
          </xdr:nvSpPr>
          <xdr:spPr>
            <a:xfrm>
              <a:off x="11294799" y="13759769"/>
              <a:ext cx="486606" cy="1037069"/>
            </a:xfrm>
            <a:prstGeom prst="rect">
              <a:avLst/>
            </a:prstGeom>
            <a:solidFill>
              <a:srgbClr val="E1EFD8"/>
            </a:solidFill>
            <a:ln>
              <a:noFill/>
            </a:ln>
          </xdr:spPr>
          <xdr:txBody>
            <a:bodyPr spcFirstLastPara="1" wrap="square" lIns="91425" tIns="45700" rIns="91425" bIns="45700" anchor="t" anchorCtr="0">
              <a:noAutofit/>
            </a:bodyPr>
            <a:lstStyle/>
            <a:p>
              <a:pPr marL="0" marR="0" lvl="0" indent="0" algn="l" rtl="0">
                <a:lnSpc>
                  <a:spcPct val="107000"/>
                </a:lnSpc>
                <a:spcBef>
                  <a:spcPts val="0"/>
                </a:spcBef>
                <a:spcAft>
                  <a:spcPts val="0"/>
                </a:spcAft>
                <a:buNone/>
              </a:pPr>
              <a:r>
                <a:rPr lang="en-US" sz="1100">
                  <a:latin typeface="Calibri"/>
                  <a:ea typeface="Calibri"/>
                  <a:cs typeface="Calibri"/>
                  <a:sym typeface="Calibri"/>
                </a:rPr>
                <a:t>...this cell...</a:t>
              </a:r>
              <a:endParaRPr sz="1400"/>
            </a:p>
          </xdr:txBody>
        </xdr:sp>
        <xdr:sp macro="" textlink="">
          <xdr:nvSpPr>
            <xdr:cNvPr id="206" name="Shape 206" descr="Bracket line">
              <a:extLst>
                <a:ext uri="{FF2B5EF4-FFF2-40B4-BE49-F238E27FC236}">
                  <a16:creationId xmlns:a16="http://schemas.microsoft.com/office/drawing/2014/main" id="{00000000-0008-0000-0200-0000CE000000}"/>
                </a:ext>
              </a:extLst>
            </xdr:cNvPr>
            <xdr:cNvSpPr/>
          </xdr:nvSpPr>
          <xdr:spPr>
            <a:xfrm rot="-5400000">
              <a:off x="11609943" y="13456113"/>
              <a:ext cx="248484" cy="356508"/>
            </a:xfrm>
            <a:prstGeom prst="leftBrace">
              <a:avLst>
                <a:gd name="adj1" fmla="val 8333"/>
                <a:gd name="adj2" fmla="val 50000"/>
              </a:avLst>
            </a:prstGeom>
            <a:noFill/>
            <a:ln w="9525" cap="flat" cmpd="sng">
              <a:solidFill>
                <a:schemeClr val="accent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1100"/>
            </a:p>
          </xdr:txBody>
        </xdr:sp>
        <xdr:sp macro="" textlink="">
          <xdr:nvSpPr>
            <xdr:cNvPr id="207" name="Shape 207" descr="...and subtract this number:">
              <a:extLst>
                <a:ext uri="{FF2B5EF4-FFF2-40B4-BE49-F238E27FC236}">
                  <a16:creationId xmlns:a16="http://schemas.microsoft.com/office/drawing/2014/main" id="{00000000-0008-0000-0200-0000CF000000}"/>
                </a:ext>
              </a:extLst>
            </xdr:cNvPr>
            <xdr:cNvSpPr txBox="1"/>
          </xdr:nvSpPr>
          <xdr:spPr>
            <a:xfrm>
              <a:off x="11807191" y="13759769"/>
              <a:ext cx="672747" cy="1037069"/>
            </a:xfrm>
            <a:prstGeom prst="rect">
              <a:avLst/>
            </a:prstGeom>
            <a:solidFill>
              <a:srgbClr val="E1EFD8"/>
            </a:solidFill>
            <a:ln>
              <a:noFill/>
            </a:ln>
          </xdr:spPr>
          <xdr:txBody>
            <a:bodyPr spcFirstLastPara="1" wrap="square" lIns="91425" tIns="45700" rIns="91425" bIns="45700" anchor="t" anchorCtr="0">
              <a:noAutofit/>
            </a:bodyPr>
            <a:lstStyle/>
            <a:p>
              <a:pPr marL="0" marR="0" lvl="0" indent="0" algn="l" rtl="0">
                <a:lnSpc>
                  <a:spcPct val="107000"/>
                </a:lnSpc>
                <a:spcBef>
                  <a:spcPts val="0"/>
                </a:spcBef>
                <a:spcAft>
                  <a:spcPts val="0"/>
                </a:spcAft>
                <a:buNone/>
              </a:pPr>
              <a:r>
                <a:rPr lang="en-US" sz="1100">
                  <a:latin typeface="Calibri"/>
                  <a:ea typeface="Calibri"/>
                  <a:cs typeface="Calibri"/>
                  <a:sym typeface="Calibri"/>
                </a:rPr>
                <a:t>...and subtract this number:</a:t>
              </a:r>
              <a:endParaRPr sz="1400"/>
            </a:p>
          </xdr:txBody>
        </xdr:sp>
        <xdr:sp macro="" textlink="">
          <xdr:nvSpPr>
            <xdr:cNvPr id="208" name="Shape 208" descr="Bracket line">
              <a:extLst>
                <a:ext uri="{FF2B5EF4-FFF2-40B4-BE49-F238E27FC236}">
                  <a16:creationId xmlns:a16="http://schemas.microsoft.com/office/drawing/2014/main" id="{00000000-0008-0000-0200-0000D0000000}"/>
                </a:ext>
              </a:extLst>
            </xdr:cNvPr>
            <xdr:cNvSpPr/>
          </xdr:nvSpPr>
          <xdr:spPr>
            <a:xfrm rot="-5400000">
              <a:off x="12005730" y="13562102"/>
              <a:ext cx="248484" cy="144530"/>
            </a:xfrm>
            <a:prstGeom prst="leftBrace">
              <a:avLst>
                <a:gd name="adj1" fmla="val 8333"/>
                <a:gd name="adj2" fmla="val 50000"/>
              </a:avLst>
            </a:prstGeom>
            <a:noFill/>
            <a:ln w="9525" cap="flat" cmpd="sng">
              <a:solidFill>
                <a:schemeClr val="accent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1100"/>
            </a:p>
          </xdr:txBody>
        </xdr:sp>
        <xdr:sp macro="" textlink="">
          <xdr:nvSpPr>
            <xdr:cNvPr id="209" name="Shape 209" descr="Find the character position number of...">
              <a:extLst>
                <a:ext uri="{FF2B5EF4-FFF2-40B4-BE49-F238E27FC236}">
                  <a16:creationId xmlns:a16="http://schemas.microsoft.com/office/drawing/2014/main" id="{00000000-0008-0000-0200-0000D1000000}"/>
                </a:ext>
              </a:extLst>
            </xdr:cNvPr>
            <xdr:cNvSpPr txBox="1"/>
          </xdr:nvSpPr>
          <xdr:spPr>
            <a:xfrm>
              <a:off x="12509708" y="13759769"/>
              <a:ext cx="726219" cy="1032557"/>
            </a:xfrm>
            <a:prstGeom prst="rect">
              <a:avLst/>
            </a:prstGeom>
            <a:solidFill>
              <a:srgbClr val="E1EFD8"/>
            </a:solidFill>
            <a:ln>
              <a:noFill/>
            </a:ln>
          </xdr:spPr>
          <xdr:txBody>
            <a:bodyPr spcFirstLastPara="1" wrap="square" lIns="91425" tIns="45700" rIns="91425" bIns="45700" anchor="t" anchorCtr="0">
              <a:noAutofit/>
            </a:bodyPr>
            <a:lstStyle/>
            <a:p>
              <a:pPr marL="0" marR="0" lvl="0" indent="0" algn="l" rtl="0">
                <a:lnSpc>
                  <a:spcPct val="107000"/>
                </a:lnSpc>
                <a:spcBef>
                  <a:spcPts val="0"/>
                </a:spcBef>
                <a:spcAft>
                  <a:spcPts val="0"/>
                </a:spcAft>
                <a:buNone/>
              </a:pPr>
              <a:r>
                <a:rPr lang="en-US" sz="1100">
                  <a:latin typeface="Calibri"/>
                  <a:ea typeface="Calibri"/>
                  <a:cs typeface="Calibri"/>
                  <a:sym typeface="Calibri"/>
                </a:rPr>
                <a:t>Find the character position number of...</a:t>
              </a:r>
              <a:endParaRPr sz="1100">
                <a:latin typeface="Calibri"/>
                <a:ea typeface="Calibri"/>
                <a:cs typeface="Calibri"/>
                <a:sym typeface="Calibri"/>
              </a:endParaRPr>
            </a:p>
          </xdr:txBody>
        </xdr:sp>
        <xdr:sp macro="" textlink="">
          <xdr:nvSpPr>
            <xdr:cNvPr id="210" name="Shape 210" descr="Bracket line">
              <a:extLst>
                <a:ext uri="{FF2B5EF4-FFF2-40B4-BE49-F238E27FC236}">
                  <a16:creationId xmlns:a16="http://schemas.microsoft.com/office/drawing/2014/main" id="{00000000-0008-0000-0200-0000D2000000}"/>
                </a:ext>
              </a:extLst>
            </xdr:cNvPr>
            <xdr:cNvSpPr/>
          </xdr:nvSpPr>
          <xdr:spPr>
            <a:xfrm rot="-5400000">
              <a:off x="12372937" y="13369398"/>
              <a:ext cx="248484" cy="529941"/>
            </a:xfrm>
            <a:prstGeom prst="leftBrace">
              <a:avLst>
                <a:gd name="adj1" fmla="val 8333"/>
                <a:gd name="adj2" fmla="val 90001"/>
              </a:avLst>
            </a:prstGeom>
            <a:noFill/>
            <a:ln w="9525" cap="flat" cmpd="sng">
              <a:solidFill>
                <a:schemeClr val="accent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1100"/>
            </a:p>
          </xdr:txBody>
        </xdr:sp>
        <xdr:sp macro="" textlink="">
          <xdr:nvSpPr>
            <xdr:cNvPr id="211" name="Shape 211" descr="...the first space...">
              <a:extLst>
                <a:ext uri="{FF2B5EF4-FFF2-40B4-BE49-F238E27FC236}">
                  <a16:creationId xmlns:a16="http://schemas.microsoft.com/office/drawing/2014/main" id="{00000000-0008-0000-0200-0000D3000000}"/>
                </a:ext>
              </a:extLst>
            </xdr:cNvPr>
            <xdr:cNvSpPr txBox="1"/>
          </xdr:nvSpPr>
          <xdr:spPr>
            <a:xfrm>
              <a:off x="13260295" y="13759769"/>
              <a:ext cx="514253" cy="1037069"/>
            </a:xfrm>
            <a:prstGeom prst="rect">
              <a:avLst/>
            </a:prstGeom>
            <a:solidFill>
              <a:srgbClr val="E1EFD8"/>
            </a:solidFill>
            <a:ln>
              <a:noFill/>
            </a:ln>
          </xdr:spPr>
          <xdr:txBody>
            <a:bodyPr spcFirstLastPara="1" wrap="square" lIns="91425" tIns="45700" rIns="91425" bIns="45700" anchor="t" anchorCtr="0">
              <a:noAutofit/>
            </a:bodyPr>
            <a:lstStyle/>
            <a:p>
              <a:pPr marL="0" marR="0" lvl="0" indent="0" algn="l" rtl="0">
                <a:lnSpc>
                  <a:spcPct val="107000"/>
                </a:lnSpc>
                <a:spcBef>
                  <a:spcPts val="0"/>
                </a:spcBef>
                <a:spcAft>
                  <a:spcPts val="0"/>
                </a:spcAft>
                <a:buNone/>
              </a:pPr>
              <a:r>
                <a:rPr lang="en-US" sz="1100">
                  <a:latin typeface="Calibri"/>
                  <a:ea typeface="Calibri"/>
                  <a:cs typeface="Calibri"/>
                  <a:sym typeface="Calibri"/>
                </a:rPr>
                <a:t>...the first space...</a:t>
              </a:r>
              <a:endParaRPr sz="1400"/>
            </a:p>
          </xdr:txBody>
        </xdr:sp>
        <xdr:sp macro="" textlink="">
          <xdr:nvSpPr>
            <xdr:cNvPr id="212" name="Shape 212" descr="Bracket line">
              <a:extLst>
                <a:ext uri="{FF2B5EF4-FFF2-40B4-BE49-F238E27FC236}">
                  <a16:creationId xmlns:a16="http://schemas.microsoft.com/office/drawing/2014/main" id="{00000000-0008-0000-0200-0000D4000000}"/>
                </a:ext>
              </a:extLst>
            </xdr:cNvPr>
            <xdr:cNvSpPr/>
          </xdr:nvSpPr>
          <xdr:spPr>
            <a:xfrm rot="-5400000">
              <a:off x="13011464" y="13456700"/>
              <a:ext cx="257175" cy="337621"/>
            </a:xfrm>
            <a:prstGeom prst="leftBrace">
              <a:avLst>
                <a:gd name="adj1" fmla="val 8333"/>
                <a:gd name="adj2" fmla="val 90001"/>
              </a:avLst>
            </a:prstGeom>
            <a:noFill/>
            <a:ln w="9525" cap="flat" cmpd="sng">
              <a:solidFill>
                <a:schemeClr val="accent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1100"/>
            </a:p>
          </xdr:txBody>
        </xdr:sp>
        <xdr:sp macro="" textlink="">
          <xdr:nvSpPr>
            <xdr:cNvPr id="213" name="Shape 213" descr="...in this cell">
              <a:extLst>
                <a:ext uri="{FF2B5EF4-FFF2-40B4-BE49-F238E27FC236}">
                  <a16:creationId xmlns:a16="http://schemas.microsoft.com/office/drawing/2014/main" id="{00000000-0008-0000-0200-0000D5000000}"/>
                </a:ext>
              </a:extLst>
            </xdr:cNvPr>
            <xdr:cNvSpPr txBox="1"/>
          </xdr:nvSpPr>
          <xdr:spPr>
            <a:xfrm>
              <a:off x="13802127" y="13759769"/>
              <a:ext cx="475365" cy="1037069"/>
            </a:xfrm>
            <a:prstGeom prst="rect">
              <a:avLst/>
            </a:prstGeom>
            <a:solidFill>
              <a:srgbClr val="E1EFD8"/>
            </a:solidFill>
            <a:ln>
              <a:noFill/>
            </a:ln>
          </xdr:spPr>
          <xdr:txBody>
            <a:bodyPr spcFirstLastPara="1" wrap="square" lIns="91425" tIns="45700" rIns="91425" bIns="45700" anchor="t" anchorCtr="0">
              <a:noAutofit/>
            </a:bodyPr>
            <a:lstStyle/>
            <a:p>
              <a:pPr marL="0" marR="0" lvl="0" indent="0" algn="l" rtl="0">
                <a:lnSpc>
                  <a:spcPct val="107000"/>
                </a:lnSpc>
                <a:spcBef>
                  <a:spcPts val="0"/>
                </a:spcBef>
                <a:spcAft>
                  <a:spcPts val="0"/>
                </a:spcAft>
                <a:buNone/>
              </a:pPr>
              <a:r>
                <a:rPr lang="en-US" sz="1100">
                  <a:latin typeface="Calibri"/>
                  <a:ea typeface="Calibri"/>
                  <a:cs typeface="Calibri"/>
                  <a:sym typeface="Calibri"/>
                </a:rPr>
                <a:t>...in this cell.</a:t>
              </a:r>
              <a:endParaRPr sz="1100">
                <a:latin typeface="Calibri"/>
                <a:ea typeface="Calibri"/>
                <a:cs typeface="Calibri"/>
                <a:sym typeface="Calibri"/>
              </a:endParaRPr>
            </a:p>
          </xdr:txBody>
        </xdr:sp>
        <xdr:sp macro="" textlink="">
          <xdr:nvSpPr>
            <xdr:cNvPr id="214" name="Shape 214" descr="Bracket line">
              <a:extLst>
                <a:ext uri="{FF2B5EF4-FFF2-40B4-BE49-F238E27FC236}">
                  <a16:creationId xmlns:a16="http://schemas.microsoft.com/office/drawing/2014/main" id="{00000000-0008-0000-0200-0000D6000000}"/>
                </a:ext>
              </a:extLst>
            </xdr:cNvPr>
            <xdr:cNvSpPr/>
          </xdr:nvSpPr>
          <xdr:spPr>
            <a:xfrm rot="-5400000">
              <a:off x="13574648" y="13419210"/>
              <a:ext cx="248484" cy="449367"/>
            </a:xfrm>
            <a:prstGeom prst="leftBrace">
              <a:avLst>
                <a:gd name="adj1" fmla="val 8333"/>
                <a:gd name="adj2" fmla="val 90001"/>
              </a:avLst>
            </a:prstGeom>
            <a:noFill/>
            <a:ln w="9525" cap="flat" cmpd="sng">
              <a:solidFill>
                <a:schemeClr val="accent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1100"/>
            </a:p>
          </xdr:txBody>
        </xdr:sp>
        <xdr:sp macro="" textlink="">
          <xdr:nvSpPr>
            <xdr:cNvPr id="215" name="Shape 215" descr="HOW IT WORKS:">
              <a:extLst>
                <a:ext uri="{FF2B5EF4-FFF2-40B4-BE49-F238E27FC236}">
                  <a16:creationId xmlns:a16="http://schemas.microsoft.com/office/drawing/2014/main" id="{00000000-0008-0000-0200-0000D7000000}"/>
                </a:ext>
              </a:extLst>
            </xdr:cNvPr>
            <xdr:cNvSpPr txBox="1"/>
          </xdr:nvSpPr>
          <xdr:spPr>
            <a:xfrm>
              <a:off x="9672978" y="11815512"/>
              <a:ext cx="3030715" cy="298372"/>
            </a:xfrm>
            <a:prstGeom prst="rect">
              <a:avLst/>
            </a:prstGeom>
            <a:noFill/>
            <a:ln>
              <a:noFill/>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Clr>
                  <a:schemeClr val="accent1"/>
                </a:buClr>
                <a:buSzPts val="1200"/>
                <a:buFont typeface="Quattrocento Sans"/>
                <a:buNone/>
              </a:pPr>
              <a:r>
                <a:rPr lang="en-US" sz="1200" b="1" i="0" u="none" strike="noStrike" cap="none">
                  <a:solidFill>
                    <a:schemeClr val="accent1"/>
                  </a:solidFill>
                  <a:latin typeface="Quattrocento Sans"/>
                  <a:ea typeface="Quattrocento Sans"/>
                  <a:cs typeface="Quattrocento Sans"/>
                  <a:sym typeface="Quattrocento Sans"/>
                </a:rPr>
                <a:t>HOW IT WORKS:</a:t>
              </a:r>
              <a:endParaRPr sz="1050" b="1" i="0" u="none" cap="none">
                <a:solidFill>
                  <a:schemeClr val="accent1"/>
                </a:solidFill>
                <a:latin typeface="Quattrocento Sans"/>
                <a:ea typeface="Quattrocento Sans"/>
                <a:cs typeface="Quattrocento Sans"/>
                <a:sym typeface="Quattrocento Sans"/>
              </a:endParaRPr>
            </a:p>
          </xdr:txBody>
        </xdr:sp>
        <xdr:cxnSp macro="">
          <xdr:nvCxnSpPr>
            <xdr:cNvPr id="216" name="Shape 216" descr="Decorative line">
              <a:extLst>
                <a:ext uri="{FF2B5EF4-FFF2-40B4-BE49-F238E27FC236}">
                  <a16:creationId xmlns:a16="http://schemas.microsoft.com/office/drawing/2014/main" id="{00000000-0008-0000-0200-0000D8000000}"/>
                </a:ext>
              </a:extLst>
            </xdr:cNvPr>
            <xdr:cNvCxnSpPr/>
          </xdr:nvCxnSpPr>
          <xdr:spPr>
            <a:xfrm>
              <a:off x="10229850" y="11668125"/>
              <a:ext cx="0" cy="209550"/>
            </a:xfrm>
            <a:prstGeom prst="straightConnector1">
              <a:avLst/>
            </a:prstGeom>
            <a:noFill/>
            <a:ln w="19050" cap="flat" cmpd="sng">
              <a:solidFill>
                <a:srgbClr val="B5D2EC"/>
              </a:solidFill>
              <a:prstDash val="solid"/>
              <a:round/>
              <a:headEnd type="none" w="sm" len="sm"/>
              <a:tailEnd type="none" w="sm" len="sm"/>
            </a:ln>
          </xdr:spPr>
        </xdr:cxnSp>
      </xdr:grpSp>
    </xdr:grpSp>
    <xdr:clientData fLocksWithSheet="0"/>
  </xdr:oneCellAnchor>
  <xdr:oneCellAnchor>
    <xdr:from>
      <xdr:col>0</xdr:col>
      <xdr:colOff>390525</xdr:colOff>
      <xdr:row>47</xdr:row>
      <xdr:rowOff>171450</xdr:rowOff>
    </xdr:from>
    <xdr:ext cx="5686425" cy="5553075"/>
    <xdr:grpSp>
      <xdr:nvGrpSpPr>
        <xdr:cNvPr id="6" name="Shape 2">
          <a:extLst>
            <a:ext uri="{FF2B5EF4-FFF2-40B4-BE49-F238E27FC236}">
              <a16:creationId xmlns:a16="http://schemas.microsoft.com/office/drawing/2014/main" id="{00000000-0008-0000-0200-000006000000}"/>
            </a:ext>
          </a:extLst>
        </xdr:cNvPr>
        <xdr:cNvGrpSpPr/>
      </xdr:nvGrpSpPr>
      <xdr:grpSpPr>
        <a:xfrm>
          <a:off x="390525" y="9723664"/>
          <a:ext cx="5686425" cy="5553075"/>
          <a:chOff x="2502788" y="1003464"/>
          <a:chExt cx="5686425" cy="5553075"/>
        </a:xfrm>
      </xdr:grpSpPr>
      <xdr:grpSp>
        <xdr:nvGrpSpPr>
          <xdr:cNvPr id="217" name="Shape 217" descr="Split a column with formulas&#10;You might want to write a formula to split data. This way, if the original data gets updated, then the split data will get updated as well. This is more advanced. But it is possible when using a handful of functions: LEFT, RIGHT, FIND, and LEN. For more information on each of these functions, see the links at the bottom of this sheet. But if you’re curious, here’s how we split cell C56. Make sure to follow along with the diagram on the right as you go through these steps:&#10;Double-click the yellow cell with Yvonne.  We used the LEFT function to extract characters from the left side of cell C56. And to specify the number of characters to extract, we used the FIND function. Read the How it works diagram, and then press ESC when you're done.&#10;Then we created a [Helper column]. This was just to “help” extract the other text in the cell. It’s meant to be temporary and something one could always hide later. &#10;Double-click Francis McKay in the [Helper column]. You’ll see that we used the RIGHT, LEN, and FIND functions to extract characters from the first space, up until the end of the cell. &#10;Double-click Francis. Here we used almost the same formula as in step 1, but instead of extracting characters from C56, it extracts them from F56.&#10;Double-click McKay. This is the same formula as in step 3, but f it extracts characters from G56 instead of cell C56">
            <a:extLst>
              <a:ext uri="{FF2B5EF4-FFF2-40B4-BE49-F238E27FC236}">
                <a16:creationId xmlns:a16="http://schemas.microsoft.com/office/drawing/2014/main" id="{00000000-0008-0000-0200-0000D9000000}"/>
              </a:ext>
            </a:extLst>
          </xdr:cNvPr>
          <xdr:cNvGrpSpPr/>
        </xdr:nvGrpSpPr>
        <xdr:grpSpPr>
          <a:xfrm>
            <a:off x="2502788" y="1003464"/>
            <a:ext cx="5686425" cy="5553075"/>
            <a:chOff x="398319" y="10117281"/>
            <a:chExt cx="5695084" cy="5637069"/>
          </a:xfrm>
        </xdr:grpSpPr>
        <xdr:sp macro="" textlink="">
          <xdr:nvSpPr>
            <xdr:cNvPr id="7" name="Shape 4">
              <a:extLst>
                <a:ext uri="{FF2B5EF4-FFF2-40B4-BE49-F238E27FC236}">
                  <a16:creationId xmlns:a16="http://schemas.microsoft.com/office/drawing/2014/main" id="{00000000-0008-0000-0200-000007000000}"/>
                </a:ext>
              </a:extLst>
            </xdr:cNvPr>
            <xdr:cNvSpPr/>
          </xdr:nvSpPr>
          <xdr:spPr>
            <a:xfrm>
              <a:off x="398319" y="10117281"/>
              <a:ext cx="5695075" cy="5637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218" name="Shape 218" descr="Background">
              <a:extLst>
                <a:ext uri="{FF2B5EF4-FFF2-40B4-BE49-F238E27FC236}">
                  <a16:creationId xmlns:a16="http://schemas.microsoft.com/office/drawing/2014/main" id="{00000000-0008-0000-0200-0000DA000000}"/>
                </a:ext>
              </a:extLst>
            </xdr:cNvPr>
            <xdr:cNvSpPr/>
          </xdr:nvSpPr>
          <xdr:spPr>
            <a:xfrm>
              <a:off x="398319" y="10117281"/>
              <a:ext cx="5695084" cy="5637069"/>
            </a:xfrm>
            <a:prstGeom prst="rect">
              <a:avLst/>
            </a:prstGeom>
            <a:solidFill>
              <a:srgbClr val="F5F5F5"/>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219" name="Shape 219" descr="Split a column with formulas">
              <a:extLst>
                <a:ext uri="{FF2B5EF4-FFF2-40B4-BE49-F238E27FC236}">
                  <a16:creationId xmlns:a16="http://schemas.microsoft.com/office/drawing/2014/main" id="{00000000-0008-0000-0200-0000DB000000}"/>
                </a:ext>
              </a:extLst>
            </xdr:cNvPr>
            <xdr:cNvSpPr txBox="1"/>
          </xdr:nvSpPr>
          <xdr:spPr>
            <a:xfrm>
              <a:off x="630032" y="10245504"/>
              <a:ext cx="5215758" cy="490903"/>
            </a:xfrm>
            <a:prstGeom prst="rect">
              <a:avLst/>
            </a:prstGeom>
            <a:noFill/>
            <a:ln>
              <a:noFill/>
            </a:ln>
          </xdr:spPr>
          <xdr:txBody>
            <a:bodyPr spcFirstLastPara="1" wrap="square" lIns="0" tIns="45700" rIns="0" bIns="45700" anchor="t" anchorCtr="0">
              <a:noAutofit/>
            </a:bodyPr>
            <a:lstStyle/>
            <a:p>
              <a:pPr marL="0" marR="0" lvl="0" indent="0" algn="l" rtl="0">
                <a:lnSpc>
                  <a:spcPct val="100000"/>
                </a:lnSpc>
                <a:spcBef>
                  <a:spcPts val="0"/>
                </a:spcBef>
                <a:spcAft>
                  <a:spcPts val="0"/>
                </a:spcAft>
                <a:buClr>
                  <a:srgbClr val="3A3838"/>
                </a:buClr>
                <a:buSzPts val="2200"/>
                <a:buFont typeface="Quattrocento Sans"/>
                <a:buNone/>
              </a:pPr>
              <a:r>
                <a:rPr lang="en-US" sz="2200" b="0" i="0" u="none" strike="noStrike" cap="none">
                  <a:solidFill>
                    <a:srgbClr val="3A3838"/>
                  </a:solidFill>
                  <a:latin typeface="Quattrocento Sans"/>
                  <a:ea typeface="Quattrocento Sans"/>
                  <a:cs typeface="Quattrocento Sans"/>
                  <a:sym typeface="Quattrocento Sans"/>
                </a:rPr>
                <a:t>Split a column with formulas</a:t>
              </a:r>
              <a:endParaRPr sz="2200" b="0">
                <a:solidFill>
                  <a:srgbClr val="3A3838"/>
                </a:solidFill>
                <a:latin typeface="Quattrocento Sans"/>
                <a:ea typeface="Quattrocento Sans"/>
                <a:cs typeface="Quattrocento Sans"/>
                <a:sym typeface="Quattrocento Sans"/>
              </a:endParaRPr>
            </a:p>
          </xdr:txBody>
        </xdr:sp>
        <xdr:cxnSp macro="">
          <xdr:nvCxnSpPr>
            <xdr:cNvPr id="220" name="Shape 220" descr="Decorative line">
              <a:extLst>
                <a:ext uri="{FF2B5EF4-FFF2-40B4-BE49-F238E27FC236}">
                  <a16:creationId xmlns:a16="http://schemas.microsoft.com/office/drawing/2014/main" id="{00000000-0008-0000-0200-0000DC000000}"/>
                </a:ext>
              </a:extLst>
            </xdr:cNvPr>
            <xdr:cNvCxnSpPr/>
          </xdr:nvCxnSpPr>
          <xdr:spPr>
            <a:xfrm>
              <a:off x="633207" y="10752917"/>
              <a:ext cx="5212583" cy="0"/>
            </a:xfrm>
            <a:prstGeom prst="straightConnector1">
              <a:avLst/>
            </a:prstGeom>
            <a:noFill/>
            <a:ln w="25400" cap="flat" cmpd="sng">
              <a:solidFill>
                <a:srgbClr val="217346"/>
              </a:solidFill>
              <a:prstDash val="solid"/>
              <a:round/>
              <a:headEnd type="none" w="sm" len="sm"/>
              <a:tailEnd type="none" w="sm" len="sm"/>
            </a:ln>
          </xdr:spPr>
        </xdr:cxnSp>
        <xdr:cxnSp macro="">
          <xdr:nvCxnSpPr>
            <xdr:cNvPr id="221" name="Shape 221" descr="Decorative line">
              <a:extLst>
                <a:ext uri="{FF2B5EF4-FFF2-40B4-BE49-F238E27FC236}">
                  <a16:creationId xmlns:a16="http://schemas.microsoft.com/office/drawing/2014/main" id="{00000000-0008-0000-0200-0000DD000000}"/>
                </a:ext>
              </a:extLst>
            </xdr:cNvPr>
            <xdr:cNvCxnSpPr/>
          </xdr:nvCxnSpPr>
          <xdr:spPr>
            <a:xfrm>
              <a:off x="633207" y="15488533"/>
              <a:ext cx="5212583" cy="0"/>
            </a:xfrm>
            <a:prstGeom prst="straightConnector1">
              <a:avLst/>
            </a:prstGeom>
            <a:noFill/>
            <a:ln w="25400" cap="flat" cmpd="sng">
              <a:solidFill>
                <a:srgbClr val="217346"/>
              </a:solidFill>
              <a:prstDash val="solid"/>
              <a:round/>
              <a:headEnd type="none" w="sm" len="sm"/>
              <a:tailEnd type="none" w="sm" len="sm"/>
            </a:ln>
          </xdr:spPr>
        </xdr:cxnSp>
        <xdr:sp macro="" textlink="">
          <xdr:nvSpPr>
            <xdr:cNvPr id="222" name="Shape 222" descr="You might want to write a formula to split data. This way, if the original data gets updated, then the split data will get updated as well. This is more advanced. But it is possible when using a handful of functions: LEFT, RIGHT, FIND, and LEN. For more information on each of these functions, see the links at the bottom of this sheet. But if you’re curious, here’s how we split cell C56. Make sure to follow along with the diagram on the right as you go through these steps:">
              <a:extLst>
                <a:ext uri="{FF2B5EF4-FFF2-40B4-BE49-F238E27FC236}">
                  <a16:creationId xmlns:a16="http://schemas.microsoft.com/office/drawing/2014/main" id="{00000000-0008-0000-0200-0000DE000000}"/>
                </a:ext>
              </a:extLst>
            </xdr:cNvPr>
            <xdr:cNvSpPr txBox="1"/>
          </xdr:nvSpPr>
          <xdr:spPr>
            <a:xfrm>
              <a:off x="626884" y="10826527"/>
              <a:ext cx="5300132" cy="1213073"/>
            </a:xfrm>
            <a:prstGeom prst="rect">
              <a:avLst/>
            </a:prstGeom>
            <a:noFill/>
            <a:ln>
              <a:noFill/>
            </a:ln>
          </xdr:spPr>
          <xdr:txBody>
            <a:bodyPr spcFirstLastPara="1" wrap="square" lIns="0" tIns="45700" rIns="0" bIns="45700" anchor="t" anchorCtr="0">
              <a:noAutofit/>
            </a:bodyPr>
            <a:lstStyle/>
            <a:p>
              <a:pPr marL="0" lvl="0" indent="0" algn="l" rtl="0">
                <a:spcBef>
                  <a:spcPts val="0"/>
                </a:spcBef>
                <a:spcAft>
                  <a:spcPts val="0"/>
                </a:spcAft>
                <a:buNone/>
              </a:pPr>
              <a:r>
                <a:rPr lang="en-US" sz="1100">
                  <a:solidFill>
                    <a:schemeClr val="dk1"/>
                  </a:solidFill>
                  <a:latin typeface="Quattrocento Sans"/>
                  <a:ea typeface="Quattrocento Sans"/>
                  <a:cs typeface="Quattrocento Sans"/>
                  <a:sym typeface="Quattrocento Sans"/>
                </a:rPr>
                <a:t>You might want to write a formula to split data. This way, if the original data gets updated, then the split data will get updated as well. This is more advanced. But it is possible when using a handful of functions: LEFT, RIGHT, FIND, and LEN. For more information on each of these functions, see the links at the bottom of this sheet. But if you’re curious, here’s how we split cell C56. Make sure to follow along with the diagram on the right as you go through these steps:</a:t>
              </a:r>
              <a:endParaRPr sz="1400"/>
            </a:p>
          </xdr:txBody>
        </xdr:sp>
        <xdr:sp macro="" textlink="">
          <xdr:nvSpPr>
            <xdr:cNvPr id="223" name="Shape 223" descr="Double-click the yellow cell with Yvonne.  We used the LEFT function to extract characters from the left side of cell C56. And to specify the number of characters to extract, we used the FIND function. Read the How it works diagram, and then press ESC when you're done ">
              <a:extLst>
                <a:ext uri="{FF2B5EF4-FFF2-40B4-BE49-F238E27FC236}">
                  <a16:creationId xmlns:a16="http://schemas.microsoft.com/office/drawing/2014/main" id="{00000000-0008-0000-0200-0000DF000000}"/>
                </a:ext>
              </a:extLst>
            </xdr:cNvPr>
            <xdr:cNvSpPr txBox="1"/>
          </xdr:nvSpPr>
          <xdr:spPr>
            <a:xfrm>
              <a:off x="1037005" y="12148152"/>
              <a:ext cx="4808785" cy="859323"/>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Quattrocento Sans"/>
                  <a:ea typeface="Quattrocento Sans"/>
                  <a:cs typeface="Quattrocento Sans"/>
                  <a:sym typeface="Quattrocento Sans"/>
                </a:rPr>
                <a:t>Double-click the yellow cell with </a:t>
              </a:r>
              <a:r>
                <a:rPr lang="en-US" sz="1100" b="1">
                  <a:solidFill>
                    <a:schemeClr val="dk1"/>
                  </a:solidFill>
                  <a:latin typeface="Quattrocento Sans"/>
                  <a:ea typeface="Quattrocento Sans"/>
                  <a:cs typeface="Quattrocento Sans"/>
                  <a:sym typeface="Quattrocento Sans"/>
                </a:rPr>
                <a:t>Yvonne</a:t>
              </a:r>
              <a:r>
                <a:rPr lang="en-US" sz="1100">
                  <a:solidFill>
                    <a:schemeClr val="dk1"/>
                  </a:solidFill>
                  <a:latin typeface="Quattrocento Sans"/>
                  <a:ea typeface="Quattrocento Sans"/>
                  <a:cs typeface="Quattrocento Sans"/>
                  <a:sym typeface="Quattrocento Sans"/>
                </a:rPr>
                <a:t>.  We used the LEFT function to extract characters from the left side of cell C56. And to specify the number of characters to extract, we used the FIND function. Read the </a:t>
              </a:r>
              <a:r>
                <a:rPr lang="en-US" sz="1100" b="1">
                  <a:solidFill>
                    <a:schemeClr val="dk1"/>
                  </a:solidFill>
                  <a:latin typeface="Quattrocento Sans"/>
                  <a:ea typeface="Quattrocento Sans"/>
                  <a:cs typeface="Quattrocento Sans"/>
                  <a:sym typeface="Quattrocento Sans"/>
                </a:rPr>
                <a:t>How it works </a:t>
              </a:r>
              <a:r>
                <a:rPr lang="en-US" sz="1100">
                  <a:solidFill>
                    <a:schemeClr val="dk1"/>
                  </a:solidFill>
                  <a:latin typeface="Quattrocento Sans"/>
                  <a:ea typeface="Quattrocento Sans"/>
                  <a:cs typeface="Quattrocento Sans"/>
                  <a:sym typeface="Quattrocento Sans"/>
                </a:rPr>
                <a:t>diagram, and then press ESC when you're done. </a:t>
              </a:r>
              <a:endParaRPr sz="1100">
                <a:latin typeface="Quattrocento Sans"/>
                <a:ea typeface="Quattrocento Sans"/>
                <a:cs typeface="Quattrocento Sans"/>
                <a:sym typeface="Quattrocento Sans"/>
              </a:endParaRPr>
            </a:p>
          </xdr:txBody>
        </xdr:sp>
        <xdr:sp macro="" textlink="">
          <xdr:nvSpPr>
            <xdr:cNvPr id="224" name="Shape 224" descr="1">
              <a:extLst>
                <a:ext uri="{FF2B5EF4-FFF2-40B4-BE49-F238E27FC236}">
                  <a16:creationId xmlns:a16="http://schemas.microsoft.com/office/drawing/2014/main" id="{00000000-0008-0000-0200-0000E0000000}"/>
                </a:ext>
              </a:extLst>
            </xdr:cNvPr>
            <xdr:cNvSpPr/>
          </xdr:nvSpPr>
          <xdr:spPr>
            <a:xfrm>
              <a:off x="630033" y="12105655"/>
              <a:ext cx="371531"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1</a:t>
              </a:r>
              <a:endParaRPr sz="1400"/>
            </a:p>
          </xdr:txBody>
        </xdr:sp>
        <xdr:sp macro="" textlink="">
          <xdr:nvSpPr>
            <xdr:cNvPr id="225" name="Shape 225" descr="Then we created a [Helper column]. This was just to “help” extract the other text in the cell. It’s meant to be temporary and something one could always hide later">
              <a:extLst>
                <a:ext uri="{FF2B5EF4-FFF2-40B4-BE49-F238E27FC236}">
                  <a16:creationId xmlns:a16="http://schemas.microsoft.com/office/drawing/2014/main" id="{00000000-0008-0000-0200-0000E1000000}"/>
                </a:ext>
              </a:extLst>
            </xdr:cNvPr>
            <xdr:cNvSpPr txBox="1"/>
          </xdr:nvSpPr>
          <xdr:spPr>
            <a:xfrm>
              <a:off x="1037004" y="12968857"/>
              <a:ext cx="4808786" cy="725338"/>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Quattrocento Sans"/>
                  <a:ea typeface="Quattrocento Sans"/>
                  <a:cs typeface="Quattrocento Sans"/>
                  <a:sym typeface="Quattrocento Sans"/>
                </a:rPr>
                <a:t>Then we created a </a:t>
              </a:r>
              <a:r>
                <a:rPr lang="en-US" sz="1100" b="1">
                  <a:solidFill>
                    <a:schemeClr val="dk1"/>
                  </a:solidFill>
                  <a:latin typeface="Quattrocento Sans"/>
                  <a:ea typeface="Quattrocento Sans"/>
                  <a:cs typeface="Quattrocento Sans"/>
                  <a:sym typeface="Quattrocento Sans"/>
                </a:rPr>
                <a:t>[Helper column]</a:t>
              </a:r>
              <a:r>
                <a:rPr lang="en-US" sz="1100">
                  <a:solidFill>
                    <a:schemeClr val="dk1"/>
                  </a:solidFill>
                  <a:latin typeface="Quattrocento Sans"/>
                  <a:ea typeface="Quattrocento Sans"/>
                  <a:cs typeface="Quattrocento Sans"/>
                  <a:sym typeface="Quattrocento Sans"/>
                </a:rPr>
                <a:t>. This was just to “help” extract the other text in the cell. It’s meant to be temporary and something one could always hide later. </a:t>
              </a:r>
              <a:endParaRPr sz="1400"/>
            </a:p>
          </xdr:txBody>
        </xdr:sp>
        <xdr:sp macro="" textlink="">
          <xdr:nvSpPr>
            <xdr:cNvPr id="226" name="Shape 226" descr="2">
              <a:extLst>
                <a:ext uri="{FF2B5EF4-FFF2-40B4-BE49-F238E27FC236}">
                  <a16:creationId xmlns:a16="http://schemas.microsoft.com/office/drawing/2014/main" id="{00000000-0008-0000-0200-0000E2000000}"/>
                </a:ext>
              </a:extLst>
            </xdr:cNvPr>
            <xdr:cNvSpPr/>
          </xdr:nvSpPr>
          <xdr:spPr>
            <a:xfrm>
              <a:off x="630033" y="12926358"/>
              <a:ext cx="371531"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2</a:t>
              </a:r>
              <a:endParaRPr sz="1400"/>
            </a:p>
          </xdr:txBody>
        </xdr:sp>
        <xdr:sp macro="" textlink="">
          <xdr:nvSpPr>
            <xdr:cNvPr id="227" name="Shape 227" descr="Double-click McKay. This is the same formula as in step 3, but it extracts characters from F56 instead of cell C56">
              <a:extLst>
                <a:ext uri="{FF2B5EF4-FFF2-40B4-BE49-F238E27FC236}">
                  <a16:creationId xmlns:a16="http://schemas.microsoft.com/office/drawing/2014/main" id="{00000000-0008-0000-0200-0000E3000000}"/>
                </a:ext>
              </a:extLst>
            </xdr:cNvPr>
            <xdr:cNvSpPr txBox="1"/>
          </xdr:nvSpPr>
          <xdr:spPr>
            <a:xfrm>
              <a:off x="1037004" y="14808302"/>
              <a:ext cx="4808786" cy="561387"/>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Quattrocento Sans"/>
                  <a:ea typeface="Quattrocento Sans"/>
                  <a:cs typeface="Quattrocento Sans"/>
                  <a:sym typeface="Quattrocento Sans"/>
                </a:rPr>
                <a:t>Double-click </a:t>
              </a:r>
              <a:r>
                <a:rPr lang="en-US" sz="1100" b="1">
                  <a:solidFill>
                    <a:schemeClr val="dk1"/>
                  </a:solidFill>
                  <a:latin typeface="Quattrocento Sans"/>
                  <a:ea typeface="Quattrocento Sans"/>
                  <a:cs typeface="Quattrocento Sans"/>
                  <a:sym typeface="Quattrocento Sans"/>
                </a:rPr>
                <a:t>McKay</a:t>
              </a:r>
              <a:r>
                <a:rPr lang="en-US" sz="1100">
                  <a:solidFill>
                    <a:schemeClr val="dk1"/>
                  </a:solidFill>
                  <a:latin typeface="Quattrocento Sans"/>
                  <a:ea typeface="Quattrocento Sans"/>
                  <a:cs typeface="Quattrocento Sans"/>
                  <a:sym typeface="Quattrocento Sans"/>
                </a:rPr>
                <a:t>. This is the same formula as in step 3, but it extracts characters from F56 instead of cell C56. </a:t>
              </a:r>
              <a:endParaRPr sz="1400"/>
            </a:p>
          </xdr:txBody>
        </xdr:sp>
        <xdr:sp macro="" textlink="">
          <xdr:nvSpPr>
            <xdr:cNvPr id="228" name="Shape 228" descr="5">
              <a:extLst>
                <a:ext uri="{FF2B5EF4-FFF2-40B4-BE49-F238E27FC236}">
                  <a16:creationId xmlns:a16="http://schemas.microsoft.com/office/drawing/2014/main" id="{00000000-0008-0000-0200-0000E4000000}"/>
                </a:ext>
              </a:extLst>
            </xdr:cNvPr>
            <xdr:cNvSpPr/>
          </xdr:nvSpPr>
          <xdr:spPr>
            <a:xfrm>
              <a:off x="630033" y="14765803"/>
              <a:ext cx="371531"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5</a:t>
              </a:r>
              <a:endParaRPr sz="1400"/>
            </a:p>
          </xdr:txBody>
        </xdr:sp>
        <xdr:sp macro="" textlink="">
          <xdr:nvSpPr>
            <xdr:cNvPr id="229" name="Shape 229" descr="Double-click Francis McKay in the [Helper column]. You’ll see that we used the RIGHT, LEN, and FIND functions to extract characters from the first space, up until the end of the cell">
              <a:extLst>
                <a:ext uri="{FF2B5EF4-FFF2-40B4-BE49-F238E27FC236}">
                  <a16:creationId xmlns:a16="http://schemas.microsoft.com/office/drawing/2014/main" id="{00000000-0008-0000-0200-0000E5000000}"/>
                </a:ext>
              </a:extLst>
            </xdr:cNvPr>
            <xdr:cNvSpPr txBox="1"/>
          </xdr:nvSpPr>
          <xdr:spPr>
            <a:xfrm>
              <a:off x="1037004" y="13625419"/>
              <a:ext cx="4808786" cy="638879"/>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Quattrocento Sans"/>
                  <a:ea typeface="Quattrocento Sans"/>
                  <a:cs typeface="Quattrocento Sans"/>
                  <a:sym typeface="Quattrocento Sans"/>
                </a:rPr>
                <a:t>Double-click </a:t>
              </a:r>
              <a:r>
                <a:rPr lang="en-US" sz="1100" b="1">
                  <a:solidFill>
                    <a:schemeClr val="dk1"/>
                  </a:solidFill>
                  <a:latin typeface="Quattrocento Sans"/>
                  <a:ea typeface="Quattrocento Sans"/>
                  <a:cs typeface="Quattrocento Sans"/>
                  <a:sym typeface="Quattrocento Sans"/>
                </a:rPr>
                <a:t>Francis McKay</a:t>
              </a:r>
              <a:r>
                <a:rPr lang="en-US" sz="1100" b="0">
                  <a:solidFill>
                    <a:schemeClr val="dk1"/>
                  </a:solidFill>
                  <a:latin typeface="Quattrocento Sans"/>
                  <a:ea typeface="Quattrocento Sans"/>
                  <a:cs typeface="Quattrocento Sans"/>
                  <a:sym typeface="Quattrocento Sans"/>
                </a:rPr>
                <a:t> in the [Helper column]</a:t>
              </a:r>
              <a:r>
                <a:rPr lang="en-US" sz="1100">
                  <a:solidFill>
                    <a:schemeClr val="dk1"/>
                  </a:solidFill>
                  <a:latin typeface="Quattrocento Sans"/>
                  <a:ea typeface="Quattrocento Sans"/>
                  <a:cs typeface="Quattrocento Sans"/>
                  <a:sym typeface="Quattrocento Sans"/>
                </a:rPr>
                <a:t>. You’ll see that we used the RIGHT, LEN, and FIND functions to extract characters from the first space, up until the end of the cell. </a:t>
              </a:r>
              <a:endParaRPr sz="1400"/>
            </a:p>
          </xdr:txBody>
        </xdr:sp>
        <xdr:sp macro="" textlink="">
          <xdr:nvSpPr>
            <xdr:cNvPr id="230" name="Shape 230" descr="3">
              <a:extLst>
                <a:ext uri="{FF2B5EF4-FFF2-40B4-BE49-F238E27FC236}">
                  <a16:creationId xmlns:a16="http://schemas.microsoft.com/office/drawing/2014/main" id="{00000000-0008-0000-0200-0000E6000000}"/>
                </a:ext>
              </a:extLst>
            </xdr:cNvPr>
            <xdr:cNvSpPr/>
          </xdr:nvSpPr>
          <xdr:spPr>
            <a:xfrm>
              <a:off x="630033" y="13582920"/>
              <a:ext cx="371531"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3</a:t>
              </a:r>
              <a:endParaRPr sz="1400"/>
            </a:p>
          </xdr:txBody>
        </xdr:sp>
        <xdr:sp macro="" textlink="">
          <xdr:nvSpPr>
            <xdr:cNvPr id="231" name="Shape 231" descr="Double-click Francis. Here we used almost the same formula as in step 1, but instead of extracting characters from C56, it extracts them from F56">
              <a:extLst>
                <a:ext uri="{FF2B5EF4-FFF2-40B4-BE49-F238E27FC236}">
                  <a16:creationId xmlns:a16="http://schemas.microsoft.com/office/drawing/2014/main" id="{00000000-0008-0000-0200-0000E7000000}"/>
                </a:ext>
              </a:extLst>
            </xdr:cNvPr>
            <xdr:cNvSpPr txBox="1"/>
          </xdr:nvSpPr>
          <xdr:spPr>
            <a:xfrm>
              <a:off x="1037004" y="14296795"/>
              <a:ext cx="4808786" cy="459162"/>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Quattrocento Sans"/>
                  <a:ea typeface="Quattrocento Sans"/>
                  <a:cs typeface="Quattrocento Sans"/>
                  <a:sym typeface="Quattrocento Sans"/>
                </a:rPr>
                <a:t>Double-click </a:t>
              </a:r>
              <a:r>
                <a:rPr lang="en-US" sz="1100" b="1">
                  <a:solidFill>
                    <a:schemeClr val="dk1"/>
                  </a:solidFill>
                  <a:latin typeface="Quattrocento Sans"/>
                  <a:ea typeface="Quattrocento Sans"/>
                  <a:cs typeface="Quattrocento Sans"/>
                  <a:sym typeface="Quattrocento Sans"/>
                </a:rPr>
                <a:t>Francis</a:t>
              </a:r>
              <a:r>
                <a:rPr lang="en-US" sz="1100">
                  <a:solidFill>
                    <a:schemeClr val="dk1"/>
                  </a:solidFill>
                  <a:latin typeface="Quattrocento Sans"/>
                  <a:ea typeface="Quattrocento Sans"/>
                  <a:cs typeface="Quattrocento Sans"/>
                  <a:sym typeface="Quattrocento Sans"/>
                </a:rPr>
                <a:t>. Here we used almost the same formula as in step 1, but instead of extracting characters from C56, it extracts them from F56. </a:t>
              </a:r>
              <a:endParaRPr sz="1400"/>
            </a:p>
          </xdr:txBody>
        </xdr:sp>
        <xdr:sp macro="" textlink="">
          <xdr:nvSpPr>
            <xdr:cNvPr id="232" name="Shape 232" descr="4">
              <a:extLst>
                <a:ext uri="{FF2B5EF4-FFF2-40B4-BE49-F238E27FC236}">
                  <a16:creationId xmlns:a16="http://schemas.microsoft.com/office/drawing/2014/main" id="{00000000-0008-0000-0200-0000E8000000}"/>
                </a:ext>
              </a:extLst>
            </xdr:cNvPr>
            <xdr:cNvSpPr/>
          </xdr:nvSpPr>
          <xdr:spPr>
            <a:xfrm>
              <a:off x="630033" y="14254295"/>
              <a:ext cx="371531"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4</a:t>
              </a:r>
              <a:endParaRPr sz="1400"/>
            </a:p>
          </xdr:txBody>
        </xdr:sp>
      </xdr:grpSp>
    </xdr:grpSp>
    <xdr:clientData fLocksWithSheet="0"/>
  </xdr:oneCellAnchor>
  <xdr:oneCellAnchor>
    <xdr:from>
      <xdr:col>0</xdr:col>
      <xdr:colOff>400050</xdr:colOff>
      <xdr:row>77</xdr:row>
      <xdr:rowOff>152400</xdr:rowOff>
    </xdr:from>
    <xdr:ext cx="5695950" cy="4905375"/>
    <xdr:grpSp>
      <xdr:nvGrpSpPr>
        <xdr:cNvPr id="8" name="Shape 2">
          <a:extLst>
            <a:ext uri="{FF2B5EF4-FFF2-40B4-BE49-F238E27FC236}">
              <a16:creationId xmlns:a16="http://schemas.microsoft.com/office/drawing/2014/main" id="{00000000-0008-0000-0200-000008000000}"/>
            </a:ext>
          </a:extLst>
        </xdr:cNvPr>
        <xdr:cNvGrpSpPr/>
      </xdr:nvGrpSpPr>
      <xdr:grpSpPr>
        <a:xfrm>
          <a:off x="400050" y="15419614"/>
          <a:ext cx="5695950" cy="4905375"/>
          <a:chOff x="2498025" y="1327314"/>
          <a:chExt cx="5695950" cy="4905375"/>
        </a:xfrm>
      </xdr:grpSpPr>
      <xdr:grpSp>
        <xdr:nvGrpSpPr>
          <xdr:cNvPr id="233" name="Shape 233" descr="More information on the web, contains links to the web&#10;Back to top&#10;Next step">
            <a:extLst>
              <a:ext uri="{FF2B5EF4-FFF2-40B4-BE49-F238E27FC236}">
                <a16:creationId xmlns:a16="http://schemas.microsoft.com/office/drawing/2014/main" id="{00000000-0008-0000-0200-0000E9000000}"/>
              </a:ext>
            </a:extLst>
          </xdr:cNvPr>
          <xdr:cNvGrpSpPr/>
        </xdr:nvGrpSpPr>
        <xdr:grpSpPr>
          <a:xfrm>
            <a:off x="2498025" y="1327314"/>
            <a:ext cx="5695950" cy="4905375"/>
            <a:chOff x="400050" y="15944850"/>
            <a:chExt cx="5695950" cy="4619625"/>
          </a:xfrm>
        </xdr:grpSpPr>
        <xdr:sp macro="" textlink="">
          <xdr:nvSpPr>
            <xdr:cNvPr id="9" name="Shape 4">
              <a:extLst>
                <a:ext uri="{FF2B5EF4-FFF2-40B4-BE49-F238E27FC236}">
                  <a16:creationId xmlns:a16="http://schemas.microsoft.com/office/drawing/2014/main" id="{00000000-0008-0000-0200-000009000000}"/>
                </a:ext>
              </a:extLst>
            </xdr:cNvPr>
            <xdr:cNvSpPr/>
          </xdr:nvSpPr>
          <xdr:spPr>
            <a:xfrm>
              <a:off x="400050" y="15944850"/>
              <a:ext cx="5695950" cy="4619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234" name="Shape 234" descr="Background">
              <a:extLst>
                <a:ext uri="{FF2B5EF4-FFF2-40B4-BE49-F238E27FC236}">
                  <a16:creationId xmlns:a16="http://schemas.microsoft.com/office/drawing/2014/main" id="{00000000-0008-0000-0200-0000EA000000}"/>
                </a:ext>
              </a:extLst>
            </xdr:cNvPr>
            <xdr:cNvSpPr/>
          </xdr:nvSpPr>
          <xdr:spPr>
            <a:xfrm>
              <a:off x="400050" y="15944850"/>
              <a:ext cx="5695950" cy="4619625"/>
            </a:xfrm>
            <a:prstGeom prst="rect">
              <a:avLst/>
            </a:prstGeom>
            <a:solidFill>
              <a:srgbClr val="F5F5F5"/>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235" name="Shape 235" descr="More information on the web">
              <a:extLst>
                <a:ext uri="{FF2B5EF4-FFF2-40B4-BE49-F238E27FC236}">
                  <a16:creationId xmlns:a16="http://schemas.microsoft.com/office/drawing/2014/main" id="{00000000-0008-0000-0200-0000EB000000}"/>
                </a:ext>
              </a:extLst>
            </xdr:cNvPr>
            <xdr:cNvSpPr txBox="1"/>
          </xdr:nvSpPr>
          <xdr:spPr>
            <a:xfrm>
              <a:off x="631798" y="16063548"/>
              <a:ext cx="5216551" cy="490903"/>
            </a:xfrm>
            <a:prstGeom prst="rect">
              <a:avLst/>
            </a:prstGeom>
            <a:noFill/>
            <a:ln>
              <a:noFill/>
            </a:ln>
          </xdr:spPr>
          <xdr:txBody>
            <a:bodyPr spcFirstLastPara="1" wrap="square" lIns="0" tIns="45700" rIns="0" bIns="45700" anchor="t" anchorCtr="0">
              <a:noAutofit/>
            </a:bodyPr>
            <a:lstStyle/>
            <a:p>
              <a:pPr marL="0" marR="0" lvl="0" indent="0" algn="l" rtl="0">
                <a:lnSpc>
                  <a:spcPct val="100000"/>
                </a:lnSpc>
                <a:spcBef>
                  <a:spcPts val="0"/>
                </a:spcBef>
                <a:spcAft>
                  <a:spcPts val="0"/>
                </a:spcAft>
                <a:buClr>
                  <a:srgbClr val="3A3838"/>
                </a:buClr>
                <a:buSzPts val="2200"/>
                <a:buFont typeface="Quattrocento Sans"/>
                <a:buNone/>
              </a:pPr>
              <a:r>
                <a:rPr lang="en-US" sz="2200" b="0" i="0" u="none" strike="noStrike" cap="none">
                  <a:solidFill>
                    <a:srgbClr val="3A3838"/>
                  </a:solidFill>
                  <a:latin typeface="Quattrocento Sans"/>
                  <a:ea typeface="Quattrocento Sans"/>
                  <a:cs typeface="Quattrocento Sans"/>
                  <a:sym typeface="Quattrocento Sans"/>
                </a:rPr>
                <a:t>More information on the web</a:t>
              </a:r>
              <a:endParaRPr sz="2200" b="0">
                <a:solidFill>
                  <a:srgbClr val="3A3838"/>
                </a:solidFill>
                <a:latin typeface="Quattrocento Sans"/>
                <a:ea typeface="Quattrocento Sans"/>
                <a:cs typeface="Quattrocento Sans"/>
                <a:sym typeface="Quattrocento Sans"/>
              </a:endParaRPr>
            </a:p>
          </xdr:txBody>
        </xdr:sp>
        <xdr:cxnSp macro="">
          <xdr:nvCxnSpPr>
            <xdr:cNvPr id="236" name="Shape 236" descr="Decorative line">
              <a:extLst>
                <a:ext uri="{FF2B5EF4-FFF2-40B4-BE49-F238E27FC236}">
                  <a16:creationId xmlns:a16="http://schemas.microsoft.com/office/drawing/2014/main" id="{00000000-0008-0000-0200-0000EC000000}"/>
                </a:ext>
              </a:extLst>
            </xdr:cNvPr>
            <xdr:cNvCxnSpPr/>
          </xdr:nvCxnSpPr>
          <xdr:spPr>
            <a:xfrm>
              <a:off x="634974" y="16570961"/>
              <a:ext cx="5213376" cy="0"/>
            </a:xfrm>
            <a:prstGeom prst="straightConnector1">
              <a:avLst/>
            </a:prstGeom>
            <a:noFill/>
            <a:ln w="25400" cap="flat" cmpd="sng">
              <a:solidFill>
                <a:srgbClr val="217346"/>
              </a:solidFill>
              <a:prstDash val="solid"/>
              <a:round/>
              <a:headEnd type="none" w="sm" len="sm"/>
              <a:tailEnd type="none" w="sm" len="sm"/>
            </a:ln>
          </xdr:spPr>
        </xdr:cxnSp>
        <xdr:sp macro="" textlink="">
          <xdr:nvSpPr>
            <xdr:cNvPr id="237" name="Shape 237" descr="Back to top, hyperlinked to cell A1">
              <a:hlinkClick xmlns:r="http://schemas.openxmlformats.org/officeDocument/2006/relationships" r:id="rId2"/>
              <a:extLst>
                <a:ext uri="{FF2B5EF4-FFF2-40B4-BE49-F238E27FC236}">
                  <a16:creationId xmlns:a16="http://schemas.microsoft.com/office/drawing/2014/main" id="{00000000-0008-0000-0200-0000ED000000}"/>
                </a:ext>
              </a:extLst>
            </xdr:cNvPr>
            <xdr:cNvSpPr/>
          </xdr:nvSpPr>
          <xdr:spPr>
            <a:xfrm>
              <a:off x="634974" y="19787356"/>
              <a:ext cx="2723067" cy="536454"/>
            </a:xfrm>
            <a:prstGeom prst="upArrowCallout">
              <a:avLst>
                <a:gd name="adj1" fmla="val 25000"/>
                <a:gd name="adj2" fmla="val 25000"/>
                <a:gd name="adj3" fmla="val 25000"/>
                <a:gd name="adj4" fmla="val 64977"/>
              </a:avLst>
            </a:prstGeom>
            <a:solidFill>
              <a:srgbClr val="D8D8D8"/>
            </a:solidFill>
            <a:ln w="12700" cap="flat" cmpd="sng">
              <a:solidFill>
                <a:srgbClr val="0B744D">
                  <a:alpha val="49803"/>
                </a:srgb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a:solidFill>
                    <a:srgbClr val="0B744D"/>
                  </a:solidFill>
                  <a:latin typeface="Quattrocento Sans"/>
                  <a:ea typeface="Quattrocento Sans"/>
                  <a:cs typeface="Quattrocento Sans"/>
                  <a:sym typeface="Quattrocento Sans"/>
                </a:rPr>
                <a:t>Back to top</a:t>
              </a:r>
              <a:endParaRPr sz="1400"/>
            </a:p>
          </xdr:txBody>
        </xdr:sp>
        <xdr:cxnSp macro="">
          <xdr:nvCxnSpPr>
            <xdr:cNvPr id="238" name="Shape 238" descr="Decorative line">
              <a:extLst>
                <a:ext uri="{FF2B5EF4-FFF2-40B4-BE49-F238E27FC236}">
                  <a16:creationId xmlns:a16="http://schemas.microsoft.com/office/drawing/2014/main" id="{00000000-0008-0000-0200-0000EE000000}"/>
                </a:ext>
              </a:extLst>
            </xdr:cNvPr>
            <xdr:cNvCxnSpPr/>
          </xdr:nvCxnSpPr>
          <xdr:spPr>
            <a:xfrm>
              <a:off x="634974" y="19526250"/>
              <a:ext cx="5213376" cy="0"/>
            </a:xfrm>
            <a:prstGeom prst="straightConnector1">
              <a:avLst/>
            </a:prstGeom>
            <a:noFill/>
            <a:ln w="25400" cap="flat" cmpd="sng">
              <a:solidFill>
                <a:srgbClr val="217346"/>
              </a:solidFill>
              <a:prstDash val="solid"/>
              <a:round/>
              <a:headEnd type="none" w="sm" len="sm"/>
              <a:tailEnd type="none" w="sm" len="sm"/>
            </a:ln>
          </xdr:spPr>
        </xdr:cxnSp>
        <xdr:sp macro="" textlink="">
          <xdr:nvSpPr>
            <xdr:cNvPr id="239" name="Shape 239" descr="Next step button, hyperlinked to next sheet">
              <a:hlinkClick xmlns:r="http://schemas.openxmlformats.org/officeDocument/2006/relationships" r:id="rId3"/>
              <a:extLst>
                <a:ext uri="{FF2B5EF4-FFF2-40B4-BE49-F238E27FC236}">
                  <a16:creationId xmlns:a16="http://schemas.microsoft.com/office/drawing/2014/main" id="{00000000-0008-0000-0200-0000EF000000}"/>
                </a:ext>
              </a:extLst>
            </xdr:cNvPr>
            <xdr:cNvSpPr/>
          </xdr:nvSpPr>
          <xdr:spPr>
            <a:xfrm>
              <a:off x="4693920" y="19977858"/>
              <a:ext cx="1154430" cy="348492"/>
            </a:xfrm>
            <a:prstGeom prst="rightArrowCallout">
              <a:avLst>
                <a:gd name="adj1" fmla="val 32829"/>
                <a:gd name="adj2" fmla="val 31524"/>
                <a:gd name="adj3" fmla="val 25000"/>
                <a:gd name="adj4" fmla="val 86357"/>
              </a:avLst>
            </a:prstGeom>
            <a:solidFill>
              <a:schemeClr val="lt1"/>
            </a:solidFill>
            <a:ln w="12700" cap="flat" cmpd="sng">
              <a:solidFill>
                <a:srgbClr val="0B744D"/>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a:solidFill>
                    <a:srgbClr val="0B744D"/>
                  </a:solidFill>
                  <a:latin typeface="Quattrocento Sans"/>
                  <a:ea typeface="Quattrocento Sans"/>
                  <a:cs typeface="Quattrocento Sans"/>
                  <a:sym typeface="Quattrocento Sans"/>
                </a:rPr>
                <a:t>Next step</a:t>
              </a:r>
              <a:endParaRPr sz="1400"/>
            </a:p>
          </xdr:txBody>
        </xdr:sp>
        <xdr:sp macro="" textlink="">
          <xdr:nvSpPr>
            <xdr:cNvPr id="240" name="Shape 240" descr="Split text into different columns, hyperlinked to web">
              <a:hlinkClick xmlns:r="http://schemas.openxmlformats.org/officeDocument/2006/relationships" r:id="rId4"/>
              <a:extLst>
                <a:ext uri="{FF2B5EF4-FFF2-40B4-BE49-F238E27FC236}">
                  <a16:creationId xmlns:a16="http://schemas.microsoft.com/office/drawing/2014/main" id="{00000000-0008-0000-0200-0000F0000000}"/>
                </a:ext>
              </a:extLst>
            </xdr:cNvPr>
            <xdr:cNvSpPr txBox="1"/>
          </xdr:nvSpPr>
          <xdr:spPr>
            <a:xfrm>
              <a:off x="1038833" y="16739698"/>
              <a:ext cx="2161567" cy="310052"/>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u="sng">
                  <a:solidFill>
                    <a:srgbClr val="3F3F3F"/>
                  </a:solidFill>
                  <a:latin typeface="Quattrocento Sans"/>
                  <a:ea typeface="Quattrocento Sans"/>
                  <a:cs typeface="Quattrocento Sans"/>
                  <a:sym typeface="Quattrocento Sans"/>
                </a:rPr>
                <a:t>Split text into different columns</a:t>
              </a:r>
              <a:endParaRPr sz="1400"/>
            </a:p>
          </xdr:txBody>
        </xdr:sp>
        <xdr:pic>
          <xdr:nvPicPr>
            <xdr:cNvPr id="241" name="Shape 241" descr="Arrow">
              <a:hlinkClick xmlns:r="http://schemas.openxmlformats.org/officeDocument/2006/relationships" r:id="rId4"/>
              <a:extLst>
                <a:ext uri="{FF2B5EF4-FFF2-40B4-BE49-F238E27FC236}">
                  <a16:creationId xmlns:a16="http://schemas.microsoft.com/office/drawing/2014/main" id="{00000000-0008-0000-0200-0000F1000000}"/>
                </a:ext>
              </a:extLst>
            </xdr:cNvPr>
            <xdr:cNvPicPr preferRelativeResize="0"/>
          </xdr:nvPicPr>
          <xdr:blipFill rotWithShape="1">
            <a:blip xmlns:r="http://schemas.openxmlformats.org/officeDocument/2006/relationships" r:embed="rId5">
              <a:alphaModFix/>
            </a:blip>
            <a:srcRect/>
            <a:stretch/>
          </xdr:blipFill>
          <xdr:spPr>
            <a:xfrm>
              <a:off x="611553" y="16644422"/>
              <a:ext cx="454554" cy="448472"/>
            </a:xfrm>
            <a:prstGeom prst="rect">
              <a:avLst/>
            </a:prstGeom>
            <a:noFill/>
            <a:ln>
              <a:noFill/>
            </a:ln>
          </xdr:spPr>
        </xdr:pic>
        <xdr:sp macro="" textlink="">
          <xdr:nvSpPr>
            <xdr:cNvPr id="242" name="Shape 242" descr="All about Get &amp; Transform, hyperlinked to web">
              <a:hlinkClick xmlns:r="http://schemas.openxmlformats.org/officeDocument/2006/relationships" r:id="rId6"/>
              <a:extLst>
                <a:ext uri="{FF2B5EF4-FFF2-40B4-BE49-F238E27FC236}">
                  <a16:creationId xmlns:a16="http://schemas.microsoft.com/office/drawing/2014/main" id="{00000000-0008-0000-0200-0000F2000000}"/>
                </a:ext>
              </a:extLst>
            </xdr:cNvPr>
            <xdr:cNvSpPr txBox="1"/>
          </xdr:nvSpPr>
          <xdr:spPr>
            <a:xfrm>
              <a:off x="1038833" y="17204306"/>
              <a:ext cx="2161567" cy="290453"/>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u="sng">
                  <a:solidFill>
                    <a:srgbClr val="3F3F3F"/>
                  </a:solidFill>
                  <a:latin typeface="Quattrocento Sans"/>
                  <a:ea typeface="Quattrocento Sans"/>
                  <a:cs typeface="Quattrocento Sans"/>
                  <a:sym typeface="Quattrocento Sans"/>
                </a:rPr>
                <a:t>All about Get &amp; Transform </a:t>
              </a:r>
              <a:endParaRPr sz="1400"/>
            </a:p>
            <a:p>
              <a:pPr marL="0" lvl="0" indent="0" algn="l" rtl="0">
                <a:spcBef>
                  <a:spcPts val="0"/>
                </a:spcBef>
                <a:spcAft>
                  <a:spcPts val="0"/>
                </a:spcAft>
                <a:buNone/>
              </a:pPr>
              <a:endParaRPr sz="1100" u="sng">
                <a:solidFill>
                  <a:srgbClr val="3F3F3F"/>
                </a:solidFill>
                <a:latin typeface="Quattrocento Sans"/>
                <a:ea typeface="Quattrocento Sans"/>
                <a:cs typeface="Quattrocento Sans"/>
                <a:sym typeface="Quattrocento Sans"/>
              </a:endParaRPr>
            </a:p>
          </xdr:txBody>
        </xdr:sp>
        <xdr:pic>
          <xdr:nvPicPr>
            <xdr:cNvPr id="243" name="Shape 243" descr="Arrow">
              <a:hlinkClick xmlns:r="http://schemas.openxmlformats.org/officeDocument/2006/relationships" r:id="rId6"/>
              <a:extLst>
                <a:ext uri="{FF2B5EF4-FFF2-40B4-BE49-F238E27FC236}">
                  <a16:creationId xmlns:a16="http://schemas.microsoft.com/office/drawing/2014/main" id="{00000000-0008-0000-0200-0000F3000000}"/>
                </a:ext>
              </a:extLst>
            </xdr:cNvPr>
            <xdr:cNvPicPr preferRelativeResize="0"/>
          </xdr:nvPicPr>
          <xdr:blipFill rotWithShape="1">
            <a:blip xmlns:r="http://schemas.openxmlformats.org/officeDocument/2006/relationships" r:embed="rId5">
              <a:alphaModFix/>
            </a:blip>
            <a:srcRect/>
            <a:stretch/>
          </xdr:blipFill>
          <xdr:spPr>
            <a:xfrm>
              <a:off x="611553" y="17102277"/>
              <a:ext cx="454554" cy="448472"/>
            </a:xfrm>
            <a:prstGeom prst="rect">
              <a:avLst/>
            </a:prstGeom>
            <a:noFill/>
            <a:ln>
              <a:noFill/>
            </a:ln>
          </xdr:spPr>
        </xdr:pic>
        <xdr:sp macro="" textlink="">
          <xdr:nvSpPr>
            <xdr:cNvPr id="244" name="Shape 244" descr="All about the LEFT function, hyperlinked to web">
              <a:hlinkClick xmlns:r="http://schemas.openxmlformats.org/officeDocument/2006/relationships" r:id="rId7"/>
              <a:extLst>
                <a:ext uri="{FF2B5EF4-FFF2-40B4-BE49-F238E27FC236}">
                  <a16:creationId xmlns:a16="http://schemas.microsoft.com/office/drawing/2014/main" id="{00000000-0008-0000-0200-0000F4000000}"/>
                </a:ext>
              </a:extLst>
            </xdr:cNvPr>
            <xdr:cNvSpPr txBox="1"/>
          </xdr:nvSpPr>
          <xdr:spPr>
            <a:xfrm>
              <a:off x="1038833" y="17671472"/>
              <a:ext cx="2161567" cy="290453"/>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u="sng">
                  <a:solidFill>
                    <a:srgbClr val="3F3F3F"/>
                  </a:solidFill>
                  <a:latin typeface="Quattrocento Sans"/>
                  <a:ea typeface="Quattrocento Sans"/>
                  <a:cs typeface="Quattrocento Sans"/>
                  <a:sym typeface="Quattrocento Sans"/>
                </a:rPr>
                <a:t>All about the LEFT function</a:t>
              </a:r>
              <a:endParaRPr sz="1400"/>
            </a:p>
          </xdr:txBody>
        </xdr:sp>
        <xdr:pic>
          <xdr:nvPicPr>
            <xdr:cNvPr id="245" name="Shape 245" descr="Arrow">
              <a:hlinkClick xmlns:r="http://schemas.openxmlformats.org/officeDocument/2006/relationships" r:id="rId7"/>
              <a:extLst>
                <a:ext uri="{FF2B5EF4-FFF2-40B4-BE49-F238E27FC236}">
                  <a16:creationId xmlns:a16="http://schemas.microsoft.com/office/drawing/2014/main" id="{00000000-0008-0000-0200-0000F5000000}"/>
                </a:ext>
              </a:extLst>
            </xdr:cNvPr>
            <xdr:cNvPicPr preferRelativeResize="0"/>
          </xdr:nvPicPr>
          <xdr:blipFill rotWithShape="1">
            <a:blip xmlns:r="http://schemas.openxmlformats.org/officeDocument/2006/relationships" r:embed="rId5">
              <a:alphaModFix/>
            </a:blip>
            <a:srcRect/>
            <a:stretch/>
          </xdr:blipFill>
          <xdr:spPr>
            <a:xfrm>
              <a:off x="611553" y="17569442"/>
              <a:ext cx="454554" cy="448472"/>
            </a:xfrm>
            <a:prstGeom prst="rect">
              <a:avLst/>
            </a:prstGeom>
            <a:noFill/>
            <a:ln>
              <a:noFill/>
            </a:ln>
          </xdr:spPr>
        </xdr:pic>
        <xdr:sp macro="" textlink="">
          <xdr:nvSpPr>
            <xdr:cNvPr id="246" name="Shape 246" descr="All about the RIGHT function, hyperlinked to web">
              <a:hlinkClick xmlns:r="http://schemas.openxmlformats.org/officeDocument/2006/relationships" r:id="rId8"/>
              <a:extLst>
                <a:ext uri="{FF2B5EF4-FFF2-40B4-BE49-F238E27FC236}">
                  <a16:creationId xmlns:a16="http://schemas.microsoft.com/office/drawing/2014/main" id="{00000000-0008-0000-0200-0000F6000000}"/>
                </a:ext>
              </a:extLst>
            </xdr:cNvPr>
            <xdr:cNvSpPr txBox="1"/>
          </xdr:nvSpPr>
          <xdr:spPr>
            <a:xfrm>
              <a:off x="1038833" y="18130348"/>
              <a:ext cx="2161567" cy="310052"/>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u="sng">
                  <a:solidFill>
                    <a:srgbClr val="3F3F3F"/>
                  </a:solidFill>
                  <a:latin typeface="Quattrocento Sans"/>
                  <a:ea typeface="Quattrocento Sans"/>
                  <a:cs typeface="Quattrocento Sans"/>
                  <a:sym typeface="Quattrocento Sans"/>
                </a:rPr>
                <a:t>All about the RIGHT function</a:t>
              </a:r>
              <a:endParaRPr sz="1400"/>
            </a:p>
          </xdr:txBody>
        </xdr:sp>
        <xdr:pic>
          <xdr:nvPicPr>
            <xdr:cNvPr id="247" name="Shape 247" descr="Arrow">
              <a:hlinkClick xmlns:r="http://schemas.openxmlformats.org/officeDocument/2006/relationships" r:id="rId8"/>
              <a:extLst>
                <a:ext uri="{FF2B5EF4-FFF2-40B4-BE49-F238E27FC236}">
                  <a16:creationId xmlns:a16="http://schemas.microsoft.com/office/drawing/2014/main" id="{00000000-0008-0000-0200-0000F7000000}"/>
                </a:ext>
              </a:extLst>
            </xdr:cNvPr>
            <xdr:cNvPicPr preferRelativeResize="0"/>
          </xdr:nvPicPr>
          <xdr:blipFill rotWithShape="1">
            <a:blip xmlns:r="http://schemas.openxmlformats.org/officeDocument/2006/relationships" r:embed="rId5">
              <a:alphaModFix/>
            </a:blip>
            <a:srcRect/>
            <a:stretch/>
          </xdr:blipFill>
          <xdr:spPr>
            <a:xfrm>
              <a:off x="611553" y="18035072"/>
              <a:ext cx="454554" cy="448472"/>
            </a:xfrm>
            <a:prstGeom prst="rect">
              <a:avLst/>
            </a:prstGeom>
            <a:noFill/>
            <a:ln>
              <a:noFill/>
            </a:ln>
          </xdr:spPr>
        </xdr:pic>
        <xdr:sp macro="" textlink="">
          <xdr:nvSpPr>
            <xdr:cNvPr id="248" name="Shape 248" descr="All about the FIND function, hyperlinked to web">
              <a:hlinkClick xmlns:r="http://schemas.openxmlformats.org/officeDocument/2006/relationships" r:id="rId9"/>
              <a:extLst>
                <a:ext uri="{FF2B5EF4-FFF2-40B4-BE49-F238E27FC236}">
                  <a16:creationId xmlns:a16="http://schemas.microsoft.com/office/drawing/2014/main" id="{00000000-0008-0000-0200-0000F8000000}"/>
                </a:ext>
              </a:extLst>
            </xdr:cNvPr>
            <xdr:cNvSpPr txBox="1"/>
          </xdr:nvSpPr>
          <xdr:spPr>
            <a:xfrm>
              <a:off x="1038833" y="18594956"/>
              <a:ext cx="2161567" cy="290453"/>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u="sng">
                  <a:solidFill>
                    <a:srgbClr val="3F3F3F"/>
                  </a:solidFill>
                  <a:latin typeface="Quattrocento Sans"/>
                  <a:ea typeface="Quattrocento Sans"/>
                  <a:cs typeface="Quattrocento Sans"/>
                  <a:sym typeface="Quattrocento Sans"/>
                </a:rPr>
                <a:t>All about the FIND function</a:t>
              </a:r>
              <a:endParaRPr sz="1400"/>
            </a:p>
          </xdr:txBody>
        </xdr:sp>
        <xdr:pic>
          <xdr:nvPicPr>
            <xdr:cNvPr id="249" name="Shape 249" descr="Arrow">
              <a:hlinkClick xmlns:r="http://schemas.openxmlformats.org/officeDocument/2006/relationships" r:id="rId9"/>
              <a:extLst>
                <a:ext uri="{FF2B5EF4-FFF2-40B4-BE49-F238E27FC236}">
                  <a16:creationId xmlns:a16="http://schemas.microsoft.com/office/drawing/2014/main" id="{00000000-0008-0000-0200-0000F9000000}"/>
                </a:ext>
              </a:extLst>
            </xdr:cNvPr>
            <xdr:cNvPicPr preferRelativeResize="0"/>
          </xdr:nvPicPr>
          <xdr:blipFill rotWithShape="1">
            <a:blip xmlns:r="http://schemas.openxmlformats.org/officeDocument/2006/relationships" r:embed="rId5">
              <a:alphaModFix/>
            </a:blip>
            <a:srcRect/>
            <a:stretch/>
          </xdr:blipFill>
          <xdr:spPr>
            <a:xfrm>
              <a:off x="611553" y="18492927"/>
              <a:ext cx="454554" cy="448472"/>
            </a:xfrm>
            <a:prstGeom prst="rect">
              <a:avLst/>
            </a:prstGeom>
            <a:noFill/>
            <a:ln>
              <a:noFill/>
            </a:ln>
          </xdr:spPr>
        </xdr:pic>
        <xdr:sp macro="" textlink="">
          <xdr:nvSpPr>
            <xdr:cNvPr id="250" name="Shape 250" descr="All about the LEN function, hyperlinked to web">
              <a:hlinkClick xmlns:r="http://schemas.openxmlformats.org/officeDocument/2006/relationships" r:id="rId10"/>
              <a:extLst>
                <a:ext uri="{FF2B5EF4-FFF2-40B4-BE49-F238E27FC236}">
                  <a16:creationId xmlns:a16="http://schemas.microsoft.com/office/drawing/2014/main" id="{00000000-0008-0000-0200-0000FA000000}"/>
                </a:ext>
              </a:extLst>
            </xdr:cNvPr>
            <xdr:cNvSpPr txBox="1"/>
          </xdr:nvSpPr>
          <xdr:spPr>
            <a:xfrm>
              <a:off x="1038833" y="19062122"/>
              <a:ext cx="2161567" cy="290453"/>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u="sng">
                  <a:solidFill>
                    <a:srgbClr val="3F3F3F"/>
                  </a:solidFill>
                  <a:latin typeface="Quattrocento Sans"/>
                  <a:ea typeface="Quattrocento Sans"/>
                  <a:cs typeface="Quattrocento Sans"/>
                  <a:sym typeface="Quattrocento Sans"/>
                </a:rPr>
                <a:t>All about the LEN function</a:t>
              </a:r>
              <a:endParaRPr sz="1400"/>
            </a:p>
          </xdr:txBody>
        </xdr:sp>
        <xdr:pic>
          <xdr:nvPicPr>
            <xdr:cNvPr id="251" name="Shape 251" descr="Arrow">
              <a:hlinkClick xmlns:r="http://schemas.openxmlformats.org/officeDocument/2006/relationships" r:id="rId10"/>
              <a:extLst>
                <a:ext uri="{FF2B5EF4-FFF2-40B4-BE49-F238E27FC236}">
                  <a16:creationId xmlns:a16="http://schemas.microsoft.com/office/drawing/2014/main" id="{00000000-0008-0000-0200-0000FB000000}"/>
                </a:ext>
              </a:extLst>
            </xdr:cNvPr>
            <xdr:cNvPicPr preferRelativeResize="0"/>
          </xdr:nvPicPr>
          <xdr:blipFill rotWithShape="1">
            <a:blip xmlns:r="http://schemas.openxmlformats.org/officeDocument/2006/relationships" r:embed="rId5">
              <a:alphaModFix/>
            </a:blip>
            <a:srcRect/>
            <a:stretch/>
          </xdr:blipFill>
          <xdr:spPr>
            <a:xfrm>
              <a:off x="611553" y="18960092"/>
              <a:ext cx="454554" cy="448472"/>
            </a:xfrm>
            <a:prstGeom prst="rect">
              <a:avLst/>
            </a:prstGeom>
            <a:noFill/>
            <a:ln>
              <a:noFill/>
            </a:ln>
          </xdr:spPr>
        </xdr:pic>
      </xdr:grpSp>
    </xdr:grpSp>
    <xdr:clientData fLocksWithSheet="0"/>
  </xdr:oneCellAnchor>
  <xdr:oneCellAnchor>
    <xdr:from>
      <xdr:col>0</xdr:col>
      <xdr:colOff>390525</xdr:colOff>
      <xdr:row>26</xdr:row>
      <xdr:rowOff>0</xdr:rowOff>
    </xdr:from>
    <xdr:ext cx="5695950" cy="3933825"/>
    <xdr:grpSp>
      <xdr:nvGrpSpPr>
        <xdr:cNvPr id="10" name="Shape 2">
          <a:extLst>
            <a:ext uri="{FF2B5EF4-FFF2-40B4-BE49-F238E27FC236}">
              <a16:creationId xmlns:a16="http://schemas.microsoft.com/office/drawing/2014/main" id="{00000000-0008-0000-0200-00000A000000}"/>
            </a:ext>
          </a:extLst>
        </xdr:cNvPr>
        <xdr:cNvGrpSpPr/>
      </xdr:nvGrpSpPr>
      <xdr:grpSpPr>
        <a:xfrm>
          <a:off x="390525" y="5551714"/>
          <a:ext cx="5695950" cy="3933825"/>
          <a:chOff x="2498025" y="1813088"/>
          <a:chExt cx="5695950" cy="3933825"/>
        </a:xfrm>
      </xdr:grpSpPr>
      <xdr:grpSp>
        <xdr:nvGrpSpPr>
          <xdr:cNvPr id="252" name="Shape 252" descr="Split a column based on delimiters&#10;Flash Fill is pretty handy. But if you want to split data into more than one column all at once, then it's not the best tool for the job. Try Text to Columns in this situation:&#10;Click and drag to select the cells from Nancy all the way down to Yvonne.&#10;On the Data tab, click Text to Columns. Make sure that Delimited is selected, and then click Next.&#10;Under Delimiters, make sure that Comma is the only checkbox selected, and then click Next.&#10;Click the General option. &#10;Finally, click inside the Destination box and type $D$32. Then click Finish">
            <a:extLst>
              <a:ext uri="{FF2B5EF4-FFF2-40B4-BE49-F238E27FC236}">
                <a16:creationId xmlns:a16="http://schemas.microsoft.com/office/drawing/2014/main" id="{00000000-0008-0000-0200-0000FC000000}"/>
              </a:ext>
            </a:extLst>
          </xdr:cNvPr>
          <xdr:cNvGrpSpPr/>
        </xdr:nvGrpSpPr>
        <xdr:grpSpPr>
          <a:xfrm>
            <a:off x="2498025" y="1813088"/>
            <a:ext cx="5695950" cy="3933825"/>
            <a:chOff x="390525" y="5943600"/>
            <a:chExt cx="5695950" cy="3940174"/>
          </a:xfrm>
        </xdr:grpSpPr>
        <xdr:sp macro="" textlink="">
          <xdr:nvSpPr>
            <xdr:cNvPr id="11" name="Shape 4">
              <a:extLst>
                <a:ext uri="{FF2B5EF4-FFF2-40B4-BE49-F238E27FC236}">
                  <a16:creationId xmlns:a16="http://schemas.microsoft.com/office/drawing/2014/main" id="{00000000-0008-0000-0200-00000B000000}"/>
                </a:ext>
              </a:extLst>
            </xdr:cNvPr>
            <xdr:cNvSpPr/>
          </xdr:nvSpPr>
          <xdr:spPr>
            <a:xfrm>
              <a:off x="390525" y="5943600"/>
              <a:ext cx="5695950" cy="3940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253" name="Shape 253" descr="Background">
              <a:extLst>
                <a:ext uri="{FF2B5EF4-FFF2-40B4-BE49-F238E27FC236}">
                  <a16:creationId xmlns:a16="http://schemas.microsoft.com/office/drawing/2014/main" id="{00000000-0008-0000-0200-0000FD000000}"/>
                </a:ext>
              </a:extLst>
            </xdr:cNvPr>
            <xdr:cNvSpPr/>
          </xdr:nvSpPr>
          <xdr:spPr>
            <a:xfrm>
              <a:off x="390525" y="5943600"/>
              <a:ext cx="5695950" cy="3940174"/>
            </a:xfrm>
            <a:prstGeom prst="rect">
              <a:avLst/>
            </a:prstGeom>
            <a:solidFill>
              <a:srgbClr val="F5F5F5"/>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254" name="Shape 254" descr="Split a column based on delimiters">
              <a:extLst>
                <a:ext uri="{FF2B5EF4-FFF2-40B4-BE49-F238E27FC236}">
                  <a16:creationId xmlns:a16="http://schemas.microsoft.com/office/drawing/2014/main" id="{00000000-0008-0000-0200-0000FE000000}"/>
                </a:ext>
              </a:extLst>
            </xdr:cNvPr>
            <xdr:cNvSpPr txBox="1"/>
          </xdr:nvSpPr>
          <xdr:spPr>
            <a:xfrm>
              <a:off x="622273" y="6071822"/>
              <a:ext cx="5216551" cy="490903"/>
            </a:xfrm>
            <a:prstGeom prst="rect">
              <a:avLst/>
            </a:prstGeom>
            <a:noFill/>
            <a:ln>
              <a:noFill/>
            </a:ln>
          </xdr:spPr>
          <xdr:txBody>
            <a:bodyPr spcFirstLastPara="1" wrap="square" lIns="0" tIns="45700" rIns="0" bIns="45700" anchor="t" anchorCtr="0">
              <a:noAutofit/>
            </a:bodyPr>
            <a:lstStyle/>
            <a:p>
              <a:pPr marL="0" marR="0" lvl="0" indent="0" algn="l" rtl="0">
                <a:lnSpc>
                  <a:spcPct val="100000"/>
                </a:lnSpc>
                <a:spcBef>
                  <a:spcPts val="0"/>
                </a:spcBef>
                <a:spcAft>
                  <a:spcPts val="0"/>
                </a:spcAft>
                <a:buClr>
                  <a:srgbClr val="3A3838"/>
                </a:buClr>
                <a:buSzPts val="2200"/>
                <a:buFont typeface="Quattrocento Sans"/>
                <a:buNone/>
              </a:pPr>
              <a:r>
                <a:rPr lang="en-US" sz="2200" b="0" i="0" u="none" strike="noStrike" cap="none">
                  <a:solidFill>
                    <a:srgbClr val="3A3838"/>
                  </a:solidFill>
                  <a:latin typeface="Quattrocento Sans"/>
                  <a:ea typeface="Quattrocento Sans"/>
                  <a:cs typeface="Quattrocento Sans"/>
                  <a:sym typeface="Quattrocento Sans"/>
                </a:rPr>
                <a:t>Split a column based on delimiters</a:t>
              </a:r>
              <a:endParaRPr sz="2200" b="0">
                <a:solidFill>
                  <a:srgbClr val="3A3838"/>
                </a:solidFill>
                <a:latin typeface="Quattrocento Sans"/>
                <a:ea typeface="Quattrocento Sans"/>
                <a:cs typeface="Quattrocento Sans"/>
                <a:sym typeface="Quattrocento Sans"/>
              </a:endParaRPr>
            </a:p>
          </xdr:txBody>
        </xdr:sp>
        <xdr:cxnSp macro="">
          <xdr:nvCxnSpPr>
            <xdr:cNvPr id="255" name="Shape 255" descr="Decorative line">
              <a:extLst>
                <a:ext uri="{FF2B5EF4-FFF2-40B4-BE49-F238E27FC236}">
                  <a16:creationId xmlns:a16="http://schemas.microsoft.com/office/drawing/2014/main" id="{00000000-0008-0000-0200-0000FF000000}"/>
                </a:ext>
              </a:extLst>
            </xdr:cNvPr>
            <xdr:cNvCxnSpPr/>
          </xdr:nvCxnSpPr>
          <xdr:spPr>
            <a:xfrm>
              <a:off x="625449" y="6579235"/>
              <a:ext cx="5213376" cy="0"/>
            </a:xfrm>
            <a:prstGeom prst="straightConnector1">
              <a:avLst/>
            </a:prstGeom>
            <a:noFill/>
            <a:ln w="25400" cap="flat" cmpd="sng">
              <a:solidFill>
                <a:srgbClr val="217346"/>
              </a:solidFill>
              <a:prstDash val="solid"/>
              <a:round/>
              <a:headEnd type="none" w="sm" len="sm"/>
              <a:tailEnd type="none" w="sm" len="sm"/>
            </a:ln>
          </xdr:spPr>
        </xdr:cxnSp>
        <xdr:cxnSp macro="">
          <xdr:nvCxnSpPr>
            <xdr:cNvPr id="256" name="Shape 256" descr="Decorative line">
              <a:extLst>
                <a:ext uri="{FF2B5EF4-FFF2-40B4-BE49-F238E27FC236}">
                  <a16:creationId xmlns:a16="http://schemas.microsoft.com/office/drawing/2014/main" id="{00000000-0008-0000-0200-000000010000}"/>
                </a:ext>
              </a:extLst>
            </xdr:cNvPr>
            <xdr:cNvCxnSpPr/>
          </xdr:nvCxnSpPr>
          <xdr:spPr>
            <a:xfrm>
              <a:off x="625449" y="9650917"/>
              <a:ext cx="5213376" cy="0"/>
            </a:xfrm>
            <a:prstGeom prst="straightConnector1">
              <a:avLst/>
            </a:prstGeom>
            <a:noFill/>
            <a:ln w="25400" cap="flat" cmpd="sng">
              <a:solidFill>
                <a:srgbClr val="217346"/>
              </a:solidFill>
              <a:prstDash val="solid"/>
              <a:round/>
              <a:headEnd type="none" w="sm" len="sm"/>
              <a:tailEnd type="none" w="sm" len="sm"/>
            </a:ln>
          </xdr:spPr>
        </xdr:cxnSp>
        <xdr:sp macro="" textlink="">
          <xdr:nvSpPr>
            <xdr:cNvPr id="257" name="Shape 257" descr="Flash Fill is pretty handy. But if you want to split data into more than one column all at once, then it's not the best tool for the job. Try Text to Columns in this situation:">
              <a:extLst>
                <a:ext uri="{FF2B5EF4-FFF2-40B4-BE49-F238E27FC236}">
                  <a16:creationId xmlns:a16="http://schemas.microsoft.com/office/drawing/2014/main" id="{00000000-0008-0000-0200-000001010000}"/>
                </a:ext>
              </a:extLst>
            </xdr:cNvPr>
            <xdr:cNvSpPr txBox="1"/>
          </xdr:nvSpPr>
          <xdr:spPr>
            <a:xfrm>
              <a:off x="619125" y="6652845"/>
              <a:ext cx="5300938" cy="420026"/>
            </a:xfrm>
            <a:prstGeom prst="rect">
              <a:avLst/>
            </a:prstGeom>
            <a:noFill/>
            <a:ln>
              <a:noFill/>
            </a:ln>
          </xdr:spPr>
          <xdr:txBody>
            <a:bodyPr spcFirstLastPara="1" wrap="square" lIns="0" tIns="45700" rIns="0" bIns="45700" anchor="t" anchorCtr="0">
              <a:noAutofit/>
            </a:bodyPr>
            <a:lstStyle/>
            <a:p>
              <a:pPr marL="0" lvl="0" indent="0" algn="l" rtl="0">
                <a:spcBef>
                  <a:spcPts val="0"/>
                </a:spcBef>
                <a:spcAft>
                  <a:spcPts val="0"/>
                </a:spcAft>
                <a:buNone/>
              </a:pPr>
              <a:r>
                <a:rPr lang="en-US" sz="1100">
                  <a:solidFill>
                    <a:schemeClr val="dk1"/>
                  </a:solidFill>
                  <a:latin typeface="Quattrocento Sans"/>
                  <a:ea typeface="Quattrocento Sans"/>
                  <a:cs typeface="Quattrocento Sans"/>
                  <a:sym typeface="Quattrocento Sans"/>
                </a:rPr>
                <a:t>Flash Fill is pretty handy. But if you want to split data into more than one column all at once, then it's not the best tool for the job. </a:t>
              </a:r>
              <a:r>
                <a:rPr lang="en-US" sz="1100" b="0">
                  <a:solidFill>
                    <a:schemeClr val="dk1"/>
                  </a:solidFill>
                  <a:latin typeface="Quattrocento Sans"/>
                  <a:ea typeface="Quattrocento Sans"/>
                  <a:cs typeface="Quattrocento Sans"/>
                  <a:sym typeface="Quattrocento Sans"/>
                </a:rPr>
                <a:t>Try </a:t>
              </a:r>
              <a:r>
                <a:rPr lang="en-US" sz="1100" b="1">
                  <a:solidFill>
                    <a:schemeClr val="dk1"/>
                  </a:solidFill>
                  <a:latin typeface="Quattrocento Sans"/>
                  <a:ea typeface="Quattrocento Sans"/>
                  <a:cs typeface="Quattrocento Sans"/>
                  <a:sym typeface="Quattrocento Sans"/>
                </a:rPr>
                <a:t>Text to Columns </a:t>
              </a:r>
              <a:r>
                <a:rPr lang="en-US" sz="1100">
                  <a:solidFill>
                    <a:schemeClr val="dk1"/>
                  </a:solidFill>
                  <a:latin typeface="Quattrocento Sans"/>
                  <a:ea typeface="Quattrocento Sans"/>
                  <a:cs typeface="Quattrocento Sans"/>
                  <a:sym typeface="Quattrocento Sans"/>
                </a:rPr>
                <a:t>in this situation:</a:t>
              </a:r>
              <a:endParaRPr sz="1400"/>
            </a:p>
          </xdr:txBody>
        </xdr:sp>
        <xdr:sp macro="" textlink="">
          <xdr:nvSpPr>
            <xdr:cNvPr id="258" name="Shape 258" descr="Click and drag to select the cells from Nancy all the way down to Yvonne">
              <a:extLst>
                <a:ext uri="{FF2B5EF4-FFF2-40B4-BE49-F238E27FC236}">
                  <a16:creationId xmlns:a16="http://schemas.microsoft.com/office/drawing/2014/main" id="{00000000-0008-0000-0200-000002010000}"/>
                </a:ext>
              </a:extLst>
            </xdr:cNvPr>
            <xdr:cNvSpPr txBox="1"/>
          </xdr:nvSpPr>
          <xdr:spPr>
            <a:xfrm>
              <a:off x="1029308" y="7160591"/>
              <a:ext cx="4809516" cy="497509"/>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rgbClr val="3F3F3F"/>
                  </a:solidFill>
                  <a:latin typeface="Quattrocento Sans"/>
                  <a:ea typeface="Quattrocento Sans"/>
                  <a:cs typeface="Quattrocento Sans"/>
                  <a:sym typeface="Quattrocento Sans"/>
                </a:rPr>
                <a:t>Click and drag to select the cells from </a:t>
              </a:r>
              <a:r>
                <a:rPr lang="en-US" sz="1100" b="1">
                  <a:solidFill>
                    <a:srgbClr val="3F3F3F"/>
                  </a:solidFill>
                  <a:latin typeface="Quattrocento Sans"/>
                  <a:ea typeface="Quattrocento Sans"/>
                  <a:cs typeface="Quattrocento Sans"/>
                  <a:sym typeface="Quattrocento Sans"/>
                </a:rPr>
                <a:t>Nancy</a:t>
              </a:r>
              <a:r>
                <a:rPr lang="en-US" sz="1100">
                  <a:solidFill>
                    <a:srgbClr val="3F3F3F"/>
                  </a:solidFill>
                  <a:latin typeface="Quattrocento Sans"/>
                  <a:ea typeface="Quattrocento Sans"/>
                  <a:cs typeface="Quattrocento Sans"/>
                  <a:sym typeface="Quattrocento Sans"/>
                </a:rPr>
                <a:t> all the way down to </a:t>
              </a:r>
              <a:r>
                <a:rPr lang="en-US" sz="1100" b="1">
                  <a:solidFill>
                    <a:srgbClr val="3F3F3F"/>
                  </a:solidFill>
                  <a:latin typeface="Quattrocento Sans"/>
                  <a:ea typeface="Quattrocento Sans"/>
                  <a:cs typeface="Quattrocento Sans"/>
                  <a:sym typeface="Quattrocento Sans"/>
                </a:rPr>
                <a:t>Yvonne</a:t>
              </a:r>
              <a:r>
                <a:rPr lang="en-US" sz="1100">
                  <a:solidFill>
                    <a:srgbClr val="3F3F3F"/>
                  </a:solidFill>
                  <a:latin typeface="Quattrocento Sans"/>
                  <a:ea typeface="Quattrocento Sans"/>
                  <a:cs typeface="Quattrocento Sans"/>
                  <a:sym typeface="Quattrocento Sans"/>
                </a:rPr>
                <a:t>.</a:t>
              </a:r>
              <a:endParaRPr sz="1400"/>
            </a:p>
          </xdr:txBody>
        </xdr:sp>
        <xdr:sp macro="" textlink="">
          <xdr:nvSpPr>
            <xdr:cNvPr id="259" name="Shape 259" descr="1">
              <a:extLst>
                <a:ext uri="{FF2B5EF4-FFF2-40B4-BE49-F238E27FC236}">
                  <a16:creationId xmlns:a16="http://schemas.microsoft.com/office/drawing/2014/main" id="{00000000-0008-0000-0200-000003010000}"/>
                </a:ext>
              </a:extLst>
            </xdr:cNvPr>
            <xdr:cNvSpPr/>
          </xdr:nvSpPr>
          <xdr:spPr>
            <a:xfrm>
              <a:off x="622274" y="7118093"/>
              <a:ext cx="371587"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1</a:t>
              </a:r>
              <a:endParaRPr sz="1400"/>
            </a:p>
          </xdr:txBody>
        </xdr:sp>
        <xdr:sp macro="" textlink="">
          <xdr:nvSpPr>
            <xdr:cNvPr id="260" name="Shape 260" descr="On the Data tab, click Text to Columns. Make sure that Delimited is selected, and then click Next">
              <a:extLst>
                <a:ext uri="{FF2B5EF4-FFF2-40B4-BE49-F238E27FC236}">
                  <a16:creationId xmlns:a16="http://schemas.microsoft.com/office/drawing/2014/main" id="{00000000-0008-0000-0200-000004010000}"/>
                </a:ext>
              </a:extLst>
            </xdr:cNvPr>
            <xdr:cNvSpPr txBox="1"/>
          </xdr:nvSpPr>
          <xdr:spPr>
            <a:xfrm>
              <a:off x="1029307" y="7632832"/>
              <a:ext cx="4809517" cy="561387"/>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rgbClr val="3F3F3F"/>
                  </a:solidFill>
                  <a:latin typeface="Quattrocento Sans"/>
                  <a:ea typeface="Quattrocento Sans"/>
                  <a:cs typeface="Quattrocento Sans"/>
                  <a:sym typeface="Quattrocento Sans"/>
                </a:rPr>
                <a:t>On the </a:t>
              </a:r>
              <a:r>
                <a:rPr lang="en-US" sz="1100" b="1">
                  <a:solidFill>
                    <a:srgbClr val="3F3F3F"/>
                  </a:solidFill>
                  <a:latin typeface="Quattrocento Sans"/>
                  <a:ea typeface="Quattrocento Sans"/>
                  <a:cs typeface="Quattrocento Sans"/>
                  <a:sym typeface="Quattrocento Sans"/>
                </a:rPr>
                <a:t>Data </a:t>
              </a:r>
              <a:r>
                <a:rPr lang="en-US" sz="1100">
                  <a:solidFill>
                    <a:srgbClr val="3F3F3F"/>
                  </a:solidFill>
                  <a:latin typeface="Quattrocento Sans"/>
                  <a:ea typeface="Quattrocento Sans"/>
                  <a:cs typeface="Quattrocento Sans"/>
                  <a:sym typeface="Quattrocento Sans"/>
                </a:rPr>
                <a:t>tab, click </a:t>
              </a:r>
              <a:r>
                <a:rPr lang="en-US" sz="1100" b="1">
                  <a:solidFill>
                    <a:srgbClr val="3F3F3F"/>
                  </a:solidFill>
                  <a:latin typeface="Quattrocento Sans"/>
                  <a:ea typeface="Quattrocento Sans"/>
                  <a:cs typeface="Quattrocento Sans"/>
                  <a:sym typeface="Quattrocento Sans"/>
                </a:rPr>
                <a:t>Text to Columns</a:t>
              </a:r>
              <a:r>
                <a:rPr lang="en-US" sz="1100">
                  <a:solidFill>
                    <a:srgbClr val="3F3F3F"/>
                  </a:solidFill>
                  <a:latin typeface="Quattrocento Sans"/>
                  <a:ea typeface="Quattrocento Sans"/>
                  <a:cs typeface="Quattrocento Sans"/>
                  <a:sym typeface="Quattrocento Sans"/>
                </a:rPr>
                <a:t>. Make sure that </a:t>
              </a:r>
              <a:r>
                <a:rPr lang="en-US" sz="1100" b="1">
                  <a:solidFill>
                    <a:srgbClr val="3F3F3F"/>
                  </a:solidFill>
                  <a:latin typeface="Quattrocento Sans"/>
                  <a:ea typeface="Quattrocento Sans"/>
                  <a:cs typeface="Quattrocento Sans"/>
                  <a:sym typeface="Quattrocento Sans"/>
                </a:rPr>
                <a:t>Delimited</a:t>
              </a:r>
              <a:r>
                <a:rPr lang="en-US" sz="1100">
                  <a:solidFill>
                    <a:srgbClr val="3F3F3F"/>
                  </a:solidFill>
                  <a:latin typeface="Quattrocento Sans"/>
                  <a:ea typeface="Quattrocento Sans"/>
                  <a:cs typeface="Quattrocento Sans"/>
                  <a:sym typeface="Quattrocento Sans"/>
                </a:rPr>
                <a:t> is selected, and then click </a:t>
              </a:r>
              <a:r>
                <a:rPr lang="en-US" sz="1100" b="1">
                  <a:solidFill>
                    <a:srgbClr val="3F3F3F"/>
                  </a:solidFill>
                  <a:latin typeface="Quattrocento Sans"/>
                  <a:ea typeface="Quattrocento Sans"/>
                  <a:cs typeface="Quattrocento Sans"/>
                  <a:sym typeface="Quattrocento Sans"/>
                </a:rPr>
                <a:t>Next</a:t>
              </a:r>
              <a:r>
                <a:rPr lang="en-US" sz="1100">
                  <a:solidFill>
                    <a:srgbClr val="3F3F3F"/>
                  </a:solidFill>
                  <a:latin typeface="Quattrocento Sans"/>
                  <a:ea typeface="Quattrocento Sans"/>
                  <a:cs typeface="Quattrocento Sans"/>
                  <a:sym typeface="Quattrocento Sans"/>
                </a:rPr>
                <a:t>.</a:t>
              </a:r>
              <a:endParaRPr sz="1400"/>
            </a:p>
            <a:p>
              <a:pPr marL="0" lvl="0" indent="0" algn="l" rtl="0">
                <a:spcBef>
                  <a:spcPts val="0"/>
                </a:spcBef>
                <a:spcAft>
                  <a:spcPts val="0"/>
                </a:spcAft>
                <a:buNone/>
              </a:pPr>
              <a:endParaRPr sz="1100">
                <a:solidFill>
                  <a:srgbClr val="3F3F3F"/>
                </a:solidFill>
                <a:latin typeface="Quattrocento Sans"/>
                <a:ea typeface="Quattrocento Sans"/>
                <a:cs typeface="Quattrocento Sans"/>
                <a:sym typeface="Quattrocento Sans"/>
              </a:endParaRPr>
            </a:p>
          </xdr:txBody>
        </xdr:sp>
        <xdr:sp macro="" textlink="">
          <xdr:nvSpPr>
            <xdr:cNvPr id="261" name="Shape 261" descr="2">
              <a:extLst>
                <a:ext uri="{FF2B5EF4-FFF2-40B4-BE49-F238E27FC236}">
                  <a16:creationId xmlns:a16="http://schemas.microsoft.com/office/drawing/2014/main" id="{00000000-0008-0000-0200-000005010000}"/>
                </a:ext>
              </a:extLst>
            </xdr:cNvPr>
            <xdr:cNvSpPr/>
          </xdr:nvSpPr>
          <xdr:spPr>
            <a:xfrm>
              <a:off x="622274" y="7590334"/>
              <a:ext cx="371587"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2</a:t>
              </a:r>
              <a:endParaRPr sz="1400"/>
            </a:p>
          </xdr:txBody>
        </xdr:sp>
        <xdr:sp macro="" textlink="">
          <xdr:nvSpPr>
            <xdr:cNvPr id="262" name="Shape 262" descr="Under Delimiters, make sure that Comma is the only checkbox selected, and then click Next">
              <a:extLst>
                <a:ext uri="{FF2B5EF4-FFF2-40B4-BE49-F238E27FC236}">
                  <a16:creationId xmlns:a16="http://schemas.microsoft.com/office/drawing/2014/main" id="{00000000-0008-0000-0200-000006010000}"/>
                </a:ext>
              </a:extLst>
            </xdr:cNvPr>
            <xdr:cNvSpPr txBox="1"/>
          </xdr:nvSpPr>
          <xdr:spPr>
            <a:xfrm>
              <a:off x="1029307" y="8148680"/>
              <a:ext cx="4809517" cy="561387"/>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rgbClr val="3F3F3F"/>
                  </a:solidFill>
                  <a:latin typeface="Quattrocento Sans"/>
                  <a:ea typeface="Quattrocento Sans"/>
                  <a:cs typeface="Quattrocento Sans"/>
                  <a:sym typeface="Quattrocento Sans"/>
                </a:rPr>
                <a:t>Under </a:t>
              </a:r>
              <a:r>
                <a:rPr lang="en-US" sz="1100" b="1">
                  <a:solidFill>
                    <a:srgbClr val="3F3F3F"/>
                  </a:solidFill>
                  <a:latin typeface="Quattrocento Sans"/>
                  <a:ea typeface="Quattrocento Sans"/>
                  <a:cs typeface="Quattrocento Sans"/>
                  <a:sym typeface="Quattrocento Sans"/>
                </a:rPr>
                <a:t>Delimiters</a:t>
              </a:r>
              <a:r>
                <a:rPr lang="en-US" sz="1100">
                  <a:solidFill>
                    <a:srgbClr val="3F3F3F"/>
                  </a:solidFill>
                  <a:latin typeface="Quattrocento Sans"/>
                  <a:ea typeface="Quattrocento Sans"/>
                  <a:cs typeface="Quattrocento Sans"/>
                  <a:sym typeface="Quattrocento Sans"/>
                </a:rPr>
                <a:t>, make sure that </a:t>
              </a:r>
              <a:r>
                <a:rPr lang="en-US" sz="1100" b="1">
                  <a:solidFill>
                    <a:srgbClr val="3F3F3F"/>
                  </a:solidFill>
                  <a:latin typeface="Quattrocento Sans"/>
                  <a:ea typeface="Quattrocento Sans"/>
                  <a:cs typeface="Quattrocento Sans"/>
                  <a:sym typeface="Quattrocento Sans"/>
                </a:rPr>
                <a:t>Comma</a:t>
              </a:r>
              <a:r>
                <a:rPr lang="en-US" sz="1100">
                  <a:solidFill>
                    <a:srgbClr val="3F3F3F"/>
                  </a:solidFill>
                  <a:latin typeface="Quattrocento Sans"/>
                  <a:ea typeface="Quattrocento Sans"/>
                  <a:cs typeface="Quattrocento Sans"/>
                  <a:sym typeface="Quattrocento Sans"/>
                </a:rPr>
                <a:t> is the only checkbox selected, and then click </a:t>
              </a:r>
              <a:r>
                <a:rPr lang="en-US" sz="1100" b="1">
                  <a:solidFill>
                    <a:srgbClr val="3F3F3F"/>
                  </a:solidFill>
                  <a:latin typeface="Quattrocento Sans"/>
                  <a:ea typeface="Quattrocento Sans"/>
                  <a:cs typeface="Quattrocento Sans"/>
                  <a:sym typeface="Quattrocento Sans"/>
                </a:rPr>
                <a:t>Next</a:t>
              </a:r>
              <a:r>
                <a:rPr lang="en-US" sz="1100">
                  <a:solidFill>
                    <a:srgbClr val="3F3F3F"/>
                  </a:solidFill>
                  <a:latin typeface="Quattrocento Sans"/>
                  <a:ea typeface="Quattrocento Sans"/>
                  <a:cs typeface="Quattrocento Sans"/>
                  <a:sym typeface="Quattrocento Sans"/>
                </a:rPr>
                <a:t>.</a:t>
              </a:r>
              <a:endParaRPr sz="1400"/>
            </a:p>
          </xdr:txBody>
        </xdr:sp>
        <xdr:sp macro="" textlink="">
          <xdr:nvSpPr>
            <xdr:cNvPr id="263" name="Shape 263" descr="3">
              <a:extLst>
                <a:ext uri="{FF2B5EF4-FFF2-40B4-BE49-F238E27FC236}">
                  <a16:creationId xmlns:a16="http://schemas.microsoft.com/office/drawing/2014/main" id="{00000000-0008-0000-0200-000007010000}"/>
                </a:ext>
              </a:extLst>
            </xdr:cNvPr>
            <xdr:cNvSpPr/>
          </xdr:nvSpPr>
          <xdr:spPr>
            <a:xfrm>
              <a:off x="622274" y="8106182"/>
              <a:ext cx="371587"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3</a:t>
              </a:r>
              <a:endParaRPr sz="1400"/>
            </a:p>
          </xdr:txBody>
        </xdr:sp>
        <xdr:sp macro="" textlink="">
          <xdr:nvSpPr>
            <xdr:cNvPr id="264" name="Shape 264" descr="Click the General option">
              <a:extLst>
                <a:ext uri="{FF2B5EF4-FFF2-40B4-BE49-F238E27FC236}">
                  <a16:creationId xmlns:a16="http://schemas.microsoft.com/office/drawing/2014/main" id="{00000000-0008-0000-0200-000008010000}"/>
                </a:ext>
              </a:extLst>
            </xdr:cNvPr>
            <xdr:cNvSpPr txBox="1"/>
          </xdr:nvSpPr>
          <xdr:spPr>
            <a:xfrm>
              <a:off x="1029307" y="8661097"/>
              <a:ext cx="4809517" cy="387653"/>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rgbClr val="3F3F3F"/>
                  </a:solidFill>
                  <a:latin typeface="Quattrocento Sans"/>
                  <a:ea typeface="Quattrocento Sans"/>
                  <a:cs typeface="Quattrocento Sans"/>
                  <a:sym typeface="Quattrocento Sans"/>
                </a:rPr>
                <a:t>Click the </a:t>
              </a:r>
              <a:r>
                <a:rPr lang="en-US" sz="1100" b="1">
                  <a:solidFill>
                    <a:srgbClr val="3F3F3F"/>
                  </a:solidFill>
                  <a:latin typeface="Quattrocento Sans"/>
                  <a:ea typeface="Quattrocento Sans"/>
                  <a:cs typeface="Quattrocento Sans"/>
                  <a:sym typeface="Quattrocento Sans"/>
                </a:rPr>
                <a:t>General</a:t>
              </a:r>
              <a:r>
                <a:rPr lang="en-US" sz="1100">
                  <a:solidFill>
                    <a:srgbClr val="3F3F3F"/>
                  </a:solidFill>
                  <a:latin typeface="Quattrocento Sans"/>
                  <a:ea typeface="Quattrocento Sans"/>
                  <a:cs typeface="Quattrocento Sans"/>
                  <a:sym typeface="Quattrocento Sans"/>
                </a:rPr>
                <a:t> option. </a:t>
              </a:r>
              <a:endParaRPr sz="1400"/>
            </a:p>
          </xdr:txBody>
        </xdr:sp>
        <xdr:sp macro="" textlink="">
          <xdr:nvSpPr>
            <xdr:cNvPr id="265" name="Shape 265" descr="4">
              <a:extLst>
                <a:ext uri="{FF2B5EF4-FFF2-40B4-BE49-F238E27FC236}">
                  <a16:creationId xmlns:a16="http://schemas.microsoft.com/office/drawing/2014/main" id="{00000000-0008-0000-0200-000009010000}"/>
                </a:ext>
              </a:extLst>
            </xdr:cNvPr>
            <xdr:cNvSpPr/>
          </xdr:nvSpPr>
          <xdr:spPr>
            <a:xfrm>
              <a:off x="622274" y="8618599"/>
              <a:ext cx="371587"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4</a:t>
              </a:r>
              <a:endParaRPr sz="1400"/>
            </a:p>
          </xdr:txBody>
        </xdr:sp>
        <xdr:sp macro="" textlink="">
          <xdr:nvSpPr>
            <xdr:cNvPr id="266" name="Shape 266" descr="Finally, click inside the Destination box and type $D$32. Then click Finish">
              <a:extLst>
                <a:ext uri="{FF2B5EF4-FFF2-40B4-BE49-F238E27FC236}">
                  <a16:creationId xmlns:a16="http://schemas.microsoft.com/office/drawing/2014/main" id="{00000000-0008-0000-0200-00000A010000}"/>
                </a:ext>
              </a:extLst>
            </xdr:cNvPr>
            <xdr:cNvSpPr txBox="1"/>
          </xdr:nvSpPr>
          <xdr:spPr>
            <a:xfrm>
              <a:off x="1029307" y="9127586"/>
              <a:ext cx="4809517" cy="44504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rgbClr val="3F3F3F"/>
                  </a:solidFill>
                  <a:latin typeface="Quattrocento Sans"/>
                  <a:ea typeface="Quattrocento Sans"/>
                  <a:cs typeface="Quattrocento Sans"/>
                  <a:sym typeface="Quattrocento Sans"/>
                </a:rPr>
                <a:t>Finally, click inside the </a:t>
              </a:r>
              <a:r>
                <a:rPr lang="en-US" sz="1100" b="1">
                  <a:solidFill>
                    <a:srgbClr val="3F3F3F"/>
                  </a:solidFill>
                  <a:latin typeface="Quattrocento Sans"/>
                  <a:ea typeface="Quattrocento Sans"/>
                  <a:cs typeface="Quattrocento Sans"/>
                  <a:sym typeface="Quattrocento Sans"/>
                </a:rPr>
                <a:t>Destination</a:t>
              </a:r>
              <a:r>
                <a:rPr lang="en-US" sz="1100">
                  <a:solidFill>
                    <a:srgbClr val="3F3F3F"/>
                  </a:solidFill>
                  <a:latin typeface="Quattrocento Sans"/>
                  <a:ea typeface="Quattrocento Sans"/>
                  <a:cs typeface="Quattrocento Sans"/>
                  <a:sym typeface="Quattrocento Sans"/>
                </a:rPr>
                <a:t> box and type </a:t>
              </a:r>
              <a:r>
                <a:rPr lang="en-US" sz="1100" b="1">
                  <a:solidFill>
                    <a:srgbClr val="3F3F3F"/>
                  </a:solidFill>
                  <a:latin typeface="Quattrocento Sans"/>
                  <a:ea typeface="Quattrocento Sans"/>
                  <a:cs typeface="Quattrocento Sans"/>
                  <a:sym typeface="Quattrocento Sans"/>
                </a:rPr>
                <a:t>$D$32</a:t>
              </a:r>
              <a:r>
                <a:rPr lang="en-US" sz="1100">
                  <a:solidFill>
                    <a:srgbClr val="3F3F3F"/>
                  </a:solidFill>
                  <a:latin typeface="Quattrocento Sans"/>
                  <a:ea typeface="Quattrocento Sans"/>
                  <a:cs typeface="Quattrocento Sans"/>
                  <a:sym typeface="Quattrocento Sans"/>
                </a:rPr>
                <a:t>. Then click </a:t>
              </a:r>
              <a:r>
                <a:rPr lang="en-US" sz="1100" b="1">
                  <a:solidFill>
                    <a:srgbClr val="3F3F3F"/>
                  </a:solidFill>
                  <a:latin typeface="Quattrocento Sans"/>
                  <a:ea typeface="Quattrocento Sans"/>
                  <a:cs typeface="Quattrocento Sans"/>
                  <a:sym typeface="Quattrocento Sans"/>
                </a:rPr>
                <a:t>Finish</a:t>
              </a:r>
              <a:r>
                <a:rPr lang="en-US" sz="1100">
                  <a:solidFill>
                    <a:srgbClr val="3F3F3F"/>
                  </a:solidFill>
                  <a:latin typeface="Quattrocento Sans"/>
                  <a:ea typeface="Quattrocento Sans"/>
                  <a:cs typeface="Quattrocento Sans"/>
                  <a:sym typeface="Quattrocento Sans"/>
                </a:rPr>
                <a:t>.</a:t>
              </a:r>
              <a:endParaRPr sz="1400"/>
            </a:p>
          </xdr:txBody>
        </xdr:sp>
        <xdr:sp macro="" textlink="">
          <xdr:nvSpPr>
            <xdr:cNvPr id="267" name="Shape 267" descr="5">
              <a:extLst>
                <a:ext uri="{FF2B5EF4-FFF2-40B4-BE49-F238E27FC236}">
                  <a16:creationId xmlns:a16="http://schemas.microsoft.com/office/drawing/2014/main" id="{00000000-0008-0000-0200-00000B010000}"/>
                </a:ext>
              </a:extLst>
            </xdr:cNvPr>
            <xdr:cNvSpPr/>
          </xdr:nvSpPr>
          <xdr:spPr>
            <a:xfrm>
              <a:off x="622274" y="9085087"/>
              <a:ext cx="371587"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5</a:t>
              </a:r>
              <a:endParaRPr sz="1400"/>
            </a:p>
          </xdr:txBody>
        </xdr:sp>
      </xdr:grpSp>
    </xdr:grpSp>
    <xdr:clientData fLocksWithSheet="0"/>
  </xdr:oneCellAnchor>
  <xdr:oneCellAnchor>
    <xdr:from>
      <xdr:col>2</xdr:col>
      <xdr:colOff>2105025</xdr:colOff>
      <xdr:row>39</xdr:row>
      <xdr:rowOff>161925</xdr:rowOff>
    </xdr:from>
    <xdr:ext cx="3314700" cy="1714500"/>
    <xdr:grpSp>
      <xdr:nvGrpSpPr>
        <xdr:cNvPr id="12" name="Shape 2">
          <a:extLst>
            <a:ext uri="{FF2B5EF4-FFF2-40B4-BE49-F238E27FC236}">
              <a16:creationId xmlns:a16="http://schemas.microsoft.com/office/drawing/2014/main" id="{00000000-0008-0000-0200-00000C000000}"/>
            </a:ext>
          </a:extLst>
        </xdr:cNvPr>
        <xdr:cNvGrpSpPr/>
      </xdr:nvGrpSpPr>
      <xdr:grpSpPr>
        <a:xfrm>
          <a:off x="8473168" y="8190139"/>
          <a:ext cx="3314700" cy="1714500"/>
          <a:chOff x="3688650" y="2922750"/>
          <a:chExt cx="3314700" cy="1714500"/>
        </a:xfrm>
      </xdr:grpSpPr>
      <xdr:grpSp>
        <xdr:nvGrpSpPr>
          <xdr:cNvPr id="268" name="Shape 268" descr="WORTH EXPLORING: There's another way of working with data. You can query an external source, and you can split the data that comes from the source. You do that once, and the data is refreshable and easy to work with from that moment on. Curious? Click the Data tab, and then explore the options in the Get &amp; Transform area. Or see the link at the bottom of this sheet">
            <a:extLst>
              <a:ext uri="{FF2B5EF4-FFF2-40B4-BE49-F238E27FC236}">
                <a16:creationId xmlns:a16="http://schemas.microsoft.com/office/drawing/2014/main" id="{00000000-0008-0000-0200-00000C010000}"/>
              </a:ext>
            </a:extLst>
          </xdr:cNvPr>
          <xdr:cNvGrpSpPr/>
        </xdr:nvGrpSpPr>
        <xdr:grpSpPr>
          <a:xfrm>
            <a:off x="3688650" y="2922750"/>
            <a:ext cx="3314700" cy="1714500"/>
            <a:chOff x="8477250" y="8591549"/>
            <a:chExt cx="3314700" cy="1504951"/>
          </a:xfrm>
        </xdr:grpSpPr>
        <xdr:sp macro="" textlink="">
          <xdr:nvSpPr>
            <xdr:cNvPr id="13" name="Shape 4">
              <a:extLst>
                <a:ext uri="{FF2B5EF4-FFF2-40B4-BE49-F238E27FC236}">
                  <a16:creationId xmlns:a16="http://schemas.microsoft.com/office/drawing/2014/main" id="{00000000-0008-0000-0200-00000D000000}"/>
                </a:ext>
              </a:extLst>
            </xdr:cNvPr>
            <xdr:cNvSpPr/>
          </xdr:nvSpPr>
          <xdr:spPr>
            <a:xfrm>
              <a:off x="8477250" y="8591549"/>
              <a:ext cx="3314700" cy="15049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pic>
          <xdr:nvPicPr>
            <xdr:cNvPr id="269" name="Shape 269" descr="Hike">
              <a:extLst>
                <a:ext uri="{FF2B5EF4-FFF2-40B4-BE49-F238E27FC236}">
                  <a16:creationId xmlns:a16="http://schemas.microsoft.com/office/drawing/2014/main" id="{00000000-0008-0000-0200-00000D010000}"/>
                </a:ext>
              </a:extLst>
            </xdr:cNvPr>
            <xdr:cNvPicPr preferRelativeResize="0"/>
          </xdr:nvPicPr>
          <xdr:blipFill rotWithShape="1">
            <a:blip xmlns:r="http://schemas.openxmlformats.org/officeDocument/2006/relationships" r:embed="rId11">
              <a:alphaModFix/>
            </a:blip>
            <a:srcRect/>
            <a:stretch/>
          </xdr:blipFill>
          <xdr:spPr>
            <a:xfrm>
              <a:off x="8477250" y="8682899"/>
              <a:ext cx="420378" cy="420378"/>
            </a:xfrm>
            <a:prstGeom prst="rect">
              <a:avLst/>
            </a:prstGeom>
            <a:noFill/>
            <a:ln>
              <a:noFill/>
            </a:ln>
          </xdr:spPr>
        </xdr:pic>
        <xdr:sp macro="" textlink="">
          <xdr:nvSpPr>
            <xdr:cNvPr id="270" name="Shape 270" descr="WORTH EXPLORING&#10;There's another way of working with data. You can query an external source, and you can split the data that comes from the source. You do that once, and the data is refreshable and easy to work with from that moment on. Curious? Click the Data tab, and then explore the options in the Get &amp; Transform area. Or see the link at the bottom of this sheet">
              <a:extLst>
                <a:ext uri="{FF2B5EF4-FFF2-40B4-BE49-F238E27FC236}">
                  <a16:creationId xmlns:a16="http://schemas.microsoft.com/office/drawing/2014/main" id="{00000000-0008-0000-0200-00000E010000}"/>
                </a:ext>
              </a:extLst>
            </xdr:cNvPr>
            <xdr:cNvSpPr txBox="1"/>
          </xdr:nvSpPr>
          <xdr:spPr>
            <a:xfrm>
              <a:off x="8783628" y="8591549"/>
              <a:ext cx="3008322" cy="1504951"/>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200" b="1">
                  <a:solidFill>
                    <a:srgbClr val="F4B081"/>
                  </a:solidFill>
                  <a:latin typeface="Quattrocento Sans"/>
                  <a:ea typeface="Quattrocento Sans"/>
                  <a:cs typeface="Quattrocento Sans"/>
                  <a:sym typeface="Quattrocento Sans"/>
                </a:rPr>
                <a:t>WORTH EXPLORING</a:t>
              </a:r>
              <a:endParaRPr sz="1200" b="1">
                <a:solidFill>
                  <a:srgbClr val="F4B081"/>
                </a:solidFill>
                <a:latin typeface="Quattrocento Sans"/>
                <a:ea typeface="Quattrocento Sans"/>
                <a:cs typeface="Quattrocento Sans"/>
                <a:sym typeface="Quattrocento Sans"/>
              </a:endParaRPr>
            </a:p>
            <a:p>
              <a:pPr marL="0" lvl="0" indent="0" algn="l" rtl="0">
                <a:spcBef>
                  <a:spcPts val="0"/>
                </a:spcBef>
                <a:spcAft>
                  <a:spcPts val="0"/>
                </a:spcAft>
                <a:buNone/>
              </a:pPr>
              <a:r>
                <a:rPr lang="en-US" sz="1100">
                  <a:solidFill>
                    <a:srgbClr val="3A3838"/>
                  </a:solidFill>
                  <a:latin typeface="Calibri"/>
                  <a:ea typeface="Calibri"/>
                  <a:cs typeface="Calibri"/>
                  <a:sym typeface="Calibri"/>
                </a:rPr>
                <a:t>There's another way of working with data. You can query an external source, and you can split the data that comes from the source. You do that once, and the data is refreshable and easy to work with from that moment on. Curious? Click the </a:t>
              </a:r>
              <a:r>
                <a:rPr lang="en-US" sz="1100" b="1">
                  <a:solidFill>
                    <a:srgbClr val="3A3838"/>
                  </a:solidFill>
                  <a:latin typeface="Calibri"/>
                  <a:ea typeface="Calibri"/>
                  <a:cs typeface="Calibri"/>
                  <a:sym typeface="Calibri"/>
                </a:rPr>
                <a:t>Data</a:t>
              </a:r>
              <a:r>
                <a:rPr lang="en-US" sz="1100">
                  <a:solidFill>
                    <a:srgbClr val="3A3838"/>
                  </a:solidFill>
                  <a:latin typeface="Calibri"/>
                  <a:ea typeface="Calibri"/>
                  <a:cs typeface="Calibri"/>
                  <a:sym typeface="Calibri"/>
                </a:rPr>
                <a:t> tab, and then explore the options in the </a:t>
              </a:r>
              <a:r>
                <a:rPr lang="en-US" sz="1100" b="1">
                  <a:solidFill>
                    <a:srgbClr val="3A3838"/>
                  </a:solidFill>
                  <a:latin typeface="Calibri"/>
                  <a:ea typeface="Calibri"/>
                  <a:cs typeface="Calibri"/>
                  <a:sym typeface="Calibri"/>
                </a:rPr>
                <a:t>Get &amp; Transform </a:t>
              </a:r>
              <a:r>
                <a:rPr lang="en-US" sz="1100">
                  <a:solidFill>
                    <a:srgbClr val="3A3838"/>
                  </a:solidFill>
                  <a:latin typeface="Calibri"/>
                  <a:ea typeface="Calibri"/>
                  <a:cs typeface="Calibri"/>
                  <a:sym typeface="Calibri"/>
                </a:rPr>
                <a:t>area. Or see the link at the bottom of this sheet.</a:t>
              </a:r>
              <a:endParaRPr sz="1100" b="0" i="0">
                <a:solidFill>
                  <a:srgbClr val="3A3838"/>
                </a:solidFill>
                <a:latin typeface="Calibri"/>
                <a:ea typeface="Calibri"/>
                <a:cs typeface="Calibri"/>
                <a:sym typeface="Calibri"/>
              </a:endParaRPr>
            </a:p>
          </xdr:txBody>
        </xdr:sp>
      </xdr:grpSp>
    </xdr:grpSp>
    <xdr:clientData fLocksWithSheet="0"/>
  </xdr:oneCellAnchor>
  <xdr:oneCellAnchor>
    <xdr:from>
      <xdr:col>0</xdr:col>
      <xdr:colOff>323850</xdr:colOff>
      <xdr:row>0</xdr:row>
      <xdr:rowOff>257175</xdr:rowOff>
    </xdr:from>
    <xdr:ext cx="5695950" cy="4619625"/>
    <xdr:grpSp>
      <xdr:nvGrpSpPr>
        <xdr:cNvPr id="14" name="Shape 2">
          <a:extLst>
            <a:ext uri="{FF2B5EF4-FFF2-40B4-BE49-F238E27FC236}">
              <a16:creationId xmlns:a16="http://schemas.microsoft.com/office/drawing/2014/main" id="{00000000-0008-0000-0200-00000E000000}"/>
            </a:ext>
          </a:extLst>
        </xdr:cNvPr>
        <xdr:cNvGrpSpPr/>
      </xdr:nvGrpSpPr>
      <xdr:grpSpPr>
        <a:xfrm>
          <a:off x="323850" y="257175"/>
          <a:ext cx="5695950" cy="4619625"/>
          <a:chOff x="2498025" y="1470188"/>
          <a:chExt cx="5695950" cy="4619625"/>
        </a:xfrm>
      </xdr:grpSpPr>
      <xdr:grpSp>
        <xdr:nvGrpSpPr>
          <xdr:cNvPr id="271" name="Shape 271" descr="Data stuffed into one column? Split it.&#10;In the cells under First name, type the first names that are in the Email column: Nancy, Andy, and so on. &#10;When you see the faded list of suggestions, press Enter right away&#10;This list of suggestions is called Flash Fill. Flash Fill detects when you type a consistent pattern, and provides suggestions to fill the cells with. When you see the faded list, that's your cue to press Enter.&#10;Try another way to Flash Fill: Click the cell with Smith. &#10;Click Home &gt; Fill &gt; Flash Fill. Now the last names are in their own column.&#10;Dive down for more detail &#10;Next step&#10;">
            <a:extLst>
              <a:ext uri="{FF2B5EF4-FFF2-40B4-BE49-F238E27FC236}">
                <a16:creationId xmlns:a16="http://schemas.microsoft.com/office/drawing/2014/main" id="{00000000-0008-0000-0200-00000F010000}"/>
              </a:ext>
            </a:extLst>
          </xdr:cNvPr>
          <xdr:cNvGrpSpPr/>
        </xdr:nvGrpSpPr>
        <xdr:grpSpPr>
          <a:xfrm>
            <a:off x="2498025" y="1470188"/>
            <a:ext cx="5695950" cy="4619625"/>
            <a:chOff x="323850" y="257175"/>
            <a:chExt cx="5695950" cy="4619625"/>
          </a:xfrm>
        </xdr:grpSpPr>
        <xdr:sp macro="" textlink="">
          <xdr:nvSpPr>
            <xdr:cNvPr id="15" name="Shape 4">
              <a:extLst>
                <a:ext uri="{FF2B5EF4-FFF2-40B4-BE49-F238E27FC236}">
                  <a16:creationId xmlns:a16="http://schemas.microsoft.com/office/drawing/2014/main" id="{00000000-0008-0000-0200-00000F000000}"/>
                </a:ext>
              </a:extLst>
            </xdr:cNvPr>
            <xdr:cNvSpPr/>
          </xdr:nvSpPr>
          <xdr:spPr>
            <a:xfrm>
              <a:off x="323850" y="257175"/>
              <a:ext cx="5695950" cy="4619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72" name="Shape 272">
              <a:extLst>
                <a:ext uri="{FF2B5EF4-FFF2-40B4-BE49-F238E27FC236}">
                  <a16:creationId xmlns:a16="http://schemas.microsoft.com/office/drawing/2014/main" id="{00000000-0008-0000-0200-000010010000}"/>
                </a:ext>
              </a:extLst>
            </xdr:cNvPr>
            <xdr:cNvGrpSpPr/>
          </xdr:nvGrpSpPr>
          <xdr:grpSpPr>
            <a:xfrm>
              <a:off x="323850" y="257175"/>
              <a:ext cx="5695950" cy="4619625"/>
              <a:chOff x="323850" y="257175"/>
              <a:chExt cx="5695950" cy="4619625"/>
            </a:xfrm>
          </xdr:grpSpPr>
          <xdr:sp macro="" textlink="">
            <xdr:nvSpPr>
              <xdr:cNvPr id="273" name="Shape 273" descr="Background">
                <a:extLst>
                  <a:ext uri="{FF2B5EF4-FFF2-40B4-BE49-F238E27FC236}">
                    <a16:creationId xmlns:a16="http://schemas.microsoft.com/office/drawing/2014/main" id="{00000000-0008-0000-0200-000011010000}"/>
                  </a:ext>
                </a:extLst>
              </xdr:cNvPr>
              <xdr:cNvSpPr/>
            </xdr:nvSpPr>
            <xdr:spPr>
              <a:xfrm>
                <a:off x="323850" y="257175"/>
                <a:ext cx="5695950" cy="4619625"/>
              </a:xfrm>
              <a:prstGeom prst="rect">
                <a:avLst/>
              </a:prstGeom>
              <a:solidFill>
                <a:srgbClr val="F5F5F5"/>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274" name="Shape 274" descr="Data stuffed into one column? Split it">
                <a:extLst>
                  <a:ext uri="{FF2B5EF4-FFF2-40B4-BE49-F238E27FC236}">
                    <a16:creationId xmlns:a16="http://schemas.microsoft.com/office/drawing/2014/main" id="{00000000-0008-0000-0200-000012010000}"/>
                  </a:ext>
                </a:extLst>
              </xdr:cNvPr>
              <xdr:cNvSpPr txBox="1"/>
            </xdr:nvSpPr>
            <xdr:spPr>
              <a:xfrm>
                <a:off x="555598" y="375873"/>
                <a:ext cx="5216551" cy="490903"/>
              </a:xfrm>
              <a:prstGeom prst="rect">
                <a:avLst/>
              </a:prstGeom>
              <a:noFill/>
              <a:ln>
                <a:noFill/>
              </a:ln>
            </xdr:spPr>
            <xdr:txBody>
              <a:bodyPr spcFirstLastPara="1" wrap="square" lIns="0" tIns="45700" rIns="0" bIns="45700" anchor="t" anchorCtr="0">
                <a:noAutofit/>
              </a:bodyPr>
              <a:lstStyle/>
              <a:p>
                <a:pPr marL="0" marR="0" lvl="0" indent="0" algn="l" rtl="0">
                  <a:lnSpc>
                    <a:spcPct val="100000"/>
                  </a:lnSpc>
                  <a:spcBef>
                    <a:spcPts val="0"/>
                  </a:spcBef>
                  <a:spcAft>
                    <a:spcPts val="0"/>
                  </a:spcAft>
                  <a:buClr>
                    <a:srgbClr val="3A3838"/>
                  </a:buClr>
                  <a:buSzPts val="2200"/>
                  <a:buFont typeface="Quattrocento Sans"/>
                  <a:buNone/>
                </a:pPr>
                <a:r>
                  <a:rPr lang="en-US" sz="2200" b="0" i="0" u="none" strike="noStrike" cap="none">
                    <a:solidFill>
                      <a:srgbClr val="3A3838"/>
                    </a:solidFill>
                    <a:latin typeface="Quattrocento Sans"/>
                    <a:ea typeface="Quattrocento Sans"/>
                    <a:cs typeface="Quattrocento Sans"/>
                    <a:sym typeface="Quattrocento Sans"/>
                  </a:rPr>
                  <a:t>Data stuffed into one column? Split it.</a:t>
                </a:r>
                <a:endParaRPr sz="2200" b="0">
                  <a:solidFill>
                    <a:srgbClr val="3A3838"/>
                  </a:solidFill>
                  <a:latin typeface="Quattrocento Sans"/>
                  <a:ea typeface="Quattrocento Sans"/>
                  <a:cs typeface="Quattrocento Sans"/>
                  <a:sym typeface="Quattrocento Sans"/>
                </a:endParaRPr>
              </a:p>
            </xdr:txBody>
          </xdr:sp>
          <xdr:cxnSp macro="">
            <xdr:nvCxnSpPr>
              <xdr:cNvPr id="275" name="Shape 275" descr="Decorative line">
                <a:extLst>
                  <a:ext uri="{FF2B5EF4-FFF2-40B4-BE49-F238E27FC236}">
                    <a16:creationId xmlns:a16="http://schemas.microsoft.com/office/drawing/2014/main" id="{00000000-0008-0000-0200-000013010000}"/>
                  </a:ext>
                </a:extLst>
              </xdr:cNvPr>
              <xdr:cNvCxnSpPr/>
            </xdr:nvCxnSpPr>
            <xdr:spPr>
              <a:xfrm>
                <a:off x="558774" y="883286"/>
                <a:ext cx="5213376" cy="0"/>
              </a:xfrm>
              <a:prstGeom prst="straightConnector1">
                <a:avLst/>
              </a:prstGeom>
              <a:noFill/>
              <a:ln w="25400" cap="flat" cmpd="sng">
                <a:solidFill>
                  <a:srgbClr val="217346"/>
                </a:solidFill>
                <a:prstDash val="solid"/>
                <a:round/>
                <a:headEnd type="none" w="sm" len="sm"/>
                <a:tailEnd type="none" w="sm" len="sm"/>
              </a:ln>
            </xdr:spPr>
          </xdr:cxnSp>
          <xdr:sp macro="" textlink="">
            <xdr:nvSpPr>
              <xdr:cNvPr id="276" name="Shape 276" descr="Dive down for more detail">
                <a:extLst>
                  <a:ext uri="{FF2B5EF4-FFF2-40B4-BE49-F238E27FC236}">
                    <a16:creationId xmlns:a16="http://schemas.microsoft.com/office/drawing/2014/main" id="{00000000-0008-0000-0200-000014010000}"/>
                  </a:ext>
                </a:extLst>
              </xdr:cNvPr>
              <xdr:cNvSpPr/>
            </xdr:nvSpPr>
            <xdr:spPr>
              <a:xfrm>
                <a:off x="558774" y="4099682"/>
                <a:ext cx="2723067" cy="536454"/>
              </a:xfrm>
              <a:prstGeom prst="downArrowCallout">
                <a:avLst>
                  <a:gd name="adj1" fmla="val 25000"/>
                  <a:gd name="adj2" fmla="val 25000"/>
                  <a:gd name="adj3" fmla="val 25000"/>
                  <a:gd name="adj4" fmla="val 64977"/>
                </a:avLst>
              </a:prstGeom>
              <a:solidFill>
                <a:srgbClr val="D8D8D8"/>
              </a:solidFill>
              <a:ln w="12700" cap="flat" cmpd="sng">
                <a:solidFill>
                  <a:srgbClr val="0B744D">
                    <a:alpha val="49803"/>
                  </a:srgb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a:solidFill>
                      <a:srgbClr val="0B744D"/>
                    </a:solidFill>
                    <a:latin typeface="Quattrocento Sans"/>
                    <a:ea typeface="Quattrocento Sans"/>
                    <a:cs typeface="Quattrocento Sans"/>
                    <a:sym typeface="Quattrocento Sans"/>
                  </a:rPr>
                  <a:t>Dive down for more detail</a:t>
                </a:r>
                <a:endParaRPr sz="1400"/>
              </a:p>
            </xdr:txBody>
          </xdr:sp>
          <xdr:cxnSp macro="">
            <xdr:nvCxnSpPr>
              <xdr:cNvPr id="277" name="Shape 277" descr="Decorative line">
                <a:extLst>
                  <a:ext uri="{FF2B5EF4-FFF2-40B4-BE49-F238E27FC236}">
                    <a16:creationId xmlns:a16="http://schemas.microsoft.com/office/drawing/2014/main" id="{00000000-0008-0000-0200-000015010000}"/>
                  </a:ext>
                </a:extLst>
              </xdr:cNvPr>
              <xdr:cNvCxnSpPr/>
            </xdr:nvCxnSpPr>
            <xdr:spPr>
              <a:xfrm>
                <a:off x="558774" y="3870325"/>
                <a:ext cx="5213376" cy="0"/>
              </a:xfrm>
              <a:prstGeom prst="straightConnector1">
                <a:avLst/>
              </a:prstGeom>
              <a:noFill/>
              <a:ln w="25400" cap="flat" cmpd="sng">
                <a:solidFill>
                  <a:srgbClr val="217346"/>
                </a:solidFill>
                <a:prstDash val="solid"/>
                <a:round/>
                <a:headEnd type="none" w="sm" len="sm"/>
                <a:tailEnd type="none" w="sm" len="sm"/>
              </a:ln>
            </xdr:spPr>
          </xdr:cxnSp>
          <xdr:sp macro="" textlink="">
            <xdr:nvSpPr>
              <xdr:cNvPr id="278" name="Shape 278" descr="Next step button, hyperlinked to next sheet">
                <a:hlinkClick xmlns:r="http://schemas.openxmlformats.org/officeDocument/2006/relationships" r:id="rId3"/>
                <a:extLst>
                  <a:ext uri="{FF2B5EF4-FFF2-40B4-BE49-F238E27FC236}">
                    <a16:creationId xmlns:a16="http://schemas.microsoft.com/office/drawing/2014/main" id="{00000000-0008-0000-0200-000016010000}"/>
                  </a:ext>
                </a:extLst>
              </xdr:cNvPr>
              <xdr:cNvSpPr/>
            </xdr:nvSpPr>
            <xdr:spPr>
              <a:xfrm>
                <a:off x="4617720" y="4099682"/>
                <a:ext cx="1154430" cy="348492"/>
              </a:xfrm>
              <a:prstGeom prst="rightArrowCallout">
                <a:avLst>
                  <a:gd name="adj1" fmla="val 32829"/>
                  <a:gd name="adj2" fmla="val 31524"/>
                  <a:gd name="adj3" fmla="val 25000"/>
                  <a:gd name="adj4" fmla="val 86357"/>
                </a:avLst>
              </a:prstGeom>
              <a:solidFill>
                <a:schemeClr val="lt1"/>
              </a:solidFill>
              <a:ln w="12700" cap="flat" cmpd="sng">
                <a:solidFill>
                  <a:srgbClr val="0B744D"/>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a:solidFill>
                      <a:srgbClr val="0B744D"/>
                    </a:solidFill>
                    <a:latin typeface="Quattrocento Sans"/>
                    <a:ea typeface="Quattrocento Sans"/>
                    <a:cs typeface="Quattrocento Sans"/>
                    <a:sym typeface="Quattrocento Sans"/>
                  </a:rPr>
                  <a:t>Next step</a:t>
                </a:r>
                <a:endParaRPr sz="1400"/>
              </a:p>
            </xdr:txBody>
          </xdr:sp>
          <xdr:sp macro="" textlink="">
            <xdr:nvSpPr>
              <xdr:cNvPr id="279" name="Shape 279" descr="In the cells under First name, type the first names that are in the Email column: Nancy, Andy, and so on">
                <a:extLst>
                  <a:ext uri="{FF2B5EF4-FFF2-40B4-BE49-F238E27FC236}">
                    <a16:creationId xmlns:a16="http://schemas.microsoft.com/office/drawing/2014/main" id="{00000000-0008-0000-0200-000017010000}"/>
                  </a:ext>
                </a:extLst>
              </xdr:cNvPr>
              <xdr:cNvSpPr txBox="1"/>
            </xdr:nvSpPr>
            <xdr:spPr>
              <a:xfrm>
                <a:off x="962633" y="1073297"/>
                <a:ext cx="4809516" cy="561387"/>
              </a:xfrm>
              <a:prstGeom prst="rect">
                <a:avLst/>
              </a:prstGeom>
              <a:noFill/>
              <a:ln>
                <a:noFill/>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Clr>
                    <a:srgbClr val="3F3F3F"/>
                  </a:buClr>
                  <a:buSzPts val="1100"/>
                  <a:buFont typeface="Quattrocento Sans"/>
                  <a:buNone/>
                </a:pPr>
                <a:r>
                  <a:rPr lang="en-US" sz="1100" b="0" i="0" u="none" strike="noStrike" cap="none">
                    <a:solidFill>
                      <a:srgbClr val="3F3F3F"/>
                    </a:solidFill>
                    <a:latin typeface="Quattrocento Sans"/>
                    <a:ea typeface="Quattrocento Sans"/>
                    <a:cs typeface="Quattrocento Sans"/>
                    <a:sym typeface="Quattrocento Sans"/>
                  </a:rPr>
                  <a:t>In the cells under </a:t>
                </a:r>
                <a:r>
                  <a:rPr lang="en-US" sz="1100" b="1" i="0" u="none" strike="noStrike" cap="none">
                    <a:solidFill>
                      <a:srgbClr val="3F3F3F"/>
                    </a:solidFill>
                    <a:latin typeface="Quattrocento Sans"/>
                    <a:ea typeface="Quattrocento Sans"/>
                    <a:cs typeface="Quattrocento Sans"/>
                    <a:sym typeface="Quattrocento Sans"/>
                  </a:rPr>
                  <a:t>First name</a:t>
                </a:r>
                <a:r>
                  <a:rPr lang="en-US" sz="1100" i="0" u="none" strike="noStrike" cap="none">
                    <a:solidFill>
                      <a:srgbClr val="3F3F3F"/>
                    </a:solidFill>
                    <a:latin typeface="Quattrocento Sans"/>
                    <a:ea typeface="Quattrocento Sans"/>
                    <a:cs typeface="Quattrocento Sans"/>
                    <a:sym typeface="Quattrocento Sans"/>
                  </a:rPr>
                  <a:t>, type the first names that are in the Email column: </a:t>
                </a:r>
                <a:r>
                  <a:rPr lang="en-US" sz="1100" i="1" u="none" strike="noStrike" cap="none">
                    <a:solidFill>
                      <a:srgbClr val="3F3F3F"/>
                    </a:solidFill>
                    <a:latin typeface="Quattrocento Sans"/>
                    <a:ea typeface="Quattrocento Sans"/>
                    <a:cs typeface="Quattrocento Sans"/>
                    <a:sym typeface="Quattrocento Sans"/>
                  </a:rPr>
                  <a:t>Nancy</a:t>
                </a:r>
                <a:r>
                  <a:rPr lang="en-US" sz="1100" i="0" u="none" strike="noStrike" cap="none">
                    <a:solidFill>
                      <a:srgbClr val="3F3F3F"/>
                    </a:solidFill>
                    <a:latin typeface="Quattrocento Sans"/>
                    <a:ea typeface="Quattrocento Sans"/>
                    <a:cs typeface="Quattrocento Sans"/>
                    <a:sym typeface="Quattrocento Sans"/>
                  </a:rPr>
                  <a:t>, </a:t>
                </a:r>
                <a:r>
                  <a:rPr lang="en-US" sz="1100" i="1" u="none" strike="noStrike" cap="none">
                    <a:solidFill>
                      <a:srgbClr val="3F3F3F"/>
                    </a:solidFill>
                    <a:latin typeface="Quattrocento Sans"/>
                    <a:ea typeface="Quattrocento Sans"/>
                    <a:cs typeface="Quattrocento Sans"/>
                    <a:sym typeface="Quattrocento Sans"/>
                  </a:rPr>
                  <a:t>Andy</a:t>
                </a:r>
                <a:r>
                  <a:rPr lang="en-US" sz="1100" i="0" u="none" strike="noStrike" cap="none">
                    <a:solidFill>
                      <a:srgbClr val="3F3F3F"/>
                    </a:solidFill>
                    <a:latin typeface="Quattrocento Sans"/>
                    <a:ea typeface="Quattrocento Sans"/>
                    <a:cs typeface="Quattrocento Sans"/>
                    <a:sym typeface="Quattrocento Sans"/>
                  </a:rPr>
                  <a:t>, and so on. </a:t>
                </a:r>
                <a:endParaRPr sz="1100" b="0" i="0" u="none" strike="noStrike" cap="none">
                  <a:solidFill>
                    <a:srgbClr val="3F3F3F"/>
                  </a:solidFill>
                  <a:latin typeface="Quattrocento Sans"/>
                  <a:ea typeface="Quattrocento Sans"/>
                  <a:cs typeface="Quattrocento Sans"/>
                  <a:sym typeface="Quattrocento Sans"/>
                </a:endParaRPr>
              </a:p>
            </xdr:txBody>
          </xdr:sp>
          <xdr:sp macro="" textlink="">
            <xdr:nvSpPr>
              <xdr:cNvPr id="280" name="Shape 280" descr="1">
                <a:extLst>
                  <a:ext uri="{FF2B5EF4-FFF2-40B4-BE49-F238E27FC236}">
                    <a16:creationId xmlns:a16="http://schemas.microsoft.com/office/drawing/2014/main" id="{00000000-0008-0000-0200-000018010000}"/>
                  </a:ext>
                </a:extLst>
              </xdr:cNvPr>
              <xdr:cNvSpPr/>
            </xdr:nvSpPr>
            <xdr:spPr>
              <a:xfrm>
                <a:off x="555599" y="1030799"/>
                <a:ext cx="371587"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1</a:t>
                </a:r>
                <a:endParaRPr sz="1400"/>
              </a:p>
            </xdr:txBody>
          </xdr:sp>
          <xdr:sp macro="" textlink="">
            <xdr:nvSpPr>
              <xdr:cNvPr id="281" name="Shape 281" descr="When you see the faded list of suggestions, press Enter right away">
                <a:extLst>
                  <a:ext uri="{FF2B5EF4-FFF2-40B4-BE49-F238E27FC236}">
                    <a16:creationId xmlns:a16="http://schemas.microsoft.com/office/drawing/2014/main" id="{00000000-0008-0000-0200-000019010000}"/>
                  </a:ext>
                </a:extLst>
              </xdr:cNvPr>
              <xdr:cNvSpPr txBox="1"/>
            </xdr:nvSpPr>
            <xdr:spPr>
              <a:xfrm>
                <a:off x="962632" y="1568125"/>
                <a:ext cx="4809517" cy="561387"/>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rgbClr val="3F3F3F"/>
                    </a:solidFill>
                    <a:latin typeface="Quattrocento Sans"/>
                    <a:ea typeface="Quattrocento Sans"/>
                    <a:cs typeface="Quattrocento Sans"/>
                    <a:sym typeface="Quattrocento Sans"/>
                  </a:rPr>
                  <a:t>When you see the faded list of suggestions, press </a:t>
                </a:r>
                <a:r>
                  <a:rPr lang="en-US" sz="1100" b="1">
                    <a:solidFill>
                      <a:srgbClr val="3F3F3F"/>
                    </a:solidFill>
                    <a:latin typeface="Quattrocento Sans"/>
                    <a:ea typeface="Quattrocento Sans"/>
                    <a:cs typeface="Quattrocento Sans"/>
                    <a:sym typeface="Quattrocento Sans"/>
                  </a:rPr>
                  <a:t>Enter</a:t>
                </a:r>
                <a:r>
                  <a:rPr lang="en-US" sz="1100">
                    <a:solidFill>
                      <a:srgbClr val="3F3F3F"/>
                    </a:solidFill>
                    <a:latin typeface="Quattrocento Sans"/>
                    <a:ea typeface="Quattrocento Sans"/>
                    <a:cs typeface="Quattrocento Sans"/>
                    <a:sym typeface="Quattrocento Sans"/>
                  </a:rPr>
                  <a:t> right away.</a:t>
                </a:r>
                <a:endParaRPr sz="1400"/>
              </a:p>
            </xdr:txBody>
          </xdr:sp>
          <xdr:sp macro="" textlink="">
            <xdr:nvSpPr>
              <xdr:cNvPr id="282" name="Shape 282" descr="2">
                <a:extLst>
                  <a:ext uri="{FF2B5EF4-FFF2-40B4-BE49-F238E27FC236}">
                    <a16:creationId xmlns:a16="http://schemas.microsoft.com/office/drawing/2014/main" id="{00000000-0008-0000-0200-00001A010000}"/>
                  </a:ext>
                </a:extLst>
              </xdr:cNvPr>
              <xdr:cNvSpPr/>
            </xdr:nvSpPr>
            <xdr:spPr>
              <a:xfrm>
                <a:off x="555599" y="1525627"/>
                <a:ext cx="371587"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2</a:t>
                </a:r>
                <a:endParaRPr sz="1400"/>
              </a:p>
            </xdr:txBody>
          </xdr:sp>
          <xdr:sp macro="" textlink="">
            <xdr:nvSpPr>
              <xdr:cNvPr id="283" name="Shape 283" descr="Try another way to Flash Fill: Click the cell with Smith">
                <a:extLst>
                  <a:ext uri="{FF2B5EF4-FFF2-40B4-BE49-F238E27FC236}">
                    <a16:creationId xmlns:a16="http://schemas.microsoft.com/office/drawing/2014/main" id="{00000000-0008-0000-0200-00001B010000}"/>
                  </a:ext>
                </a:extLst>
              </xdr:cNvPr>
              <xdr:cNvSpPr txBox="1"/>
            </xdr:nvSpPr>
            <xdr:spPr>
              <a:xfrm>
                <a:off x="962633" y="2922453"/>
                <a:ext cx="4809516" cy="561387"/>
              </a:xfrm>
              <a:prstGeom prst="rect">
                <a:avLst/>
              </a:prstGeom>
              <a:noFill/>
              <a:ln>
                <a:noFill/>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Clr>
                    <a:srgbClr val="3F3F3F"/>
                  </a:buClr>
                  <a:buSzPts val="1100"/>
                  <a:buFont typeface="Quattrocento Sans"/>
                  <a:buNone/>
                </a:pPr>
                <a:r>
                  <a:rPr lang="en-US" sz="1100" b="0" i="0" u="none" strike="noStrike" cap="none">
                    <a:solidFill>
                      <a:srgbClr val="3F3F3F"/>
                    </a:solidFill>
                    <a:latin typeface="Quattrocento Sans"/>
                    <a:ea typeface="Quattrocento Sans"/>
                    <a:cs typeface="Quattrocento Sans"/>
                    <a:sym typeface="Quattrocento Sans"/>
                  </a:rPr>
                  <a:t>Try another way to </a:t>
                </a:r>
                <a:r>
                  <a:rPr lang="en-US" sz="1100">
                    <a:solidFill>
                      <a:srgbClr val="3F3F3F"/>
                    </a:solidFill>
                    <a:latin typeface="Quattrocento Sans"/>
                    <a:ea typeface="Quattrocento Sans"/>
                    <a:cs typeface="Quattrocento Sans"/>
                    <a:sym typeface="Quattrocento Sans"/>
                  </a:rPr>
                  <a:t>Flash Fill: Click the cell with Smith. </a:t>
                </a:r>
                <a:endParaRPr sz="1100" b="0" i="0" u="none" strike="noStrike" cap="none">
                  <a:solidFill>
                    <a:srgbClr val="3F3F3F"/>
                  </a:solidFill>
                  <a:latin typeface="Quattrocento Sans"/>
                  <a:ea typeface="Quattrocento Sans"/>
                  <a:cs typeface="Quattrocento Sans"/>
                  <a:sym typeface="Quattrocento Sans"/>
                </a:endParaRPr>
              </a:p>
            </xdr:txBody>
          </xdr:sp>
          <xdr:sp macro="" textlink="">
            <xdr:nvSpPr>
              <xdr:cNvPr id="284" name="Shape 284" descr="3">
                <a:extLst>
                  <a:ext uri="{FF2B5EF4-FFF2-40B4-BE49-F238E27FC236}">
                    <a16:creationId xmlns:a16="http://schemas.microsoft.com/office/drawing/2014/main" id="{00000000-0008-0000-0200-00001C010000}"/>
                  </a:ext>
                </a:extLst>
              </xdr:cNvPr>
              <xdr:cNvSpPr/>
            </xdr:nvSpPr>
            <xdr:spPr>
              <a:xfrm>
                <a:off x="555599" y="2879955"/>
                <a:ext cx="371587"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3</a:t>
                </a:r>
                <a:endParaRPr sz="1400"/>
              </a:p>
            </xdr:txBody>
          </xdr:sp>
          <xdr:sp macro="" textlink="">
            <xdr:nvSpPr>
              <xdr:cNvPr id="285" name="Shape 285" descr="This list of suggestions is called Flash Fill. Flash Fill detects when you type a consistent pattern, and provides suggestions to fill the cells with. When you see the faded list, that's your cue to press Enter">
                <a:extLst>
                  <a:ext uri="{FF2B5EF4-FFF2-40B4-BE49-F238E27FC236}">
                    <a16:creationId xmlns:a16="http://schemas.microsoft.com/office/drawing/2014/main" id="{00000000-0008-0000-0200-00001D010000}"/>
                  </a:ext>
                </a:extLst>
              </xdr:cNvPr>
              <xdr:cNvSpPr txBox="1"/>
            </xdr:nvSpPr>
            <xdr:spPr>
              <a:xfrm>
                <a:off x="1808447" y="1790872"/>
                <a:ext cx="3866542" cy="784967"/>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rgbClr val="3F3F3F"/>
                    </a:solidFill>
                    <a:latin typeface="Quattrocento Sans"/>
                    <a:ea typeface="Quattrocento Sans"/>
                    <a:cs typeface="Quattrocento Sans"/>
                    <a:sym typeface="Quattrocento Sans"/>
                  </a:rPr>
                  <a:t>This list of suggestions is called </a:t>
                </a:r>
                <a:r>
                  <a:rPr lang="en-US" sz="1100" b="1">
                    <a:solidFill>
                      <a:srgbClr val="3F3F3F"/>
                    </a:solidFill>
                    <a:latin typeface="Quattrocento Sans"/>
                    <a:ea typeface="Quattrocento Sans"/>
                    <a:cs typeface="Quattrocento Sans"/>
                    <a:sym typeface="Quattrocento Sans"/>
                  </a:rPr>
                  <a:t>Flash Fill</a:t>
                </a:r>
                <a:r>
                  <a:rPr lang="en-US" sz="1100">
                    <a:solidFill>
                      <a:srgbClr val="3F3F3F"/>
                    </a:solidFill>
                    <a:latin typeface="Quattrocento Sans"/>
                    <a:ea typeface="Quattrocento Sans"/>
                    <a:cs typeface="Quattrocento Sans"/>
                    <a:sym typeface="Quattrocento Sans"/>
                  </a:rPr>
                  <a:t>. Flash Fill detects when you type a consistent pattern, and provides suggestions to fill the cells with. When you see the faded list, that's your cue to press Enter.</a:t>
                </a:r>
                <a:endParaRPr sz="1400"/>
              </a:p>
            </xdr:txBody>
          </xdr:sp>
          <xdr:sp macro="" textlink="">
            <xdr:nvSpPr>
              <xdr:cNvPr id="286" name="Shape 286" descr="Click Home &gt; Fill &gt; Flash Fill. Now the last names are in their own column">
                <a:extLst>
                  <a:ext uri="{FF2B5EF4-FFF2-40B4-BE49-F238E27FC236}">
                    <a16:creationId xmlns:a16="http://schemas.microsoft.com/office/drawing/2014/main" id="{00000000-0008-0000-0200-00001E010000}"/>
                  </a:ext>
                </a:extLst>
              </xdr:cNvPr>
              <xdr:cNvSpPr txBox="1"/>
            </xdr:nvSpPr>
            <xdr:spPr>
              <a:xfrm>
                <a:off x="962633" y="3424193"/>
                <a:ext cx="4809516" cy="561387"/>
              </a:xfrm>
              <a:prstGeom prst="rect">
                <a:avLst/>
              </a:prstGeom>
              <a:noFill/>
              <a:ln>
                <a:noFill/>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Clr>
                    <a:srgbClr val="3F3F3F"/>
                  </a:buClr>
                  <a:buSzPts val="1100"/>
                  <a:buFont typeface="Quattrocento Sans"/>
                  <a:buNone/>
                </a:pPr>
                <a:r>
                  <a:rPr lang="en-US" sz="1100" b="0" i="0" u="none" strike="noStrike" cap="none">
                    <a:solidFill>
                      <a:srgbClr val="3F3F3F"/>
                    </a:solidFill>
                    <a:latin typeface="Quattrocento Sans"/>
                    <a:ea typeface="Quattrocento Sans"/>
                    <a:cs typeface="Quattrocento Sans"/>
                    <a:sym typeface="Quattrocento Sans"/>
                  </a:rPr>
                  <a:t>Click </a:t>
                </a:r>
                <a:r>
                  <a:rPr lang="en-US" sz="1100" b="1" i="0" u="none" strike="noStrike" cap="none">
                    <a:solidFill>
                      <a:srgbClr val="3F3F3F"/>
                    </a:solidFill>
                    <a:latin typeface="Quattrocento Sans"/>
                    <a:ea typeface="Quattrocento Sans"/>
                    <a:cs typeface="Quattrocento Sans"/>
                    <a:sym typeface="Quattrocento Sans"/>
                  </a:rPr>
                  <a:t>Home </a:t>
                </a:r>
                <a:r>
                  <a:rPr lang="en-US" sz="1100" i="0" u="none" strike="noStrike" cap="none">
                    <a:solidFill>
                      <a:srgbClr val="3F3F3F"/>
                    </a:solidFill>
                    <a:latin typeface="Quattrocento Sans"/>
                    <a:ea typeface="Quattrocento Sans"/>
                    <a:cs typeface="Quattrocento Sans"/>
                    <a:sym typeface="Quattrocento Sans"/>
                  </a:rPr>
                  <a:t>&gt; </a:t>
                </a:r>
                <a:r>
                  <a:rPr lang="en-US" sz="1100" b="1" i="0" u="none" strike="noStrike" cap="none">
                    <a:solidFill>
                      <a:srgbClr val="3F3F3F"/>
                    </a:solidFill>
                    <a:latin typeface="Quattrocento Sans"/>
                    <a:ea typeface="Quattrocento Sans"/>
                    <a:cs typeface="Quattrocento Sans"/>
                    <a:sym typeface="Quattrocento Sans"/>
                  </a:rPr>
                  <a:t>Fill </a:t>
                </a:r>
                <a:r>
                  <a:rPr lang="en-US" sz="1100" i="0" u="none" strike="noStrike" cap="none">
                    <a:solidFill>
                      <a:srgbClr val="3F3F3F"/>
                    </a:solidFill>
                    <a:latin typeface="Quattrocento Sans"/>
                    <a:ea typeface="Quattrocento Sans"/>
                    <a:cs typeface="Quattrocento Sans"/>
                    <a:sym typeface="Quattrocento Sans"/>
                  </a:rPr>
                  <a:t>&gt; </a:t>
                </a:r>
                <a:r>
                  <a:rPr lang="en-US" sz="1100" b="1" i="0" u="none" strike="noStrike" cap="none">
                    <a:solidFill>
                      <a:srgbClr val="3F3F3F"/>
                    </a:solidFill>
                    <a:latin typeface="Quattrocento Sans"/>
                    <a:ea typeface="Quattrocento Sans"/>
                    <a:cs typeface="Quattrocento Sans"/>
                    <a:sym typeface="Quattrocento Sans"/>
                  </a:rPr>
                  <a:t>Flash Fill</a:t>
                </a:r>
                <a:r>
                  <a:rPr lang="en-US" sz="1100" i="0" u="none" strike="noStrike" cap="none">
                    <a:solidFill>
                      <a:srgbClr val="3F3F3F"/>
                    </a:solidFill>
                    <a:latin typeface="Quattrocento Sans"/>
                    <a:ea typeface="Quattrocento Sans"/>
                    <a:cs typeface="Quattrocento Sans"/>
                    <a:sym typeface="Quattrocento Sans"/>
                  </a:rPr>
                  <a:t>. Now the last names are in their own column.</a:t>
                </a:r>
                <a:endParaRPr sz="1400"/>
              </a:p>
            </xdr:txBody>
          </xdr:sp>
          <xdr:sp macro="" textlink="">
            <xdr:nvSpPr>
              <xdr:cNvPr id="287" name="Shape 287" descr="4">
                <a:extLst>
                  <a:ext uri="{FF2B5EF4-FFF2-40B4-BE49-F238E27FC236}">
                    <a16:creationId xmlns:a16="http://schemas.microsoft.com/office/drawing/2014/main" id="{00000000-0008-0000-0200-00001F010000}"/>
                  </a:ext>
                </a:extLst>
              </xdr:cNvPr>
              <xdr:cNvSpPr/>
            </xdr:nvSpPr>
            <xdr:spPr>
              <a:xfrm>
                <a:off x="555599" y="3381695"/>
                <a:ext cx="371587"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4</a:t>
                </a:r>
                <a:endParaRPr sz="1400"/>
              </a:p>
            </xdr:txBody>
          </xdr:sp>
        </xdr:grpSp>
        <xdr:pic>
          <xdr:nvPicPr>
            <xdr:cNvPr id="288" name="Shape 288" descr="Flash Fill">
              <a:extLst>
                <a:ext uri="{FF2B5EF4-FFF2-40B4-BE49-F238E27FC236}">
                  <a16:creationId xmlns:a16="http://schemas.microsoft.com/office/drawing/2014/main" id="{00000000-0008-0000-0200-000020010000}"/>
                </a:ext>
              </a:extLst>
            </xdr:cNvPr>
            <xdr:cNvPicPr preferRelativeResize="0"/>
          </xdr:nvPicPr>
          <xdr:blipFill rotWithShape="1">
            <a:blip xmlns:r="http://schemas.openxmlformats.org/officeDocument/2006/relationships" r:embed="rId12">
              <a:alphaModFix/>
            </a:blip>
            <a:srcRect/>
            <a:stretch/>
          </xdr:blipFill>
          <xdr:spPr>
            <a:xfrm>
              <a:off x="1057276" y="1838324"/>
              <a:ext cx="806532" cy="917431"/>
            </a:xfrm>
            <a:prstGeom prst="rect">
              <a:avLst/>
            </a:prstGeom>
            <a:noFill/>
            <a:ln>
              <a:noFill/>
            </a:ln>
          </xdr:spPr>
        </xdr:pic>
      </xdr:grpSp>
    </xdr:grp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323850</xdr:colOff>
      <xdr:row>0</xdr:row>
      <xdr:rowOff>266700</xdr:rowOff>
    </xdr:from>
    <xdr:ext cx="5695950" cy="4619625"/>
    <xdr:grpSp>
      <xdr:nvGrpSpPr>
        <xdr:cNvPr id="2" name="Shape 2">
          <a:extLst>
            <a:ext uri="{FF2B5EF4-FFF2-40B4-BE49-F238E27FC236}">
              <a16:creationId xmlns:a16="http://schemas.microsoft.com/office/drawing/2014/main" id="{00000000-0008-0000-0300-000002000000}"/>
            </a:ext>
          </a:extLst>
        </xdr:cNvPr>
        <xdr:cNvGrpSpPr/>
      </xdr:nvGrpSpPr>
      <xdr:grpSpPr>
        <a:xfrm>
          <a:off x="323850" y="266700"/>
          <a:ext cx="5695950" cy="4619625"/>
          <a:chOff x="2498025" y="1470188"/>
          <a:chExt cx="5695950" cy="4619625"/>
        </a:xfrm>
      </xdr:grpSpPr>
      <xdr:grpSp>
        <xdr:nvGrpSpPr>
          <xdr:cNvPr id="289" name="Shape 289" descr="Switch data around by transposing it&#10;When you need to rotate columns and rows, you transpose them in Excel.&#10;Click and drag to select the two rows of cells from Item, to 20.&#10;Now you'll copy the cells. Press Ctrl and C key.&#10;Click the yellow cell.&#10;On the Home tab, click the arrow under the Paste button.&#10;Click Paste Special, and then at the bottom, click the checkbox for Transpose. Click OK.&#10;Dive down for more detail &#10;Next step">
            <a:extLst>
              <a:ext uri="{FF2B5EF4-FFF2-40B4-BE49-F238E27FC236}">
                <a16:creationId xmlns:a16="http://schemas.microsoft.com/office/drawing/2014/main" id="{00000000-0008-0000-0300-000021010000}"/>
              </a:ext>
            </a:extLst>
          </xdr:cNvPr>
          <xdr:cNvGrpSpPr/>
        </xdr:nvGrpSpPr>
        <xdr:grpSpPr>
          <a:xfrm>
            <a:off x="2498025" y="1470188"/>
            <a:ext cx="5695950" cy="4619625"/>
            <a:chOff x="323850" y="266700"/>
            <a:chExt cx="5695950" cy="4619625"/>
          </a:xfrm>
        </xdr:grpSpPr>
        <xdr:sp macro="" textlink="">
          <xdr:nvSpPr>
            <xdr:cNvPr id="4" name="Shape 4">
              <a:extLst>
                <a:ext uri="{FF2B5EF4-FFF2-40B4-BE49-F238E27FC236}">
                  <a16:creationId xmlns:a16="http://schemas.microsoft.com/office/drawing/2014/main" id="{00000000-0008-0000-0300-000004000000}"/>
                </a:ext>
              </a:extLst>
            </xdr:cNvPr>
            <xdr:cNvSpPr/>
          </xdr:nvSpPr>
          <xdr:spPr>
            <a:xfrm>
              <a:off x="323850" y="266700"/>
              <a:ext cx="5695950" cy="4619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290" name="Shape 290" descr="Background">
              <a:extLst>
                <a:ext uri="{FF2B5EF4-FFF2-40B4-BE49-F238E27FC236}">
                  <a16:creationId xmlns:a16="http://schemas.microsoft.com/office/drawing/2014/main" id="{00000000-0008-0000-0300-000022010000}"/>
                </a:ext>
              </a:extLst>
            </xdr:cNvPr>
            <xdr:cNvSpPr/>
          </xdr:nvSpPr>
          <xdr:spPr>
            <a:xfrm>
              <a:off x="323850" y="266700"/>
              <a:ext cx="5695950" cy="4619625"/>
            </a:xfrm>
            <a:prstGeom prst="rect">
              <a:avLst/>
            </a:prstGeom>
            <a:solidFill>
              <a:srgbClr val="F5F5F5"/>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291" name="Shape 291" descr="Switch data around by transposing it">
              <a:extLst>
                <a:ext uri="{FF2B5EF4-FFF2-40B4-BE49-F238E27FC236}">
                  <a16:creationId xmlns:a16="http://schemas.microsoft.com/office/drawing/2014/main" id="{00000000-0008-0000-0300-000023010000}"/>
                </a:ext>
              </a:extLst>
            </xdr:cNvPr>
            <xdr:cNvSpPr txBox="1"/>
          </xdr:nvSpPr>
          <xdr:spPr>
            <a:xfrm>
              <a:off x="555598" y="385398"/>
              <a:ext cx="5216551" cy="490903"/>
            </a:xfrm>
            <a:prstGeom prst="rect">
              <a:avLst/>
            </a:prstGeom>
            <a:noFill/>
            <a:ln>
              <a:noFill/>
            </a:ln>
          </xdr:spPr>
          <xdr:txBody>
            <a:bodyPr spcFirstLastPara="1" wrap="square" lIns="0" tIns="45700" rIns="0" bIns="45700" anchor="t" anchorCtr="0">
              <a:noAutofit/>
            </a:bodyPr>
            <a:lstStyle/>
            <a:p>
              <a:pPr marL="0" marR="0" lvl="0" indent="0" algn="l" rtl="0">
                <a:lnSpc>
                  <a:spcPct val="100000"/>
                </a:lnSpc>
                <a:spcBef>
                  <a:spcPts val="0"/>
                </a:spcBef>
                <a:spcAft>
                  <a:spcPts val="0"/>
                </a:spcAft>
                <a:buClr>
                  <a:srgbClr val="3A3838"/>
                </a:buClr>
                <a:buSzPts val="2200"/>
                <a:buFont typeface="Quattrocento Sans"/>
                <a:buNone/>
              </a:pPr>
              <a:r>
                <a:rPr lang="en-US" sz="2200" b="0" i="0" u="none" strike="noStrike" cap="none">
                  <a:solidFill>
                    <a:srgbClr val="3A3838"/>
                  </a:solidFill>
                  <a:latin typeface="Quattrocento Sans"/>
                  <a:ea typeface="Quattrocento Sans"/>
                  <a:cs typeface="Quattrocento Sans"/>
                  <a:sym typeface="Quattrocento Sans"/>
                </a:rPr>
                <a:t>Switch data around by transposing it</a:t>
              </a:r>
              <a:endParaRPr sz="2200" b="0">
                <a:solidFill>
                  <a:srgbClr val="3A3838"/>
                </a:solidFill>
                <a:latin typeface="Quattrocento Sans"/>
                <a:ea typeface="Quattrocento Sans"/>
                <a:cs typeface="Quattrocento Sans"/>
                <a:sym typeface="Quattrocento Sans"/>
              </a:endParaRPr>
            </a:p>
          </xdr:txBody>
        </xdr:sp>
        <xdr:cxnSp macro="">
          <xdr:nvCxnSpPr>
            <xdr:cNvPr id="292" name="Shape 292" descr="Decorative line">
              <a:extLst>
                <a:ext uri="{FF2B5EF4-FFF2-40B4-BE49-F238E27FC236}">
                  <a16:creationId xmlns:a16="http://schemas.microsoft.com/office/drawing/2014/main" id="{00000000-0008-0000-0300-000024010000}"/>
                </a:ext>
              </a:extLst>
            </xdr:cNvPr>
            <xdr:cNvCxnSpPr/>
          </xdr:nvCxnSpPr>
          <xdr:spPr>
            <a:xfrm>
              <a:off x="558774" y="892811"/>
              <a:ext cx="5213376" cy="0"/>
            </a:xfrm>
            <a:prstGeom prst="straightConnector1">
              <a:avLst/>
            </a:prstGeom>
            <a:noFill/>
            <a:ln w="25400" cap="flat" cmpd="sng">
              <a:solidFill>
                <a:srgbClr val="217346"/>
              </a:solidFill>
              <a:prstDash val="solid"/>
              <a:round/>
              <a:headEnd type="none" w="sm" len="sm"/>
              <a:tailEnd type="none" w="sm" len="sm"/>
            </a:ln>
          </xdr:spPr>
        </xdr:cxnSp>
        <xdr:sp macro="" textlink="">
          <xdr:nvSpPr>
            <xdr:cNvPr id="293" name="Shape 293" descr="Dive down for more detail">
              <a:extLst>
                <a:ext uri="{FF2B5EF4-FFF2-40B4-BE49-F238E27FC236}">
                  <a16:creationId xmlns:a16="http://schemas.microsoft.com/office/drawing/2014/main" id="{00000000-0008-0000-0300-000025010000}"/>
                </a:ext>
              </a:extLst>
            </xdr:cNvPr>
            <xdr:cNvSpPr/>
          </xdr:nvSpPr>
          <xdr:spPr>
            <a:xfrm>
              <a:off x="558774" y="4109207"/>
              <a:ext cx="2723067" cy="536454"/>
            </a:xfrm>
            <a:prstGeom prst="downArrowCallout">
              <a:avLst>
                <a:gd name="adj1" fmla="val 25000"/>
                <a:gd name="adj2" fmla="val 25000"/>
                <a:gd name="adj3" fmla="val 25000"/>
                <a:gd name="adj4" fmla="val 64977"/>
              </a:avLst>
            </a:prstGeom>
            <a:solidFill>
              <a:srgbClr val="D8D8D8"/>
            </a:solidFill>
            <a:ln w="12700" cap="flat" cmpd="sng">
              <a:solidFill>
                <a:srgbClr val="0B744D">
                  <a:alpha val="49803"/>
                </a:srgb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a:solidFill>
                    <a:srgbClr val="0B744D"/>
                  </a:solidFill>
                  <a:latin typeface="Quattrocento Sans"/>
                  <a:ea typeface="Quattrocento Sans"/>
                  <a:cs typeface="Quattrocento Sans"/>
                  <a:sym typeface="Quattrocento Sans"/>
                </a:rPr>
                <a:t>Dive down for more detail</a:t>
              </a:r>
              <a:endParaRPr sz="1400"/>
            </a:p>
          </xdr:txBody>
        </xdr:sp>
        <xdr:cxnSp macro="">
          <xdr:nvCxnSpPr>
            <xdr:cNvPr id="294" name="Shape 294" descr="Decorative line">
              <a:extLst>
                <a:ext uri="{FF2B5EF4-FFF2-40B4-BE49-F238E27FC236}">
                  <a16:creationId xmlns:a16="http://schemas.microsoft.com/office/drawing/2014/main" id="{00000000-0008-0000-0300-000026010000}"/>
                </a:ext>
              </a:extLst>
            </xdr:cNvPr>
            <xdr:cNvCxnSpPr/>
          </xdr:nvCxnSpPr>
          <xdr:spPr>
            <a:xfrm>
              <a:off x="558774" y="3848100"/>
              <a:ext cx="5213376" cy="0"/>
            </a:xfrm>
            <a:prstGeom prst="straightConnector1">
              <a:avLst/>
            </a:prstGeom>
            <a:noFill/>
            <a:ln w="25400" cap="flat" cmpd="sng">
              <a:solidFill>
                <a:srgbClr val="217346"/>
              </a:solidFill>
              <a:prstDash val="solid"/>
              <a:round/>
              <a:headEnd type="none" w="sm" len="sm"/>
              <a:tailEnd type="none" w="sm" len="sm"/>
            </a:ln>
          </xdr:spPr>
        </xdr:cxnSp>
        <xdr:sp macro="" textlink="">
          <xdr:nvSpPr>
            <xdr:cNvPr id="295" name="Shape 295" descr="Next step button, hyperlinked to next sheet">
              <a:hlinkClick xmlns:r="http://schemas.openxmlformats.org/officeDocument/2006/relationships" r:id="rId1"/>
              <a:extLst>
                <a:ext uri="{FF2B5EF4-FFF2-40B4-BE49-F238E27FC236}">
                  <a16:creationId xmlns:a16="http://schemas.microsoft.com/office/drawing/2014/main" id="{00000000-0008-0000-0300-000027010000}"/>
                </a:ext>
              </a:extLst>
            </xdr:cNvPr>
            <xdr:cNvSpPr/>
          </xdr:nvSpPr>
          <xdr:spPr>
            <a:xfrm>
              <a:off x="4617720" y="4109207"/>
              <a:ext cx="1154430" cy="348492"/>
            </a:xfrm>
            <a:prstGeom prst="rightArrowCallout">
              <a:avLst>
                <a:gd name="adj1" fmla="val 32829"/>
                <a:gd name="adj2" fmla="val 31524"/>
                <a:gd name="adj3" fmla="val 25000"/>
                <a:gd name="adj4" fmla="val 86357"/>
              </a:avLst>
            </a:prstGeom>
            <a:solidFill>
              <a:schemeClr val="lt1"/>
            </a:solidFill>
            <a:ln w="12700" cap="flat" cmpd="sng">
              <a:solidFill>
                <a:srgbClr val="0B744D"/>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a:solidFill>
                    <a:srgbClr val="0B744D"/>
                  </a:solidFill>
                  <a:latin typeface="Quattrocento Sans"/>
                  <a:ea typeface="Quattrocento Sans"/>
                  <a:cs typeface="Quattrocento Sans"/>
                  <a:sym typeface="Quattrocento Sans"/>
                </a:rPr>
                <a:t>Next step</a:t>
              </a:r>
              <a:endParaRPr sz="1400"/>
            </a:p>
          </xdr:txBody>
        </xdr:sp>
        <xdr:sp macro="" textlink="">
          <xdr:nvSpPr>
            <xdr:cNvPr id="296" name="Shape 296" descr="When you need to rotate columns and rows, you transpose them in Excel">
              <a:extLst>
                <a:ext uri="{FF2B5EF4-FFF2-40B4-BE49-F238E27FC236}">
                  <a16:creationId xmlns:a16="http://schemas.microsoft.com/office/drawing/2014/main" id="{00000000-0008-0000-0300-000028010000}"/>
                </a:ext>
              </a:extLst>
            </xdr:cNvPr>
            <xdr:cNvSpPr txBox="1"/>
          </xdr:nvSpPr>
          <xdr:spPr>
            <a:xfrm>
              <a:off x="552450" y="966421"/>
              <a:ext cx="5300938" cy="252778"/>
            </a:xfrm>
            <a:prstGeom prst="rect">
              <a:avLst/>
            </a:prstGeom>
            <a:noFill/>
            <a:ln>
              <a:noFill/>
            </a:ln>
          </xdr:spPr>
          <xdr:txBody>
            <a:bodyPr spcFirstLastPara="1" wrap="square" lIns="0" tIns="45700" rIns="0" bIns="45700" anchor="t" anchorCtr="0">
              <a:noAutofit/>
            </a:bodyPr>
            <a:lstStyle/>
            <a:p>
              <a:pPr marL="0" marR="0" lvl="0" indent="0" algn="l" rtl="0">
                <a:lnSpc>
                  <a:spcPct val="100000"/>
                </a:lnSpc>
                <a:spcBef>
                  <a:spcPts val="0"/>
                </a:spcBef>
                <a:spcAft>
                  <a:spcPts val="0"/>
                </a:spcAft>
                <a:buClr>
                  <a:srgbClr val="3F3F3F"/>
                </a:buClr>
                <a:buSzPts val="1100"/>
                <a:buFont typeface="Quattrocento Sans"/>
                <a:buNone/>
              </a:pPr>
              <a:r>
                <a:rPr lang="en-US" sz="1100" b="0" i="0" u="none" strike="noStrike" cap="none">
                  <a:solidFill>
                    <a:srgbClr val="3F3F3F"/>
                  </a:solidFill>
                  <a:latin typeface="Quattrocento Sans"/>
                  <a:ea typeface="Quattrocento Sans"/>
                  <a:cs typeface="Quattrocento Sans"/>
                  <a:sym typeface="Quattrocento Sans"/>
                </a:rPr>
                <a:t>When you need to rotate columns and rows, you </a:t>
              </a:r>
              <a:r>
                <a:rPr lang="en-US" sz="1100" b="0" i="1" u="none" strike="noStrike" cap="none">
                  <a:solidFill>
                    <a:srgbClr val="3F3F3F"/>
                  </a:solidFill>
                  <a:latin typeface="Quattrocento Sans"/>
                  <a:ea typeface="Quattrocento Sans"/>
                  <a:cs typeface="Quattrocento Sans"/>
                  <a:sym typeface="Quattrocento Sans"/>
                </a:rPr>
                <a:t>transpose</a:t>
              </a:r>
              <a:r>
                <a:rPr lang="en-US" sz="1100" b="0" i="0" u="none" strike="noStrike" cap="none">
                  <a:solidFill>
                    <a:srgbClr val="3F3F3F"/>
                  </a:solidFill>
                  <a:latin typeface="Quattrocento Sans"/>
                  <a:ea typeface="Quattrocento Sans"/>
                  <a:cs typeface="Quattrocento Sans"/>
                  <a:sym typeface="Quattrocento Sans"/>
                </a:rPr>
                <a:t> them in Excel.</a:t>
              </a:r>
              <a:endParaRPr sz="1400"/>
            </a:p>
          </xdr:txBody>
        </xdr:sp>
        <xdr:sp macro="" textlink="">
          <xdr:nvSpPr>
            <xdr:cNvPr id="297" name="Shape 297" descr="Click and drag to select the two rows of cells from Item, to 20">
              <a:extLst>
                <a:ext uri="{FF2B5EF4-FFF2-40B4-BE49-F238E27FC236}">
                  <a16:creationId xmlns:a16="http://schemas.microsoft.com/office/drawing/2014/main" id="{00000000-0008-0000-0300-000029010000}"/>
                </a:ext>
              </a:extLst>
            </xdr:cNvPr>
            <xdr:cNvSpPr txBox="1"/>
          </xdr:nvSpPr>
          <xdr:spPr>
            <a:xfrm>
              <a:off x="962633" y="1312535"/>
              <a:ext cx="4809516" cy="382916"/>
            </a:xfrm>
            <a:prstGeom prst="rect">
              <a:avLst/>
            </a:prstGeom>
            <a:noFill/>
            <a:ln>
              <a:noFill/>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Clr>
                  <a:srgbClr val="3F3F3F"/>
                </a:buClr>
                <a:buSzPts val="1100"/>
                <a:buFont typeface="Quattrocento Sans"/>
                <a:buNone/>
              </a:pPr>
              <a:r>
                <a:rPr lang="en-US" sz="1100" b="0" i="0" u="none" strike="noStrike" cap="none">
                  <a:solidFill>
                    <a:srgbClr val="3F3F3F"/>
                  </a:solidFill>
                  <a:latin typeface="Quattrocento Sans"/>
                  <a:ea typeface="Quattrocento Sans"/>
                  <a:cs typeface="Quattrocento Sans"/>
                  <a:sym typeface="Quattrocento Sans"/>
                </a:rPr>
                <a:t>Click and drag to select the two rows of cells from </a:t>
              </a:r>
              <a:r>
                <a:rPr lang="en-US" sz="1100" b="1" i="0" u="none" strike="noStrike" cap="none">
                  <a:solidFill>
                    <a:srgbClr val="3F3F3F"/>
                  </a:solidFill>
                  <a:latin typeface="Quattrocento Sans"/>
                  <a:ea typeface="Quattrocento Sans"/>
                  <a:cs typeface="Quattrocento Sans"/>
                  <a:sym typeface="Quattrocento Sans"/>
                </a:rPr>
                <a:t>Item</a:t>
              </a:r>
              <a:r>
                <a:rPr lang="en-US" sz="1100" i="0" u="none" strike="noStrike" cap="none">
                  <a:solidFill>
                    <a:srgbClr val="3F3F3F"/>
                  </a:solidFill>
                  <a:latin typeface="Quattrocento Sans"/>
                  <a:ea typeface="Quattrocento Sans"/>
                  <a:cs typeface="Quattrocento Sans"/>
                  <a:sym typeface="Quattrocento Sans"/>
                </a:rPr>
                <a:t>,</a:t>
              </a:r>
              <a:r>
                <a:rPr lang="en-US" sz="1100" b="1" i="0" u="none" strike="noStrike" cap="none">
                  <a:solidFill>
                    <a:srgbClr val="3F3F3F"/>
                  </a:solidFill>
                  <a:latin typeface="Quattrocento Sans"/>
                  <a:ea typeface="Quattrocento Sans"/>
                  <a:cs typeface="Quattrocento Sans"/>
                  <a:sym typeface="Quattrocento Sans"/>
                </a:rPr>
                <a:t> </a:t>
              </a:r>
              <a:r>
                <a:rPr lang="en-US" sz="1100" b="0" i="0" u="none" strike="noStrike" cap="none">
                  <a:solidFill>
                    <a:srgbClr val="3F3F3F"/>
                  </a:solidFill>
                  <a:latin typeface="Quattrocento Sans"/>
                  <a:ea typeface="Quattrocento Sans"/>
                  <a:cs typeface="Quattrocento Sans"/>
                  <a:sym typeface="Quattrocento Sans"/>
                </a:rPr>
                <a:t>to </a:t>
              </a:r>
              <a:r>
                <a:rPr lang="en-US" sz="1100" b="1" i="0" u="none" strike="noStrike" cap="none">
                  <a:solidFill>
                    <a:srgbClr val="3F3F3F"/>
                  </a:solidFill>
                  <a:latin typeface="Quattrocento Sans"/>
                  <a:ea typeface="Quattrocento Sans"/>
                  <a:cs typeface="Quattrocento Sans"/>
                  <a:sym typeface="Quattrocento Sans"/>
                </a:rPr>
                <a:t>20</a:t>
              </a:r>
              <a:r>
                <a:rPr lang="en-US" sz="1100" b="0" i="0" u="none" strike="noStrike" cap="none">
                  <a:solidFill>
                    <a:srgbClr val="3F3F3F"/>
                  </a:solidFill>
                  <a:latin typeface="Quattrocento Sans"/>
                  <a:ea typeface="Quattrocento Sans"/>
                  <a:cs typeface="Quattrocento Sans"/>
                  <a:sym typeface="Quattrocento Sans"/>
                </a:rPr>
                <a:t>.</a:t>
              </a:r>
              <a:endParaRPr sz="1400"/>
            </a:p>
          </xdr:txBody>
        </xdr:sp>
        <xdr:sp macro="" textlink="">
          <xdr:nvSpPr>
            <xdr:cNvPr id="298" name="Shape 298" descr="1">
              <a:extLst>
                <a:ext uri="{FF2B5EF4-FFF2-40B4-BE49-F238E27FC236}">
                  <a16:creationId xmlns:a16="http://schemas.microsoft.com/office/drawing/2014/main" id="{00000000-0008-0000-0300-00002A010000}"/>
                </a:ext>
              </a:extLst>
            </xdr:cNvPr>
            <xdr:cNvSpPr/>
          </xdr:nvSpPr>
          <xdr:spPr>
            <a:xfrm>
              <a:off x="555599" y="1270036"/>
              <a:ext cx="371587"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1</a:t>
              </a:r>
              <a:endParaRPr sz="1400"/>
            </a:p>
          </xdr:txBody>
        </xdr:sp>
        <xdr:sp macro="" textlink="">
          <xdr:nvSpPr>
            <xdr:cNvPr id="299" name="Shape 299" descr="Now you'll copy the cells. Press Ctrl and C key">
              <a:extLst>
                <a:ext uri="{FF2B5EF4-FFF2-40B4-BE49-F238E27FC236}">
                  <a16:creationId xmlns:a16="http://schemas.microsoft.com/office/drawing/2014/main" id="{00000000-0008-0000-0300-00002B010000}"/>
                </a:ext>
              </a:extLst>
            </xdr:cNvPr>
            <xdr:cNvSpPr txBox="1"/>
          </xdr:nvSpPr>
          <xdr:spPr>
            <a:xfrm>
              <a:off x="962633" y="1786953"/>
              <a:ext cx="4809516" cy="561387"/>
            </a:xfrm>
            <a:prstGeom prst="rect">
              <a:avLst/>
            </a:prstGeom>
            <a:noFill/>
            <a:ln>
              <a:noFill/>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Clr>
                  <a:srgbClr val="3F3F3F"/>
                </a:buClr>
                <a:buSzPts val="1100"/>
                <a:buFont typeface="Quattrocento Sans"/>
                <a:buNone/>
              </a:pPr>
              <a:r>
                <a:rPr lang="en-US" sz="1100" b="0" i="0" u="none" strike="noStrike" cap="none">
                  <a:solidFill>
                    <a:srgbClr val="3F3F3F"/>
                  </a:solidFill>
                  <a:latin typeface="Quattrocento Sans"/>
                  <a:ea typeface="Quattrocento Sans"/>
                  <a:cs typeface="Quattrocento Sans"/>
                  <a:sym typeface="Quattrocento Sans"/>
                </a:rPr>
                <a:t>Now you'll copy the cells. Press 	</a:t>
              </a:r>
              <a:endParaRPr sz="1400"/>
            </a:p>
          </xdr:txBody>
        </xdr:sp>
        <xdr:sp macro="" textlink="">
          <xdr:nvSpPr>
            <xdr:cNvPr id="300" name="Shape 300" descr="2">
              <a:extLst>
                <a:ext uri="{FF2B5EF4-FFF2-40B4-BE49-F238E27FC236}">
                  <a16:creationId xmlns:a16="http://schemas.microsoft.com/office/drawing/2014/main" id="{00000000-0008-0000-0300-00002C010000}"/>
                </a:ext>
              </a:extLst>
            </xdr:cNvPr>
            <xdr:cNvSpPr/>
          </xdr:nvSpPr>
          <xdr:spPr>
            <a:xfrm>
              <a:off x="555599" y="1744455"/>
              <a:ext cx="371587"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2</a:t>
              </a:r>
              <a:endParaRPr sz="1400"/>
            </a:p>
          </xdr:txBody>
        </xdr:sp>
        <xdr:sp macro="" textlink="">
          <xdr:nvSpPr>
            <xdr:cNvPr id="301" name="Shape 301" descr="Ctrl key">
              <a:extLst>
                <a:ext uri="{FF2B5EF4-FFF2-40B4-BE49-F238E27FC236}">
                  <a16:creationId xmlns:a16="http://schemas.microsoft.com/office/drawing/2014/main" id="{00000000-0008-0000-0300-00002D010000}"/>
                </a:ext>
              </a:extLst>
            </xdr:cNvPr>
            <xdr:cNvSpPr/>
          </xdr:nvSpPr>
          <xdr:spPr>
            <a:xfrm>
              <a:off x="3005204" y="1789746"/>
              <a:ext cx="459442" cy="257175"/>
            </a:xfrm>
            <a:prstGeom prst="roundRect">
              <a:avLst>
                <a:gd name="adj" fmla="val 16667"/>
              </a:avLst>
            </a:prstGeom>
            <a:no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Quattrocento Sans"/>
                  <a:ea typeface="Quattrocento Sans"/>
                  <a:cs typeface="Quattrocento Sans"/>
                  <a:sym typeface="Quattrocento Sans"/>
                </a:rPr>
                <a:t>Ctrl</a:t>
              </a:r>
              <a:endParaRPr sz="800">
                <a:solidFill>
                  <a:schemeClr val="dk1"/>
                </a:solidFill>
                <a:latin typeface="Quattrocento Sans"/>
                <a:ea typeface="Quattrocento Sans"/>
                <a:cs typeface="Quattrocento Sans"/>
                <a:sym typeface="Quattrocento Sans"/>
              </a:endParaRPr>
            </a:p>
          </xdr:txBody>
        </xdr:sp>
        <xdr:sp macro="" textlink="">
          <xdr:nvSpPr>
            <xdr:cNvPr id="302" name="Shape 302" descr="C key">
              <a:extLst>
                <a:ext uri="{FF2B5EF4-FFF2-40B4-BE49-F238E27FC236}">
                  <a16:creationId xmlns:a16="http://schemas.microsoft.com/office/drawing/2014/main" id="{00000000-0008-0000-0300-00002E010000}"/>
                </a:ext>
              </a:extLst>
            </xdr:cNvPr>
            <xdr:cNvSpPr/>
          </xdr:nvSpPr>
          <xdr:spPr>
            <a:xfrm>
              <a:off x="3514792" y="1789746"/>
              <a:ext cx="422585" cy="257175"/>
            </a:xfrm>
            <a:prstGeom prst="roundRect">
              <a:avLst>
                <a:gd name="adj" fmla="val 16667"/>
              </a:avLst>
            </a:prstGeom>
            <a:no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Quattrocento Sans"/>
                  <a:ea typeface="Quattrocento Sans"/>
                  <a:cs typeface="Quattrocento Sans"/>
                  <a:sym typeface="Quattrocento Sans"/>
                </a:rPr>
                <a:t>C</a:t>
              </a:r>
              <a:endParaRPr sz="1400"/>
            </a:p>
          </xdr:txBody>
        </xdr:sp>
        <xdr:sp macro="" textlink="">
          <xdr:nvSpPr>
            <xdr:cNvPr id="303" name="Shape 303" descr="Click the yellow cell">
              <a:extLst>
                <a:ext uri="{FF2B5EF4-FFF2-40B4-BE49-F238E27FC236}">
                  <a16:creationId xmlns:a16="http://schemas.microsoft.com/office/drawing/2014/main" id="{00000000-0008-0000-0300-00002F010000}"/>
                </a:ext>
              </a:extLst>
            </xdr:cNvPr>
            <xdr:cNvSpPr txBox="1"/>
          </xdr:nvSpPr>
          <xdr:spPr>
            <a:xfrm>
              <a:off x="962633" y="2272654"/>
              <a:ext cx="4809516" cy="441971"/>
            </a:xfrm>
            <a:prstGeom prst="rect">
              <a:avLst/>
            </a:prstGeom>
            <a:noFill/>
            <a:ln>
              <a:noFill/>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Clr>
                  <a:srgbClr val="3F3F3F"/>
                </a:buClr>
                <a:buSzPts val="1100"/>
                <a:buFont typeface="Quattrocento Sans"/>
                <a:buNone/>
              </a:pPr>
              <a:r>
                <a:rPr lang="en-US" sz="1100" b="0" i="0" u="none" strike="noStrike" cap="none">
                  <a:solidFill>
                    <a:srgbClr val="3F3F3F"/>
                  </a:solidFill>
                  <a:latin typeface="Quattrocento Sans"/>
                  <a:ea typeface="Quattrocento Sans"/>
                  <a:cs typeface="Quattrocento Sans"/>
                  <a:sym typeface="Quattrocento Sans"/>
                </a:rPr>
                <a:t>Click the yellow cell.</a:t>
              </a:r>
              <a:endParaRPr sz="1400"/>
            </a:p>
          </xdr:txBody>
        </xdr:sp>
        <xdr:sp macro="" textlink="">
          <xdr:nvSpPr>
            <xdr:cNvPr id="304" name="Shape 304" descr="3">
              <a:extLst>
                <a:ext uri="{FF2B5EF4-FFF2-40B4-BE49-F238E27FC236}">
                  <a16:creationId xmlns:a16="http://schemas.microsoft.com/office/drawing/2014/main" id="{00000000-0008-0000-0300-000030010000}"/>
                </a:ext>
              </a:extLst>
            </xdr:cNvPr>
            <xdr:cNvSpPr/>
          </xdr:nvSpPr>
          <xdr:spPr>
            <a:xfrm>
              <a:off x="555599" y="2230156"/>
              <a:ext cx="371587"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3</a:t>
              </a:r>
              <a:endParaRPr sz="1400"/>
            </a:p>
          </xdr:txBody>
        </xdr:sp>
        <xdr:sp macro="" textlink="">
          <xdr:nvSpPr>
            <xdr:cNvPr id="305" name="Shape 305" descr="On the Home tab, click the arrow under the Paste button">
              <a:extLst>
                <a:ext uri="{FF2B5EF4-FFF2-40B4-BE49-F238E27FC236}">
                  <a16:creationId xmlns:a16="http://schemas.microsoft.com/office/drawing/2014/main" id="{00000000-0008-0000-0300-000031010000}"/>
                </a:ext>
              </a:extLst>
            </xdr:cNvPr>
            <xdr:cNvSpPr txBox="1"/>
          </xdr:nvSpPr>
          <xdr:spPr>
            <a:xfrm>
              <a:off x="962633" y="2747074"/>
              <a:ext cx="4809516" cy="443802"/>
            </a:xfrm>
            <a:prstGeom prst="rect">
              <a:avLst/>
            </a:prstGeom>
            <a:noFill/>
            <a:ln>
              <a:noFill/>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Clr>
                  <a:srgbClr val="3F3F3F"/>
                </a:buClr>
                <a:buSzPts val="1100"/>
                <a:buFont typeface="Quattrocento Sans"/>
                <a:buNone/>
              </a:pPr>
              <a:r>
                <a:rPr lang="en-US" sz="1100" b="0" i="0" u="none" strike="noStrike" cap="none">
                  <a:solidFill>
                    <a:srgbClr val="3F3F3F"/>
                  </a:solidFill>
                  <a:latin typeface="Quattrocento Sans"/>
                  <a:ea typeface="Quattrocento Sans"/>
                  <a:cs typeface="Quattrocento Sans"/>
                  <a:sym typeface="Quattrocento Sans"/>
                </a:rPr>
                <a:t>On the </a:t>
              </a:r>
              <a:r>
                <a:rPr lang="en-US" sz="1100" b="1" i="0" u="none" strike="noStrike" cap="none">
                  <a:solidFill>
                    <a:srgbClr val="3F3F3F"/>
                  </a:solidFill>
                  <a:latin typeface="Quattrocento Sans"/>
                  <a:ea typeface="Quattrocento Sans"/>
                  <a:cs typeface="Quattrocento Sans"/>
                  <a:sym typeface="Quattrocento Sans"/>
                </a:rPr>
                <a:t>Home</a:t>
              </a:r>
              <a:r>
                <a:rPr lang="en-US" sz="1100" b="0" i="0" u="none" strike="noStrike" cap="none">
                  <a:solidFill>
                    <a:srgbClr val="3F3F3F"/>
                  </a:solidFill>
                  <a:latin typeface="Quattrocento Sans"/>
                  <a:ea typeface="Quattrocento Sans"/>
                  <a:cs typeface="Quattrocento Sans"/>
                  <a:sym typeface="Quattrocento Sans"/>
                </a:rPr>
                <a:t> tab, click the arrow under the </a:t>
              </a:r>
              <a:r>
                <a:rPr lang="en-US" sz="1100" b="1" i="0" u="none" strike="noStrike" cap="none">
                  <a:solidFill>
                    <a:srgbClr val="3F3F3F"/>
                  </a:solidFill>
                  <a:latin typeface="Quattrocento Sans"/>
                  <a:ea typeface="Quattrocento Sans"/>
                  <a:cs typeface="Quattrocento Sans"/>
                  <a:sym typeface="Quattrocento Sans"/>
                </a:rPr>
                <a:t>Paste</a:t>
              </a:r>
              <a:r>
                <a:rPr lang="en-US" sz="1100" b="0" i="0" u="none" strike="noStrike" cap="none">
                  <a:solidFill>
                    <a:srgbClr val="3F3F3F"/>
                  </a:solidFill>
                  <a:latin typeface="Quattrocento Sans"/>
                  <a:ea typeface="Quattrocento Sans"/>
                  <a:cs typeface="Quattrocento Sans"/>
                  <a:sym typeface="Quattrocento Sans"/>
                </a:rPr>
                <a:t> button.</a:t>
              </a:r>
              <a:endParaRPr sz="1400"/>
            </a:p>
          </xdr:txBody>
        </xdr:sp>
        <xdr:sp macro="" textlink="">
          <xdr:nvSpPr>
            <xdr:cNvPr id="306" name="Shape 306" descr="4">
              <a:extLst>
                <a:ext uri="{FF2B5EF4-FFF2-40B4-BE49-F238E27FC236}">
                  <a16:creationId xmlns:a16="http://schemas.microsoft.com/office/drawing/2014/main" id="{00000000-0008-0000-0300-000032010000}"/>
                </a:ext>
              </a:extLst>
            </xdr:cNvPr>
            <xdr:cNvSpPr/>
          </xdr:nvSpPr>
          <xdr:spPr>
            <a:xfrm>
              <a:off x="555599" y="2704575"/>
              <a:ext cx="371587"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4</a:t>
              </a:r>
              <a:endParaRPr sz="1400"/>
            </a:p>
          </xdr:txBody>
        </xdr:sp>
        <xdr:sp macro="" textlink="">
          <xdr:nvSpPr>
            <xdr:cNvPr id="307" name="Shape 307" descr="Click Paste Special, and then at the bottom, click the checkbox for Transpose. Click OK">
              <a:extLst>
                <a:ext uri="{FF2B5EF4-FFF2-40B4-BE49-F238E27FC236}">
                  <a16:creationId xmlns:a16="http://schemas.microsoft.com/office/drawing/2014/main" id="{00000000-0008-0000-0300-000033010000}"/>
                </a:ext>
              </a:extLst>
            </xdr:cNvPr>
            <xdr:cNvSpPr txBox="1"/>
          </xdr:nvSpPr>
          <xdr:spPr>
            <a:xfrm>
              <a:off x="962633" y="3225154"/>
              <a:ext cx="4809516" cy="480071"/>
            </a:xfrm>
            <a:prstGeom prst="rect">
              <a:avLst/>
            </a:prstGeom>
            <a:noFill/>
            <a:ln>
              <a:noFill/>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Clr>
                  <a:srgbClr val="3F3F3F"/>
                </a:buClr>
                <a:buSzPts val="1100"/>
                <a:buFont typeface="Quattrocento Sans"/>
                <a:buNone/>
              </a:pPr>
              <a:r>
                <a:rPr lang="en-US" sz="1100" b="0" i="0" u="none" strike="noStrike" cap="none">
                  <a:solidFill>
                    <a:srgbClr val="3F3F3F"/>
                  </a:solidFill>
                  <a:latin typeface="Quattrocento Sans"/>
                  <a:ea typeface="Quattrocento Sans"/>
                  <a:cs typeface="Quattrocento Sans"/>
                  <a:sym typeface="Quattrocento Sans"/>
                </a:rPr>
                <a:t>Click </a:t>
              </a:r>
              <a:r>
                <a:rPr lang="en-US" sz="1100" b="1" i="0" u="none" strike="noStrike" cap="none">
                  <a:solidFill>
                    <a:srgbClr val="3F3F3F"/>
                  </a:solidFill>
                  <a:latin typeface="Quattrocento Sans"/>
                  <a:ea typeface="Quattrocento Sans"/>
                  <a:cs typeface="Quattrocento Sans"/>
                  <a:sym typeface="Quattrocento Sans"/>
                </a:rPr>
                <a:t>Paste Special</a:t>
              </a:r>
              <a:r>
                <a:rPr lang="en-US" sz="1100" b="0" i="0" u="none" strike="noStrike" cap="none">
                  <a:solidFill>
                    <a:srgbClr val="3F3F3F"/>
                  </a:solidFill>
                  <a:latin typeface="Quattrocento Sans"/>
                  <a:ea typeface="Quattrocento Sans"/>
                  <a:cs typeface="Quattrocento Sans"/>
                  <a:sym typeface="Quattrocento Sans"/>
                </a:rPr>
                <a:t>, and then at the bottom, click the checkbox for </a:t>
              </a:r>
              <a:r>
                <a:rPr lang="en-US" sz="1100" b="1" i="0" u="none" strike="noStrike" cap="none">
                  <a:solidFill>
                    <a:srgbClr val="3F3F3F"/>
                  </a:solidFill>
                  <a:latin typeface="Quattrocento Sans"/>
                  <a:ea typeface="Quattrocento Sans"/>
                  <a:cs typeface="Quattrocento Sans"/>
                  <a:sym typeface="Quattrocento Sans"/>
                </a:rPr>
                <a:t>Transpose</a:t>
              </a:r>
              <a:r>
                <a:rPr lang="en-US" sz="1100" b="0" i="0" u="none" strike="noStrike" cap="none">
                  <a:solidFill>
                    <a:srgbClr val="3F3F3F"/>
                  </a:solidFill>
                  <a:latin typeface="Quattrocento Sans"/>
                  <a:ea typeface="Quattrocento Sans"/>
                  <a:cs typeface="Quattrocento Sans"/>
                  <a:sym typeface="Quattrocento Sans"/>
                </a:rPr>
                <a:t>. Click </a:t>
              </a:r>
              <a:r>
                <a:rPr lang="en-US" sz="1100" b="1" i="0" u="none" strike="noStrike" cap="none">
                  <a:solidFill>
                    <a:srgbClr val="3F3F3F"/>
                  </a:solidFill>
                  <a:latin typeface="Quattrocento Sans"/>
                  <a:ea typeface="Quattrocento Sans"/>
                  <a:cs typeface="Quattrocento Sans"/>
                  <a:sym typeface="Quattrocento Sans"/>
                </a:rPr>
                <a:t>OK</a:t>
              </a:r>
              <a:r>
                <a:rPr lang="en-US" sz="1100" b="0" i="0" u="none" strike="noStrike" cap="none">
                  <a:solidFill>
                    <a:srgbClr val="3F3F3F"/>
                  </a:solidFill>
                  <a:latin typeface="Quattrocento Sans"/>
                  <a:ea typeface="Quattrocento Sans"/>
                  <a:cs typeface="Quattrocento Sans"/>
                  <a:sym typeface="Quattrocento Sans"/>
                </a:rPr>
                <a:t>.</a:t>
              </a:r>
              <a:endParaRPr sz="1400"/>
            </a:p>
          </xdr:txBody>
        </xdr:sp>
        <xdr:sp macro="" textlink="">
          <xdr:nvSpPr>
            <xdr:cNvPr id="308" name="Shape 308" descr="5">
              <a:extLst>
                <a:ext uri="{FF2B5EF4-FFF2-40B4-BE49-F238E27FC236}">
                  <a16:creationId xmlns:a16="http://schemas.microsoft.com/office/drawing/2014/main" id="{00000000-0008-0000-0300-000034010000}"/>
                </a:ext>
              </a:extLst>
            </xdr:cNvPr>
            <xdr:cNvSpPr/>
          </xdr:nvSpPr>
          <xdr:spPr>
            <a:xfrm>
              <a:off x="555599" y="3182656"/>
              <a:ext cx="371587"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5</a:t>
              </a:r>
              <a:endParaRPr sz="1400"/>
            </a:p>
          </xdr:txBody>
        </xdr:sp>
      </xdr:grpSp>
    </xdr:grpSp>
    <xdr:clientData fLocksWithSheet="0"/>
  </xdr:oneCellAnchor>
  <xdr:oneCellAnchor>
    <xdr:from>
      <xdr:col>3</xdr:col>
      <xdr:colOff>190500</xdr:colOff>
      <xdr:row>27</xdr:row>
      <xdr:rowOff>133350</xdr:rowOff>
    </xdr:from>
    <xdr:ext cx="4962525" cy="952500"/>
    <xdr:grpSp>
      <xdr:nvGrpSpPr>
        <xdr:cNvPr id="3" name="Shape 2">
          <a:extLst>
            <a:ext uri="{FF2B5EF4-FFF2-40B4-BE49-F238E27FC236}">
              <a16:creationId xmlns:a16="http://schemas.microsoft.com/office/drawing/2014/main" id="{00000000-0008-0000-0300-000003000000}"/>
            </a:ext>
          </a:extLst>
        </xdr:cNvPr>
        <xdr:cNvGrpSpPr/>
      </xdr:nvGrpSpPr>
      <xdr:grpSpPr>
        <a:xfrm>
          <a:off x="7154047" y="5938451"/>
          <a:ext cx="4962525" cy="952500"/>
          <a:chOff x="2864738" y="3303750"/>
          <a:chExt cx="4962525" cy="961534"/>
        </a:xfrm>
      </xdr:grpSpPr>
      <xdr:grpSp>
        <xdr:nvGrpSpPr>
          <xdr:cNvPr id="309" name="Shape 309" descr="This data has 6 columns...&#10;...and 2 rows&#10;">
            <a:extLst>
              <a:ext uri="{FF2B5EF4-FFF2-40B4-BE49-F238E27FC236}">
                <a16:creationId xmlns:a16="http://schemas.microsoft.com/office/drawing/2014/main" id="{00000000-0008-0000-0300-000035010000}"/>
              </a:ext>
            </a:extLst>
          </xdr:cNvPr>
          <xdr:cNvGrpSpPr/>
        </xdr:nvGrpSpPr>
        <xdr:grpSpPr>
          <a:xfrm>
            <a:off x="2864738" y="3303750"/>
            <a:ext cx="4962525" cy="961534"/>
            <a:chOff x="6381749" y="6524625"/>
            <a:chExt cx="4967338" cy="959309"/>
          </a:xfrm>
        </xdr:grpSpPr>
        <xdr:sp macro="" textlink="">
          <xdr:nvSpPr>
            <xdr:cNvPr id="5" name="Shape 4">
              <a:extLst>
                <a:ext uri="{FF2B5EF4-FFF2-40B4-BE49-F238E27FC236}">
                  <a16:creationId xmlns:a16="http://schemas.microsoft.com/office/drawing/2014/main" id="{00000000-0008-0000-0300-000005000000}"/>
                </a:ext>
              </a:extLst>
            </xdr:cNvPr>
            <xdr:cNvSpPr/>
          </xdr:nvSpPr>
          <xdr:spPr>
            <a:xfrm>
              <a:off x="6381749" y="6524625"/>
              <a:ext cx="4967325" cy="9502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10" name="Shape 310" descr="...and 2 rows">
              <a:extLst>
                <a:ext uri="{FF2B5EF4-FFF2-40B4-BE49-F238E27FC236}">
                  <a16:creationId xmlns:a16="http://schemas.microsoft.com/office/drawing/2014/main" id="{00000000-0008-0000-0300-000036010000}"/>
                </a:ext>
              </a:extLst>
            </xdr:cNvPr>
            <xdr:cNvSpPr txBox="1"/>
          </xdr:nvSpPr>
          <xdr:spPr>
            <a:xfrm>
              <a:off x="10125075" y="7115177"/>
              <a:ext cx="1224012" cy="315288"/>
            </a:xfrm>
            <a:prstGeom prst="rect">
              <a:avLst/>
            </a:prstGeom>
            <a:noFill/>
            <a:ln>
              <a:noFill/>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Clr>
                  <a:srgbClr val="3A3838"/>
                </a:buClr>
                <a:buSzPts val="1100"/>
                <a:buFont typeface="Calibri"/>
                <a:buNone/>
              </a:pPr>
              <a:r>
                <a:rPr lang="en-US" sz="1100" b="0" i="0" u="none" strike="noStrike" cap="none">
                  <a:solidFill>
                    <a:srgbClr val="3A3838"/>
                  </a:solidFill>
                  <a:latin typeface="Calibri"/>
                  <a:ea typeface="Calibri"/>
                  <a:cs typeface="Calibri"/>
                  <a:sym typeface="Calibri"/>
                </a:rPr>
                <a:t>...and 2 rows.</a:t>
              </a:r>
              <a:endParaRPr sz="1100" b="0" i="0">
                <a:solidFill>
                  <a:srgbClr val="3A3838"/>
                </a:solidFill>
                <a:latin typeface="Calibri"/>
                <a:ea typeface="Calibri"/>
                <a:cs typeface="Calibri"/>
                <a:sym typeface="Calibri"/>
              </a:endParaRPr>
            </a:p>
          </xdr:txBody>
        </xdr:sp>
        <xdr:sp macro="" textlink="">
          <xdr:nvSpPr>
            <xdr:cNvPr id="311" name="Shape 311" descr="This data has 6 columns...">
              <a:extLst>
                <a:ext uri="{FF2B5EF4-FFF2-40B4-BE49-F238E27FC236}">
                  <a16:creationId xmlns:a16="http://schemas.microsoft.com/office/drawing/2014/main" id="{00000000-0008-0000-0300-000037010000}"/>
                </a:ext>
              </a:extLst>
            </xdr:cNvPr>
            <xdr:cNvSpPr txBox="1"/>
          </xdr:nvSpPr>
          <xdr:spPr>
            <a:xfrm>
              <a:off x="7410450" y="6524625"/>
              <a:ext cx="1752600" cy="257175"/>
            </a:xfrm>
            <a:prstGeom prst="rect">
              <a:avLst/>
            </a:prstGeom>
            <a:noFill/>
            <a:ln>
              <a:noFill/>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Clr>
                  <a:srgbClr val="3A3838"/>
                </a:buClr>
                <a:buSzPts val="1100"/>
                <a:buFont typeface="Calibri"/>
                <a:buNone/>
              </a:pPr>
              <a:r>
                <a:rPr lang="en-US" sz="1100" b="0" i="0" u="none" strike="noStrike" cap="none">
                  <a:solidFill>
                    <a:srgbClr val="3A3838"/>
                  </a:solidFill>
                  <a:latin typeface="Calibri"/>
                  <a:ea typeface="Calibri"/>
                  <a:cs typeface="Calibri"/>
                  <a:sym typeface="Calibri"/>
                </a:rPr>
                <a:t>This data has 6 columns...</a:t>
              </a:r>
              <a:endParaRPr sz="1100" b="0" i="0">
                <a:solidFill>
                  <a:srgbClr val="3A3838"/>
                </a:solidFill>
                <a:latin typeface="Calibri"/>
                <a:ea typeface="Calibri"/>
                <a:cs typeface="Calibri"/>
                <a:sym typeface="Calibri"/>
              </a:endParaRPr>
            </a:p>
          </xdr:txBody>
        </xdr:sp>
        <xdr:sp macro="" textlink="">
          <xdr:nvSpPr>
            <xdr:cNvPr id="312" name="Shape 312" descr="Bracket line">
              <a:extLst>
                <a:ext uri="{FF2B5EF4-FFF2-40B4-BE49-F238E27FC236}">
                  <a16:creationId xmlns:a16="http://schemas.microsoft.com/office/drawing/2014/main" id="{00000000-0008-0000-0300-000038010000}"/>
                </a:ext>
              </a:extLst>
            </xdr:cNvPr>
            <xdr:cNvSpPr/>
          </xdr:nvSpPr>
          <xdr:spPr>
            <a:xfrm rot="-5400000">
              <a:off x="7088867" y="6158013"/>
              <a:ext cx="181608" cy="1595844"/>
            </a:xfrm>
            <a:custGeom>
              <a:avLst/>
              <a:gdLst/>
              <a:ahLst/>
              <a:cxnLst/>
              <a:rect l="l" t="t" r="r" b="b"/>
              <a:pathLst>
                <a:path w="167704" h="207258" extrusionOk="0">
                  <a:moveTo>
                    <a:pt x="0" y="193"/>
                  </a:moveTo>
                  <a:cubicBezTo>
                    <a:pt x="64880" y="-498"/>
                    <a:pt x="129760" y="-1188"/>
                    <a:pt x="157369" y="33323"/>
                  </a:cubicBezTo>
                  <a:cubicBezTo>
                    <a:pt x="184978" y="67834"/>
                    <a:pt x="146326" y="179649"/>
                    <a:pt x="165652" y="207258"/>
                  </a:cubicBezTo>
                </a:path>
              </a:pathLst>
            </a:custGeom>
            <a:noFill/>
            <a:ln w="19050" cap="flat" cmpd="sng">
              <a:solidFill>
                <a:srgbClr val="F4B08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lt1"/>
                </a:solidFill>
                <a:latin typeface="Calibri"/>
                <a:ea typeface="Calibri"/>
                <a:cs typeface="Calibri"/>
                <a:sym typeface="Calibri"/>
              </a:endParaRPr>
            </a:p>
          </xdr:txBody>
        </xdr:sp>
        <xdr:sp macro="" textlink="">
          <xdr:nvSpPr>
            <xdr:cNvPr id="313" name="Shape 313" descr="Bracket line">
              <a:extLst>
                <a:ext uri="{FF2B5EF4-FFF2-40B4-BE49-F238E27FC236}">
                  <a16:creationId xmlns:a16="http://schemas.microsoft.com/office/drawing/2014/main" id="{00000000-0008-0000-0300-000039010000}"/>
                </a:ext>
              </a:extLst>
            </xdr:cNvPr>
            <xdr:cNvSpPr/>
          </xdr:nvSpPr>
          <xdr:spPr>
            <a:xfrm rot="5400000" flipH="1">
              <a:off x="9025149" y="6157836"/>
              <a:ext cx="183793" cy="1596959"/>
            </a:xfrm>
            <a:custGeom>
              <a:avLst/>
              <a:gdLst/>
              <a:ahLst/>
              <a:cxnLst/>
              <a:rect l="l" t="t" r="r" b="b"/>
              <a:pathLst>
                <a:path w="169722" h="219894" extrusionOk="0">
                  <a:moveTo>
                    <a:pt x="0" y="334"/>
                  </a:moveTo>
                  <a:cubicBezTo>
                    <a:pt x="64880" y="-357"/>
                    <a:pt x="129082" y="-3129"/>
                    <a:pt x="157369" y="33464"/>
                  </a:cubicBezTo>
                  <a:cubicBezTo>
                    <a:pt x="185656" y="70057"/>
                    <a:pt x="150396" y="192285"/>
                    <a:pt x="169722" y="219894"/>
                  </a:cubicBezTo>
                </a:path>
              </a:pathLst>
            </a:custGeom>
            <a:noFill/>
            <a:ln w="19050" cap="flat" cmpd="sng">
              <a:solidFill>
                <a:srgbClr val="F4B08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lt1"/>
                </a:solidFill>
                <a:latin typeface="Calibri"/>
                <a:ea typeface="Calibri"/>
                <a:cs typeface="Calibri"/>
                <a:sym typeface="Calibri"/>
              </a:endParaRPr>
            </a:p>
          </xdr:txBody>
        </xdr:sp>
        <xdr:sp macro="" textlink="">
          <xdr:nvSpPr>
            <xdr:cNvPr id="314" name="Shape 314" descr="Bracket line">
              <a:extLst>
                <a:ext uri="{FF2B5EF4-FFF2-40B4-BE49-F238E27FC236}">
                  <a16:creationId xmlns:a16="http://schemas.microsoft.com/office/drawing/2014/main" id="{00000000-0008-0000-0300-00003A010000}"/>
                </a:ext>
              </a:extLst>
            </xdr:cNvPr>
            <xdr:cNvSpPr/>
          </xdr:nvSpPr>
          <xdr:spPr>
            <a:xfrm rot="10800000">
              <a:off x="8125354" y="6662382"/>
              <a:ext cx="522847" cy="207177"/>
            </a:xfrm>
            <a:prstGeom prst="arc">
              <a:avLst>
                <a:gd name="adj1" fmla="val 15985420"/>
                <a:gd name="adj2" fmla="val 0"/>
              </a:avLst>
            </a:prstGeom>
            <a:noFill/>
            <a:ln w="19050" cap="flat" cmpd="sng">
              <a:solidFill>
                <a:srgbClr val="F4B08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lt1"/>
                </a:solidFill>
                <a:latin typeface="Calibri"/>
                <a:ea typeface="Calibri"/>
                <a:cs typeface="Calibri"/>
                <a:sym typeface="Calibri"/>
              </a:endParaRPr>
            </a:p>
          </xdr:txBody>
        </xdr:sp>
        <xdr:sp macro="" textlink="">
          <xdr:nvSpPr>
            <xdr:cNvPr id="315" name="Shape 315" descr="Bracket line">
              <a:extLst>
                <a:ext uri="{FF2B5EF4-FFF2-40B4-BE49-F238E27FC236}">
                  <a16:creationId xmlns:a16="http://schemas.microsoft.com/office/drawing/2014/main" id="{00000000-0008-0000-0300-00003B010000}"/>
                </a:ext>
              </a:extLst>
            </xdr:cNvPr>
            <xdr:cNvSpPr/>
          </xdr:nvSpPr>
          <xdr:spPr>
            <a:xfrm rot="10800000" flipH="1">
              <a:off x="7602507" y="6657974"/>
              <a:ext cx="522847" cy="220401"/>
            </a:xfrm>
            <a:prstGeom prst="arc">
              <a:avLst>
                <a:gd name="adj1" fmla="val 17341536"/>
                <a:gd name="adj2" fmla="val 0"/>
              </a:avLst>
            </a:prstGeom>
            <a:noFill/>
            <a:ln w="19050" cap="flat" cmpd="sng">
              <a:solidFill>
                <a:srgbClr val="F4B08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lt1"/>
                </a:solidFill>
                <a:latin typeface="Calibri"/>
                <a:ea typeface="Calibri"/>
                <a:cs typeface="Calibri"/>
                <a:sym typeface="Calibri"/>
              </a:endParaRPr>
            </a:p>
          </xdr:txBody>
        </xdr:sp>
        <xdr:sp macro="" textlink="">
          <xdr:nvSpPr>
            <xdr:cNvPr id="316" name="Shape 316" descr="Bracket line">
              <a:extLst>
                <a:ext uri="{FF2B5EF4-FFF2-40B4-BE49-F238E27FC236}">
                  <a16:creationId xmlns:a16="http://schemas.microsoft.com/office/drawing/2014/main" id="{00000000-0008-0000-0300-00003C010000}"/>
                </a:ext>
              </a:extLst>
            </xdr:cNvPr>
            <xdr:cNvSpPr/>
          </xdr:nvSpPr>
          <xdr:spPr>
            <a:xfrm rot="556052">
              <a:off x="9952519" y="7135679"/>
              <a:ext cx="221769" cy="111247"/>
            </a:xfrm>
            <a:custGeom>
              <a:avLst/>
              <a:gdLst/>
              <a:ahLst/>
              <a:cxnLst/>
              <a:rect l="l" t="t" r="r" b="b"/>
              <a:pathLst>
                <a:path w="273326" h="217696" extrusionOk="0">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cap="flat" cmpd="sng">
              <a:solidFill>
                <a:srgbClr val="F4B08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lt1"/>
                </a:solidFill>
                <a:latin typeface="Calibri"/>
                <a:ea typeface="Calibri"/>
                <a:cs typeface="Calibri"/>
                <a:sym typeface="Calibri"/>
              </a:endParaRPr>
            </a:p>
          </xdr:txBody>
        </xdr:sp>
        <xdr:sp macro="" textlink="">
          <xdr:nvSpPr>
            <xdr:cNvPr id="317" name="Shape 317" descr="Bracket line">
              <a:extLst>
                <a:ext uri="{FF2B5EF4-FFF2-40B4-BE49-F238E27FC236}">
                  <a16:creationId xmlns:a16="http://schemas.microsoft.com/office/drawing/2014/main" id="{00000000-0008-0000-0300-00003D010000}"/>
                </a:ext>
              </a:extLst>
            </xdr:cNvPr>
            <xdr:cNvSpPr/>
          </xdr:nvSpPr>
          <xdr:spPr>
            <a:xfrm rot="556052">
              <a:off x="10016374" y="7245204"/>
              <a:ext cx="130546" cy="229717"/>
            </a:xfrm>
            <a:custGeom>
              <a:avLst/>
              <a:gdLst/>
              <a:ahLst/>
              <a:cxnLst/>
              <a:rect l="l" t="t" r="r" b="b"/>
              <a:pathLst>
                <a:path w="231913" h="579782" extrusionOk="0">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cap="flat" cmpd="sng">
              <a:solidFill>
                <a:srgbClr val="F4B08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lt1"/>
                </a:solidFill>
                <a:latin typeface="Calibri"/>
                <a:ea typeface="Calibri"/>
                <a:cs typeface="Calibri"/>
                <a:sym typeface="Calibri"/>
              </a:endParaRPr>
            </a:p>
          </xdr:txBody>
        </xdr:sp>
      </xdr:grpSp>
    </xdr:grpSp>
    <xdr:clientData fLocksWithSheet="0"/>
  </xdr:oneCellAnchor>
  <xdr:oneCellAnchor>
    <xdr:from>
      <xdr:col>1</xdr:col>
      <xdr:colOff>5429250</xdr:colOff>
      <xdr:row>35</xdr:row>
      <xdr:rowOff>123825</xdr:rowOff>
    </xdr:from>
    <xdr:ext cx="2886075" cy="1847850"/>
    <xdr:grpSp>
      <xdr:nvGrpSpPr>
        <xdr:cNvPr id="6" name="Shape 2">
          <a:extLst>
            <a:ext uri="{FF2B5EF4-FFF2-40B4-BE49-F238E27FC236}">
              <a16:creationId xmlns:a16="http://schemas.microsoft.com/office/drawing/2014/main" id="{00000000-0008-0000-0300-000006000000}"/>
            </a:ext>
          </a:extLst>
        </xdr:cNvPr>
        <xdr:cNvGrpSpPr/>
      </xdr:nvGrpSpPr>
      <xdr:grpSpPr>
        <a:xfrm>
          <a:off x="6278777" y="7473521"/>
          <a:ext cx="2886075" cy="1847850"/>
          <a:chOff x="3902963" y="2856075"/>
          <a:chExt cx="2886075" cy="1847850"/>
        </a:xfrm>
      </xdr:grpSpPr>
      <xdr:grpSp>
        <xdr:nvGrpSpPr>
          <xdr:cNvPr id="318" name="Shape 318" descr="So select these 2 columns...&#10;...and these 6 rows before you type the formula">
            <a:extLst>
              <a:ext uri="{FF2B5EF4-FFF2-40B4-BE49-F238E27FC236}">
                <a16:creationId xmlns:a16="http://schemas.microsoft.com/office/drawing/2014/main" id="{00000000-0008-0000-0300-00003E010000}"/>
              </a:ext>
            </a:extLst>
          </xdr:cNvPr>
          <xdr:cNvGrpSpPr/>
        </xdr:nvGrpSpPr>
        <xdr:grpSpPr>
          <a:xfrm>
            <a:off x="3902963" y="2856075"/>
            <a:ext cx="2886075" cy="1847850"/>
            <a:chOff x="6286499" y="7781925"/>
            <a:chExt cx="2881363" cy="1847850"/>
          </a:xfrm>
        </xdr:grpSpPr>
        <xdr:sp macro="" textlink="">
          <xdr:nvSpPr>
            <xdr:cNvPr id="7" name="Shape 4">
              <a:extLst>
                <a:ext uri="{FF2B5EF4-FFF2-40B4-BE49-F238E27FC236}">
                  <a16:creationId xmlns:a16="http://schemas.microsoft.com/office/drawing/2014/main" id="{00000000-0008-0000-0300-000007000000}"/>
                </a:ext>
              </a:extLst>
            </xdr:cNvPr>
            <xdr:cNvSpPr/>
          </xdr:nvSpPr>
          <xdr:spPr>
            <a:xfrm>
              <a:off x="6286499" y="7781925"/>
              <a:ext cx="2881350" cy="1847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19" name="Shape 319" descr="So select these 2 columns...">
              <a:extLst>
                <a:ext uri="{FF2B5EF4-FFF2-40B4-BE49-F238E27FC236}">
                  <a16:creationId xmlns:a16="http://schemas.microsoft.com/office/drawing/2014/main" id="{00000000-0008-0000-0300-00003F010000}"/>
                </a:ext>
              </a:extLst>
            </xdr:cNvPr>
            <xdr:cNvSpPr txBox="1"/>
          </xdr:nvSpPr>
          <xdr:spPr>
            <a:xfrm>
              <a:off x="6286499" y="7781925"/>
              <a:ext cx="1800225" cy="257175"/>
            </a:xfrm>
            <a:prstGeom prst="rect">
              <a:avLst/>
            </a:prstGeom>
            <a:noFill/>
            <a:ln>
              <a:noFill/>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Clr>
                  <a:srgbClr val="3A3838"/>
                </a:buClr>
                <a:buSzPts val="1100"/>
                <a:buFont typeface="Calibri"/>
                <a:buNone/>
              </a:pPr>
              <a:r>
                <a:rPr lang="en-US" sz="1100" b="0" i="0" u="none" strike="noStrike" cap="none">
                  <a:solidFill>
                    <a:srgbClr val="3A3838"/>
                  </a:solidFill>
                  <a:latin typeface="Calibri"/>
                  <a:ea typeface="Calibri"/>
                  <a:cs typeface="Calibri"/>
                  <a:sym typeface="Calibri"/>
                </a:rPr>
                <a:t>So select these 2 columns...</a:t>
              </a:r>
              <a:endParaRPr sz="1100" b="0" i="0">
                <a:solidFill>
                  <a:srgbClr val="3A3838"/>
                </a:solidFill>
                <a:latin typeface="Calibri"/>
                <a:ea typeface="Calibri"/>
                <a:cs typeface="Calibri"/>
                <a:sym typeface="Calibri"/>
              </a:endParaRPr>
            </a:p>
          </xdr:txBody>
        </xdr:sp>
        <xdr:sp macro="" textlink="">
          <xdr:nvSpPr>
            <xdr:cNvPr id="320" name="Shape 320" descr="Bracket line">
              <a:extLst>
                <a:ext uri="{FF2B5EF4-FFF2-40B4-BE49-F238E27FC236}">
                  <a16:creationId xmlns:a16="http://schemas.microsoft.com/office/drawing/2014/main" id="{00000000-0008-0000-0300-000040010000}"/>
                </a:ext>
              </a:extLst>
            </xdr:cNvPr>
            <xdr:cNvSpPr/>
          </xdr:nvSpPr>
          <xdr:spPr>
            <a:xfrm rot="-5400000">
              <a:off x="6546882" y="7995397"/>
              <a:ext cx="181608" cy="511875"/>
            </a:xfrm>
            <a:custGeom>
              <a:avLst/>
              <a:gdLst/>
              <a:ahLst/>
              <a:cxnLst/>
              <a:rect l="l" t="t" r="r" b="b"/>
              <a:pathLst>
                <a:path w="167704" h="207258" extrusionOk="0">
                  <a:moveTo>
                    <a:pt x="0" y="193"/>
                  </a:moveTo>
                  <a:cubicBezTo>
                    <a:pt x="64880" y="-498"/>
                    <a:pt x="129760" y="-1188"/>
                    <a:pt x="157369" y="33323"/>
                  </a:cubicBezTo>
                  <a:cubicBezTo>
                    <a:pt x="184978" y="67834"/>
                    <a:pt x="146326" y="179649"/>
                    <a:pt x="165652" y="207258"/>
                  </a:cubicBezTo>
                </a:path>
              </a:pathLst>
            </a:custGeom>
            <a:noFill/>
            <a:ln w="19050" cap="flat" cmpd="sng">
              <a:solidFill>
                <a:srgbClr val="F4B08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lt1"/>
                </a:solidFill>
                <a:latin typeface="Calibri"/>
                <a:ea typeface="Calibri"/>
                <a:cs typeface="Calibri"/>
                <a:sym typeface="Calibri"/>
              </a:endParaRPr>
            </a:p>
          </xdr:txBody>
        </xdr:sp>
        <xdr:sp macro="" textlink="">
          <xdr:nvSpPr>
            <xdr:cNvPr id="321" name="Shape 321" descr="Bracket line">
              <a:extLst>
                <a:ext uri="{FF2B5EF4-FFF2-40B4-BE49-F238E27FC236}">
                  <a16:creationId xmlns:a16="http://schemas.microsoft.com/office/drawing/2014/main" id="{00000000-0008-0000-0300-000041010000}"/>
                </a:ext>
              </a:extLst>
            </xdr:cNvPr>
            <xdr:cNvSpPr/>
          </xdr:nvSpPr>
          <xdr:spPr>
            <a:xfrm rot="5400000" flipH="1">
              <a:off x="7167212" y="7995598"/>
              <a:ext cx="183793" cy="512233"/>
            </a:xfrm>
            <a:custGeom>
              <a:avLst/>
              <a:gdLst/>
              <a:ahLst/>
              <a:cxnLst/>
              <a:rect l="l" t="t" r="r" b="b"/>
              <a:pathLst>
                <a:path w="169722" h="219894" extrusionOk="0">
                  <a:moveTo>
                    <a:pt x="0" y="334"/>
                  </a:moveTo>
                  <a:cubicBezTo>
                    <a:pt x="64880" y="-357"/>
                    <a:pt x="129082" y="-3129"/>
                    <a:pt x="157369" y="33464"/>
                  </a:cubicBezTo>
                  <a:cubicBezTo>
                    <a:pt x="185656" y="70057"/>
                    <a:pt x="150396" y="192285"/>
                    <a:pt x="169722" y="219894"/>
                  </a:cubicBezTo>
                </a:path>
              </a:pathLst>
            </a:custGeom>
            <a:noFill/>
            <a:ln w="19050" cap="flat" cmpd="sng">
              <a:solidFill>
                <a:srgbClr val="F4B08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lt1"/>
                </a:solidFill>
                <a:latin typeface="Calibri"/>
                <a:ea typeface="Calibri"/>
                <a:cs typeface="Calibri"/>
                <a:sym typeface="Calibri"/>
              </a:endParaRPr>
            </a:p>
          </xdr:txBody>
        </xdr:sp>
        <xdr:sp macro="" textlink="">
          <xdr:nvSpPr>
            <xdr:cNvPr id="322" name="Shape 322" descr="Bracket line">
              <a:extLst>
                <a:ext uri="{FF2B5EF4-FFF2-40B4-BE49-F238E27FC236}">
                  <a16:creationId xmlns:a16="http://schemas.microsoft.com/office/drawing/2014/main" id="{00000000-0008-0000-0300-000042010000}"/>
                </a:ext>
              </a:extLst>
            </xdr:cNvPr>
            <xdr:cNvSpPr/>
          </xdr:nvSpPr>
          <xdr:spPr>
            <a:xfrm rot="10800000">
              <a:off x="6941019" y="7957781"/>
              <a:ext cx="167706" cy="207177"/>
            </a:xfrm>
            <a:prstGeom prst="arc">
              <a:avLst>
                <a:gd name="adj1" fmla="val 15985420"/>
                <a:gd name="adj2" fmla="val 0"/>
              </a:avLst>
            </a:prstGeom>
            <a:noFill/>
            <a:ln w="19050" cap="flat" cmpd="sng">
              <a:solidFill>
                <a:srgbClr val="F4B08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lt1"/>
                </a:solidFill>
                <a:latin typeface="Calibri"/>
                <a:ea typeface="Calibri"/>
                <a:cs typeface="Calibri"/>
                <a:sym typeface="Calibri"/>
              </a:endParaRPr>
            </a:p>
          </xdr:txBody>
        </xdr:sp>
        <xdr:sp macro="" textlink="">
          <xdr:nvSpPr>
            <xdr:cNvPr id="323" name="Shape 323" descr="Bracket line">
              <a:extLst>
                <a:ext uri="{FF2B5EF4-FFF2-40B4-BE49-F238E27FC236}">
                  <a16:creationId xmlns:a16="http://schemas.microsoft.com/office/drawing/2014/main" id="{00000000-0008-0000-0300-000043010000}"/>
                </a:ext>
              </a:extLst>
            </xdr:cNvPr>
            <xdr:cNvSpPr/>
          </xdr:nvSpPr>
          <xdr:spPr>
            <a:xfrm rot="10800000" flipH="1">
              <a:off x="6773313" y="7953373"/>
              <a:ext cx="167706" cy="220401"/>
            </a:xfrm>
            <a:prstGeom prst="arc">
              <a:avLst>
                <a:gd name="adj1" fmla="val 17341536"/>
                <a:gd name="adj2" fmla="val 0"/>
              </a:avLst>
            </a:prstGeom>
            <a:noFill/>
            <a:ln w="19050" cap="flat" cmpd="sng">
              <a:solidFill>
                <a:srgbClr val="F4B08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lt1"/>
                </a:solidFill>
                <a:latin typeface="Calibri"/>
                <a:ea typeface="Calibri"/>
                <a:cs typeface="Calibri"/>
                <a:sym typeface="Calibri"/>
              </a:endParaRPr>
            </a:p>
          </xdr:txBody>
        </xdr:sp>
        <xdr:sp macro="" textlink="">
          <xdr:nvSpPr>
            <xdr:cNvPr id="324" name="Shape 324" descr="...and these 6 rows before you type the formula">
              <a:extLst>
                <a:ext uri="{FF2B5EF4-FFF2-40B4-BE49-F238E27FC236}">
                  <a16:creationId xmlns:a16="http://schemas.microsoft.com/office/drawing/2014/main" id="{00000000-0008-0000-0300-000044010000}"/>
                </a:ext>
              </a:extLst>
            </xdr:cNvPr>
            <xdr:cNvSpPr txBox="1"/>
          </xdr:nvSpPr>
          <xdr:spPr>
            <a:xfrm>
              <a:off x="7943850" y="8858251"/>
              <a:ext cx="1224012" cy="714373"/>
            </a:xfrm>
            <a:prstGeom prst="rect">
              <a:avLst/>
            </a:prstGeom>
            <a:noFill/>
            <a:ln>
              <a:noFill/>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Clr>
                  <a:srgbClr val="3A3838"/>
                </a:buClr>
                <a:buSzPts val="1100"/>
                <a:buFont typeface="Calibri"/>
                <a:buNone/>
              </a:pPr>
              <a:r>
                <a:rPr lang="en-US" sz="1100" b="0" i="0" u="none" strike="noStrike" cap="none">
                  <a:solidFill>
                    <a:srgbClr val="3A3838"/>
                  </a:solidFill>
                  <a:latin typeface="Calibri"/>
                  <a:ea typeface="Calibri"/>
                  <a:cs typeface="Calibri"/>
                  <a:sym typeface="Calibri"/>
                </a:rPr>
                <a:t>...and these 6 rows </a:t>
              </a:r>
              <a:r>
                <a:rPr lang="en-US" sz="1100" b="0" i="1" u="none" strike="noStrike" cap="none">
                  <a:solidFill>
                    <a:srgbClr val="3A3838"/>
                  </a:solidFill>
                  <a:latin typeface="Calibri"/>
                  <a:ea typeface="Calibri"/>
                  <a:cs typeface="Calibri"/>
                  <a:sym typeface="Calibri"/>
                </a:rPr>
                <a:t>before</a:t>
              </a:r>
              <a:r>
                <a:rPr lang="en-US" sz="1100" b="0" i="0" u="none" strike="noStrike" cap="none">
                  <a:solidFill>
                    <a:srgbClr val="3A3838"/>
                  </a:solidFill>
                  <a:latin typeface="Calibri"/>
                  <a:ea typeface="Calibri"/>
                  <a:cs typeface="Calibri"/>
                  <a:sym typeface="Calibri"/>
                </a:rPr>
                <a:t> you type the formula.</a:t>
              </a:r>
              <a:endParaRPr sz="1100" b="0" i="0">
                <a:solidFill>
                  <a:srgbClr val="3A3838"/>
                </a:solidFill>
                <a:latin typeface="Calibri"/>
                <a:ea typeface="Calibri"/>
                <a:cs typeface="Calibri"/>
                <a:sym typeface="Calibri"/>
              </a:endParaRPr>
            </a:p>
          </xdr:txBody>
        </xdr:sp>
        <xdr:sp macro="" textlink="">
          <xdr:nvSpPr>
            <xdr:cNvPr id="325" name="Shape 325" descr="Bracket line">
              <a:extLst>
                <a:ext uri="{FF2B5EF4-FFF2-40B4-BE49-F238E27FC236}">
                  <a16:creationId xmlns:a16="http://schemas.microsoft.com/office/drawing/2014/main" id="{00000000-0008-0000-0300-000045010000}"/>
                </a:ext>
              </a:extLst>
            </xdr:cNvPr>
            <xdr:cNvSpPr/>
          </xdr:nvSpPr>
          <xdr:spPr>
            <a:xfrm>
              <a:off x="7678769" y="8439005"/>
              <a:ext cx="181608" cy="537749"/>
            </a:xfrm>
            <a:custGeom>
              <a:avLst/>
              <a:gdLst/>
              <a:ahLst/>
              <a:cxnLst/>
              <a:rect l="l" t="t" r="r" b="b"/>
              <a:pathLst>
                <a:path w="167704" h="207258" extrusionOk="0">
                  <a:moveTo>
                    <a:pt x="0" y="193"/>
                  </a:moveTo>
                  <a:cubicBezTo>
                    <a:pt x="64880" y="-498"/>
                    <a:pt x="129760" y="-1188"/>
                    <a:pt x="157369" y="33323"/>
                  </a:cubicBezTo>
                  <a:cubicBezTo>
                    <a:pt x="184978" y="67834"/>
                    <a:pt x="146326" y="179649"/>
                    <a:pt x="165652" y="207258"/>
                  </a:cubicBezTo>
                </a:path>
              </a:pathLst>
            </a:custGeom>
            <a:noFill/>
            <a:ln w="19050" cap="flat" cmpd="sng">
              <a:solidFill>
                <a:srgbClr val="F4B08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lt1"/>
                </a:solidFill>
                <a:latin typeface="Calibri"/>
                <a:ea typeface="Calibri"/>
                <a:cs typeface="Calibri"/>
                <a:sym typeface="Calibri"/>
              </a:endParaRPr>
            </a:p>
          </xdr:txBody>
        </xdr:sp>
        <xdr:sp macro="" textlink="">
          <xdr:nvSpPr>
            <xdr:cNvPr id="326" name="Shape 326" descr="Bracket line">
              <a:extLst>
                <a:ext uri="{FF2B5EF4-FFF2-40B4-BE49-F238E27FC236}">
                  <a16:creationId xmlns:a16="http://schemas.microsoft.com/office/drawing/2014/main" id="{00000000-0008-0000-0300-000046010000}"/>
                </a:ext>
              </a:extLst>
            </xdr:cNvPr>
            <xdr:cNvSpPr/>
          </xdr:nvSpPr>
          <xdr:spPr>
            <a:xfrm rot="10800000" flipH="1">
              <a:off x="7677296" y="9091650"/>
              <a:ext cx="183793" cy="538125"/>
            </a:xfrm>
            <a:custGeom>
              <a:avLst/>
              <a:gdLst/>
              <a:ahLst/>
              <a:cxnLst/>
              <a:rect l="l" t="t" r="r" b="b"/>
              <a:pathLst>
                <a:path w="169722" h="219894" extrusionOk="0">
                  <a:moveTo>
                    <a:pt x="0" y="334"/>
                  </a:moveTo>
                  <a:cubicBezTo>
                    <a:pt x="64880" y="-357"/>
                    <a:pt x="129082" y="-3129"/>
                    <a:pt x="157369" y="33464"/>
                  </a:cubicBezTo>
                  <a:cubicBezTo>
                    <a:pt x="185656" y="70057"/>
                    <a:pt x="150396" y="192285"/>
                    <a:pt x="169722" y="219894"/>
                  </a:cubicBezTo>
                </a:path>
              </a:pathLst>
            </a:custGeom>
            <a:noFill/>
            <a:ln w="19050" cap="flat" cmpd="sng">
              <a:solidFill>
                <a:srgbClr val="F4B08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lt1"/>
                </a:solidFill>
                <a:latin typeface="Calibri"/>
                <a:ea typeface="Calibri"/>
                <a:cs typeface="Calibri"/>
                <a:sym typeface="Calibri"/>
              </a:endParaRPr>
            </a:p>
          </xdr:txBody>
        </xdr:sp>
        <xdr:sp macro="" textlink="">
          <xdr:nvSpPr>
            <xdr:cNvPr id="327" name="Shape 327" descr="Bracket line">
              <a:extLst>
                <a:ext uri="{FF2B5EF4-FFF2-40B4-BE49-F238E27FC236}">
                  <a16:creationId xmlns:a16="http://schemas.microsoft.com/office/drawing/2014/main" id="{00000000-0008-0000-0300-000047010000}"/>
                </a:ext>
              </a:extLst>
            </xdr:cNvPr>
            <xdr:cNvSpPr/>
          </xdr:nvSpPr>
          <xdr:spPr>
            <a:xfrm rot="-5400000">
              <a:off x="7871447" y="9011047"/>
              <a:ext cx="176183" cy="207177"/>
            </a:xfrm>
            <a:prstGeom prst="arc">
              <a:avLst>
                <a:gd name="adj1" fmla="val 15985420"/>
                <a:gd name="adj2" fmla="val 0"/>
              </a:avLst>
            </a:prstGeom>
            <a:noFill/>
            <a:ln w="19050" cap="flat" cmpd="sng">
              <a:solidFill>
                <a:srgbClr val="F4B08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lt1"/>
                </a:solidFill>
                <a:latin typeface="Calibri"/>
                <a:ea typeface="Calibri"/>
                <a:cs typeface="Calibri"/>
                <a:sym typeface="Calibri"/>
              </a:endParaRPr>
            </a:p>
          </xdr:txBody>
        </xdr:sp>
        <xdr:sp macro="" textlink="">
          <xdr:nvSpPr>
            <xdr:cNvPr id="328" name="Shape 328" descr="Bracket line">
              <a:extLst>
                <a:ext uri="{FF2B5EF4-FFF2-40B4-BE49-F238E27FC236}">
                  <a16:creationId xmlns:a16="http://schemas.microsoft.com/office/drawing/2014/main" id="{00000000-0008-0000-0300-000048010000}"/>
                </a:ext>
              </a:extLst>
            </xdr:cNvPr>
            <xdr:cNvSpPr/>
          </xdr:nvSpPr>
          <xdr:spPr>
            <a:xfrm rot="-5400000" flipH="1">
              <a:off x="7869243" y="8828252"/>
              <a:ext cx="176183" cy="220401"/>
            </a:xfrm>
            <a:prstGeom prst="arc">
              <a:avLst>
                <a:gd name="adj1" fmla="val 17341536"/>
                <a:gd name="adj2" fmla="val 0"/>
              </a:avLst>
            </a:prstGeom>
            <a:noFill/>
            <a:ln w="19050" cap="flat" cmpd="sng">
              <a:solidFill>
                <a:srgbClr val="F4B08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lt1"/>
                </a:solidFill>
                <a:latin typeface="Calibri"/>
                <a:ea typeface="Calibri"/>
                <a:cs typeface="Calibri"/>
                <a:sym typeface="Calibri"/>
              </a:endParaRPr>
            </a:p>
          </xdr:txBody>
        </xdr:sp>
      </xdr:grpSp>
    </xdr:grpSp>
    <xdr:clientData fLocksWithSheet="0"/>
  </xdr:oneCellAnchor>
  <xdr:oneCellAnchor>
    <xdr:from>
      <xdr:col>0</xdr:col>
      <xdr:colOff>390525</xdr:colOff>
      <xdr:row>26</xdr:row>
      <xdr:rowOff>0</xdr:rowOff>
    </xdr:from>
    <xdr:ext cx="5695950" cy="4972050"/>
    <xdr:grpSp>
      <xdr:nvGrpSpPr>
        <xdr:cNvPr id="8" name="Shape 2">
          <a:extLst>
            <a:ext uri="{FF2B5EF4-FFF2-40B4-BE49-F238E27FC236}">
              <a16:creationId xmlns:a16="http://schemas.microsoft.com/office/drawing/2014/main" id="{00000000-0008-0000-0300-000008000000}"/>
            </a:ext>
          </a:extLst>
        </xdr:cNvPr>
        <xdr:cNvGrpSpPr/>
      </xdr:nvGrpSpPr>
      <xdr:grpSpPr>
        <a:xfrm>
          <a:off x="390525" y="5612027"/>
          <a:ext cx="5695950" cy="4972050"/>
          <a:chOff x="2498025" y="1293975"/>
          <a:chExt cx="5695950" cy="4972050"/>
        </a:xfrm>
      </xdr:grpSpPr>
      <xdr:grpSp>
        <xdr:nvGrpSpPr>
          <xdr:cNvPr id="329" name="Shape 329" descr="Transpose with a formula&#10;Sometimes you don't want to copy and paste to transpose. In this case, you can use a formula to transpose rows and columns. Here's how to do that:&#10;To transpose this data, you need to select some blank cells first. Since the data on the right has 6 columns and 2 rows, you need to select the opposite: 2 columns and 6 rows. Do this by selecting the yellow cells. &#10;This is kind of tricky, so pay close attention. With those cells still selected, type the following: =TRANSPOSE(C33:H34)  ….but don’t press Enter.&#10;Press Ctrl+Shift+Enter key&#10;If you get #VALUE! as a result, try again starting at step 1.&#10;Click any of the yellow cells to select just one. Look at the formula at the top of Excel. You’ll see that the formula looks like this:&#10;{=TRANSPOSE(C33:H34)}&#10;Click another yellow cell. Look at the formula bar again. The formula is the same. Why? Because this is an array formula">
            <a:extLst>
              <a:ext uri="{FF2B5EF4-FFF2-40B4-BE49-F238E27FC236}">
                <a16:creationId xmlns:a16="http://schemas.microsoft.com/office/drawing/2014/main" id="{00000000-0008-0000-0300-000049010000}"/>
              </a:ext>
            </a:extLst>
          </xdr:cNvPr>
          <xdr:cNvGrpSpPr/>
        </xdr:nvGrpSpPr>
        <xdr:grpSpPr>
          <a:xfrm>
            <a:off x="2498025" y="1293975"/>
            <a:ext cx="5695950" cy="4972050"/>
            <a:chOff x="390525" y="5943600"/>
            <a:chExt cx="5695950" cy="5029200"/>
          </a:xfrm>
        </xdr:grpSpPr>
        <xdr:sp macro="" textlink="">
          <xdr:nvSpPr>
            <xdr:cNvPr id="9" name="Shape 4">
              <a:extLst>
                <a:ext uri="{FF2B5EF4-FFF2-40B4-BE49-F238E27FC236}">
                  <a16:creationId xmlns:a16="http://schemas.microsoft.com/office/drawing/2014/main" id="{00000000-0008-0000-0300-000009000000}"/>
                </a:ext>
              </a:extLst>
            </xdr:cNvPr>
            <xdr:cNvSpPr/>
          </xdr:nvSpPr>
          <xdr:spPr>
            <a:xfrm>
              <a:off x="390525" y="5943600"/>
              <a:ext cx="5695950" cy="5029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30" name="Shape 330" descr="Background">
              <a:extLst>
                <a:ext uri="{FF2B5EF4-FFF2-40B4-BE49-F238E27FC236}">
                  <a16:creationId xmlns:a16="http://schemas.microsoft.com/office/drawing/2014/main" id="{00000000-0008-0000-0300-00004A010000}"/>
                </a:ext>
              </a:extLst>
            </xdr:cNvPr>
            <xdr:cNvSpPr/>
          </xdr:nvSpPr>
          <xdr:spPr>
            <a:xfrm>
              <a:off x="390525" y="5943600"/>
              <a:ext cx="5695950" cy="5029200"/>
            </a:xfrm>
            <a:prstGeom prst="rect">
              <a:avLst/>
            </a:prstGeom>
            <a:solidFill>
              <a:srgbClr val="F5F5F5"/>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331" name="Shape 331" descr="Transpose with a formula">
              <a:extLst>
                <a:ext uri="{FF2B5EF4-FFF2-40B4-BE49-F238E27FC236}">
                  <a16:creationId xmlns:a16="http://schemas.microsoft.com/office/drawing/2014/main" id="{00000000-0008-0000-0300-00004B010000}"/>
                </a:ext>
              </a:extLst>
            </xdr:cNvPr>
            <xdr:cNvSpPr txBox="1"/>
          </xdr:nvSpPr>
          <xdr:spPr>
            <a:xfrm>
              <a:off x="622273" y="6071822"/>
              <a:ext cx="5216551" cy="490903"/>
            </a:xfrm>
            <a:prstGeom prst="rect">
              <a:avLst/>
            </a:prstGeom>
            <a:noFill/>
            <a:ln>
              <a:noFill/>
            </a:ln>
          </xdr:spPr>
          <xdr:txBody>
            <a:bodyPr spcFirstLastPara="1" wrap="square" lIns="0" tIns="45700" rIns="0" bIns="45700" anchor="t" anchorCtr="0">
              <a:noAutofit/>
            </a:bodyPr>
            <a:lstStyle/>
            <a:p>
              <a:pPr marL="0" marR="0" lvl="0" indent="0" algn="l" rtl="0">
                <a:lnSpc>
                  <a:spcPct val="100000"/>
                </a:lnSpc>
                <a:spcBef>
                  <a:spcPts val="0"/>
                </a:spcBef>
                <a:spcAft>
                  <a:spcPts val="0"/>
                </a:spcAft>
                <a:buClr>
                  <a:srgbClr val="3A3838"/>
                </a:buClr>
                <a:buSzPts val="2200"/>
                <a:buFont typeface="Quattrocento Sans"/>
                <a:buNone/>
              </a:pPr>
              <a:r>
                <a:rPr lang="en-US" sz="2200" b="0" i="0" u="none" strike="noStrike" cap="none">
                  <a:solidFill>
                    <a:srgbClr val="3A3838"/>
                  </a:solidFill>
                  <a:latin typeface="Quattrocento Sans"/>
                  <a:ea typeface="Quattrocento Sans"/>
                  <a:cs typeface="Quattrocento Sans"/>
                  <a:sym typeface="Quattrocento Sans"/>
                </a:rPr>
                <a:t>Transpose with a formula</a:t>
              </a:r>
              <a:endParaRPr sz="2200" b="0">
                <a:solidFill>
                  <a:srgbClr val="3A3838"/>
                </a:solidFill>
                <a:latin typeface="Quattrocento Sans"/>
                <a:ea typeface="Quattrocento Sans"/>
                <a:cs typeface="Quattrocento Sans"/>
                <a:sym typeface="Quattrocento Sans"/>
              </a:endParaRPr>
            </a:p>
          </xdr:txBody>
        </xdr:sp>
        <xdr:cxnSp macro="">
          <xdr:nvCxnSpPr>
            <xdr:cNvPr id="332" name="Shape 332" descr="Decorative line">
              <a:extLst>
                <a:ext uri="{FF2B5EF4-FFF2-40B4-BE49-F238E27FC236}">
                  <a16:creationId xmlns:a16="http://schemas.microsoft.com/office/drawing/2014/main" id="{00000000-0008-0000-0300-00004C010000}"/>
                </a:ext>
              </a:extLst>
            </xdr:cNvPr>
            <xdr:cNvCxnSpPr/>
          </xdr:nvCxnSpPr>
          <xdr:spPr>
            <a:xfrm>
              <a:off x="625449" y="6579235"/>
              <a:ext cx="5213376" cy="0"/>
            </a:xfrm>
            <a:prstGeom prst="straightConnector1">
              <a:avLst/>
            </a:prstGeom>
            <a:noFill/>
            <a:ln w="25400" cap="flat" cmpd="sng">
              <a:solidFill>
                <a:srgbClr val="217346"/>
              </a:solidFill>
              <a:prstDash val="solid"/>
              <a:round/>
              <a:headEnd type="none" w="sm" len="sm"/>
              <a:tailEnd type="none" w="sm" len="sm"/>
            </a:ln>
          </xdr:spPr>
        </xdr:cxnSp>
        <xdr:cxnSp macro="">
          <xdr:nvCxnSpPr>
            <xdr:cNvPr id="333" name="Shape 333" descr="Decorative line">
              <a:extLst>
                <a:ext uri="{FF2B5EF4-FFF2-40B4-BE49-F238E27FC236}">
                  <a16:creationId xmlns:a16="http://schemas.microsoft.com/office/drawing/2014/main" id="{00000000-0008-0000-0300-00004D010000}"/>
                </a:ext>
              </a:extLst>
            </xdr:cNvPr>
            <xdr:cNvCxnSpPr/>
          </xdr:nvCxnSpPr>
          <xdr:spPr>
            <a:xfrm>
              <a:off x="625449" y="10752876"/>
              <a:ext cx="5213376" cy="0"/>
            </a:xfrm>
            <a:prstGeom prst="straightConnector1">
              <a:avLst/>
            </a:prstGeom>
            <a:noFill/>
            <a:ln w="25400" cap="flat" cmpd="sng">
              <a:solidFill>
                <a:srgbClr val="217346"/>
              </a:solidFill>
              <a:prstDash val="solid"/>
              <a:round/>
              <a:headEnd type="none" w="sm" len="sm"/>
              <a:tailEnd type="none" w="sm" len="sm"/>
            </a:ln>
          </xdr:spPr>
        </xdr:cxnSp>
        <xdr:sp macro="" textlink="">
          <xdr:nvSpPr>
            <xdr:cNvPr id="334" name="Shape 334" descr="Sometimes you don't want to copy and paste to transpose. In this case, you can use a formula to transpose rows and columns. Here's how to do that:">
              <a:extLst>
                <a:ext uri="{FF2B5EF4-FFF2-40B4-BE49-F238E27FC236}">
                  <a16:creationId xmlns:a16="http://schemas.microsoft.com/office/drawing/2014/main" id="{00000000-0008-0000-0300-00004E010000}"/>
                </a:ext>
              </a:extLst>
            </xdr:cNvPr>
            <xdr:cNvSpPr txBox="1"/>
          </xdr:nvSpPr>
          <xdr:spPr>
            <a:xfrm>
              <a:off x="619125" y="6652845"/>
              <a:ext cx="5300938" cy="568673"/>
            </a:xfrm>
            <a:prstGeom prst="rect">
              <a:avLst/>
            </a:prstGeom>
            <a:noFill/>
            <a:ln>
              <a:noFill/>
            </a:ln>
          </xdr:spPr>
          <xdr:txBody>
            <a:bodyPr spcFirstLastPara="1" wrap="square" lIns="0" tIns="45700" rIns="0" bIns="45700" anchor="t" anchorCtr="0">
              <a:noAutofit/>
            </a:bodyPr>
            <a:lstStyle/>
            <a:p>
              <a:pPr marL="0" lvl="0" indent="0" algn="l" rtl="0">
                <a:spcBef>
                  <a:spcPts val="0"/>
                </a:spcBef>
                <a:spcAft>
                  <a:spcPts val="0"/>
                </a:spcAft>
                <a:buNone/>
              </a:pPr>
              <a:r>
                <a:rPr lang="en-US" sz="1100">
                  <a:solidFill>
                    <a:srgbClr val="3F3F3F"/>
                  </a:solidFill>
                  <a:latin typeface="Quattrocento Sans"/>
                  <a:ea typeface="Quattrocento Sans"/>
                  <a:cs typeface="Quattrocento Sans"/>
                  <a:sym typeface="Quattrocento Sans"/>
                </a:rPr>
                <a:t>Sometimes you don't want to copy and paste to transpose. In this case, you can use a formula to transpose rows and columns. Here's how to do that:</a:t>
              </a:r>
              <a:endParaRPr sz="1100">
                <a:solidFill>
                  <a:srgbClr val="3F3F3F"/>
                </a:solidFill>
                <a:latin typeface="Quattrocento Sans"/>
                <a:ea typeface="Quattrocento Sans"/>
                <a:cs typeface="Quattrocento Sans"/>
                <a:sym typeface="Quattrocento Sans"/>
              </a:endParaRPr>
            </a:p>
          </xdr:txBody>
        </xdr:sp>
        <xdr:sp macro="" textlink="">
          <xdr:nvSpPr>
            <xdr:cNvPr id="335" name="Shape 335" descr="To transpose this data, you need to select some blank cells first. Since the data on the right has 6 columns and 2 rows, you need to select the opposite: 2 columns and 6 rows. Do this by selecting the yellow cells">
              <a:extLst>
                <a:ext uri="{FF2B5EF4-FFF2-40B4-BE49-F238E27FC236}">
                  <a16:creationId xmlns:a16="http://schemas.microsoft.com/office/drawing/2014/main" id="{00000000-0008-0000-0300-00004F010000}"/>
                </a:ext>
              </a:extLst>
            </xdr:cNvPr>
            <xdr:cNvSpPr txBox="1"/>
          </xdr:nvSpPr>
          <xdr:spPr>
            <a:xfrm>
              <a:off x="1029308" y="7307721"/>
              <a:ext cx="4809516" cy="697658"/>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Quattrocento Sans"/>
                  <a:ea typeface="Quattrocento Sans"/>
                  <a:cs typeface="Quattrocento Sans"/>
                  <a:sym typeface="Quattrocento Sans"/>
                </a:rPr>
                <a:t>To transpose this data, you need to select some blank cells first. Since the data on the right has 6 columns and 2 rows, you need to select the opposite: 2 columns and 6 rows. Do this by selecting the yellow cells. </a:t>
              </a:r>
              <a:endParaRPr sz="1400"/>
            </a:p>
          </xdr:txBody>
        </xdr:sp>
        <xdr:sp macro="" textlink="">
          <xdr:nvSpPr>
            <xdr:cNvPr id="336" name="Shape 336" descr="1">
              <a:extLst>
                <a:ext uri="{FF2B5EF4-FFF2-40B4-BE49-F238E27FC236}">
                  <a16:creationId xmlns:a16="http://schemas.microsoft.com/office/drawing/2014/main" id="{00000000-0008-0000-0300-000050010000}"/>
                </a:ext>
              </a:extLst>
            </xdr:cNvPr>
            <xdr:cNvSpPr/>
          </xdr:nvSpPr>
          <xdr:spPr>
            <a:xfrm>
              <a:off x="622274" y="7265223"/>
              <a:ext cx="371587"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1</a:t>
              </a:r>
              <a:endParaRPr sz="1400"/>
            </a:p>
          </xdr:txBody>
        </xdr:sp>
        <xdr:sp macro="" textlink="">
          <xdr:nvSpPr>
            <xdr:cNvPr id="337" name="Shape 337" descr="This is kind of tricky, so pay close attention. With those cells still selected, type the following: =TRANSPOSE(C33:H34)  ….but don’t press Enter">
              <a:extLst>
                <a:ext uri="{FF2B5EF4-FFF2-40B4-BE49-F238E27FC236}">
                  <a16:creationId xmlns:a16="http://schemas.microsoft.com/office/drawing/2014/main" id="{00000000-0008-0000-0300-000051010000}"/>
                </a:ext>
              </a:extLst>
            </xdr:cNvPr>
            <xdr:cNvSpPr txBox="1"/>
          </xdr:nvSpPr>
          <xdr:spPr>
            <a:xfrm>
              <a:off x="1029307" y="7976024"/>
              <a:ext cx="4809517" cy="617059"/>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Quattrocento Sans"/>
                  <a:ea typeface="Quattrocento Sans"/>
                  <a:cs typeface="Quattrocento Sans"/>
                  <a:sym typeface="Quattrocento Sans"/>
                </a:rPr>
                <a:t>This is kind of tricky, so pay close attention. With those cells </a:t>
              </a:r>
              <a:r>
                <a:rPr lang="en-US" sz="1100" i="1">
                  <a:solidFill>
                    <a:schemeClr val="dk1"/>
                  </a:solidFill>
                  <a:latin typeface="Quattrocento Sans"/>
                  <a:ea typeface="Quattrocento Sans"/>
                  <a:cs typeface="Quattrocento Sans"/>
                  <a:sym typeface="Quattrocento Sans"/>
                </a:rPr>
                <a:t>still selected</a:t>
              </a:r>
              <a:r>
                <a:rPr lang="en-US" sz="1100">
                  <a:solidFill>
                    <a:schemeClr val="dk1"/>
                  </a:solidFill>
                  <a:latin typeface="Quattrocento Sans"/>
                  <a:ea typeface="Quattrocento Sans"/>
                  <a:cs typeface="Quattrocento Sans"/>
                  <a:sym typeface="Quattrocento Sans"/>
                </a:rPr>
                <a:t>, type the following: </a:t>
              </a:r>
              <a:r>
                <a:rPr lang="en-US" sz="1100" b="1">
                  <a:solidFill>
                    <a:schemeClr val="dk1"/>
                  </a:solidFill>
                  <a:latin typeface="Quattrocento Sans"/>
                  <a:ea typeface="Quattrocento Sans"/>
                  <a:cs typeface="Quattrocento Sans"/>
                  <a:sym typeface="Quattrocento Sans"/>
                </a:rPr>
                <a:t>=TRANSPOSE(C33:H34)  </a:t>
              </a:r>
              <a:r>
                <a:rPr lang="en-US" sz="1100" i="1">
                  <a:solidFill>
                    <a:schemeClr val="dk1"/>
                  </a:solidFill>
                  <a:latin typeface="Quattrocento Sans"/>
                  <a:ea typeface="Quattrocento Sans"/>
                  <a:cs typeface="Quattrocento Sans"/>
                  <a:sym typeface="Quattrocento Sans"/>
                </a:rPr>
                <a:t>….but don’t press Enter</a:t>
              </a:r>
              <a:r>
                <a:rPr lang="en-US" sz="1100">
                  <a:solidFill>
                    <a:schemeClr val="dk1"/>
                  </a:solidFill>
                  <a:latin typeface="Quattrocento Sans"/>
                  <a:ea typeface="Quattrocento Sans"/>
                  <a:cs typeface="Quattrocento Sans"/>
                  <a:sym typeface="Quattrocento Sans"/>
                </a:rPr>
                <a:t>.</a:t>
              </a:r>
              <a:endParaRPr sz="1400"/>
            </a:p>
          </xdr:txBody>
        </xdr:sp>
        <xdr:sp macro="" textlink="">
          <xdr:nvSpPr>
            <xdr:cNvPr id="338" name="Shape 338" descr="2">
              <a:extLst>
                <a:ext uri="{FF2B5EF4-FFF2-40B4-BE49-F238E27FC236}">
                  <a16:creationId xmlns:a16="http://schemas.microsoft.com/office/drawing/2014/main" id="{00000000-0008-0000-0300-000052010000}"/>
                </a:ext>
              </a:extLst>
            </xdr:cNvPr>
            <xdr:cNvSpPr/>
          </xdr:nvSpPr>
          <xdr:spPr>
            <a:xfrm>
              <a:off x="622274" y="7933526"/>
              <a:ext cx="371587"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2</a:t>
              </a:r>
              <a:endParaRPr sz="1400"/>
            </a:p>
          </xdr:txBody>
        </xdr:sp>
        <xdr:sp macro="" textlink="">
          <xdr:nvSpPr>
            <xdr:cNvPr id="339" name="Shape 339" descr="Click another yellow cell. Look at the formula bar again. The formula is the same. Why? Because this is an array formula">
              <a:extLst>
                <a:ext uri="{FF2B5EF4-FFF2-40B4-BE49-F238E27FC236}">
                  <a16:creationId xmlns:a16="http://schemas.microsoft.com/office/drawing/2014/main" id="{00000000-0008-0000-0300-000053010000}"/>
                </a:ext>
              </a:extLst>
            </xdr:cNvPr>
            <xdr:cNvSpPr txBox="1"/>
          </xdr:nvSpPr>
          <xdr:spPr>
            <a:xfrm>
              <a:off x="1029307" y="10163548"/>
              <a:ext cx="4809517" cy="500949"/>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Quattrocento Sans"/>
                  <a:ea typeface="Quattrocento Sans"/>
                  <a:cs typeface="Quattrocento Sans"/>
                  <a:sym typeface="Quattrocento Sans"/>
                </a:rPr>
                <a:t>Click another yellow cell. Look at the formula bar again. The formula is the same. Why? Because this is an </a:t>
              </a:r>
              <a:r>
                <a:rPr lang="en-US" sz="1100" b="1">
                  <a:solidFill>
                    <a:schemeClr val="dk1"/>
                  </a:solidFill>
                  <a:latin typeface="Quattrocento Sans"/>
                  <a:ea typeface="Quattrocento Sans"/>
                  <a:cs typeface="Quattrocento Sans"/>
                  <a:sym typeface="Quattrocento Sans"/>
                </a:rPr>
                <a:t>array formula</a:t>
              </a:r>
              <a:r>
                <a:rPr lang="en-US" sz="1100">
                  <a:solidFill>
                    <a:schemeClr val="dk1"/>
                  </a:solidFill>
                  <a:latin typeface="Quattrocento Sans"/>
                  <a:ea typeface="Quattrocento Sans"/>
                  <a:cs typeface="Quattrocento Sans"/>
                  <a:sym typeface="Quattrocento Sans"/>
                </a:rPr>
                <a:t>.</a:t>
              </a:r>
              <a:endParaRPr sz="1400"/>
            </a:p>
          </xdr:txBody>
        </xdr:sp>
        <xdr:sp macro="" textlink="">
          <xdr:nvSpPr>
            <xdr:cNvPr id="340" name="Shape 340" descr="5">
              <a:extLst>
                <a:ext uri="{FF2B5EF4-FFF2-40B4-BE49-F238E27FC236}">
                  <a16:creationId xmlns:a16="http://schemas.microsoft.com/office/drawing/2014/main" id="{00000000-0008-0000-0300-000054010000}"/>
                </a:ext>
              </a:extLst>
            </xdr:cNvPr>
            <xdr:cNvSpPr/>
          </xdr:nvSpPr>
          <xdr:spPr>
            <a:xfrm>
              <a:off x="622274" y="10121050"/>
              <a:ext cx="371587"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5</a:t>
              </a:r>
              <a:endParaRPr sz="1400"/>
            </a:p>
          </xdr:txBody>
        </xdr:sp>
        <xdr:sp macro="" textlink="">
          <xdr:nvSpPr>
            <xdr:cNvPr id="341" name="Shape 341" descr="Press Ctrl+Shift+Enter key&#10;&#10;If you get #VALUE! as a result, try again starting at step 1">
              <a:extLst>
                <a:ext uri="{FF2B5EF4-FFF2-40B4-BE49-F238E27FC236}">
                  <a16:creationId xmlns:a16="http://schemas.microsoft.com/office/drawing/2014/main" id="{00000000-0008-0000-0300-000055010000}"/>
                </a:ext>
              </a:extLst>
            </xdr:cNvPr>
            <xdr:cNvSpPr txBox="1"/>
          </xdr:nvSpPr>
          <xdr:spPr>
            <a:xfrm>
              <a:off x="1029307" y="8632587"/>
              <a:ext cx="4809517" cy="638879"/>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Quattrocento Sans"/>
                  <a:ea typeface="Quattrocento Sans"/>
                  <a:cs typeface="Quattrocento Sans"/>
                  <a:sym typeface="Quattrocento Sans"/>
                </a:rPr>
                <a:t>Press</a:t>
              </a:r>
              <a:endParaRPr sz="1400"/>
            </a:p>
            <a:p>
              <a:pPr marL="0" lvl="0" indent="0" algn="l" rtl="0">
                <a:spcBef>
                  <a:spcPts val="0"/>
                </a:spcBef>
                <a:spcAft>
                  <a:spcPts val="0"/>
                </a:spcAft>
                <a:buNone/>
              </a:pPr>
              <a:endParaRPr sz="1100">
                <a:latin typeface="Quattrocento Sans"/>
                <a:ea typeface="Quattrocento Sans"/>
                <a:cs typeface="Quattrocento Sans"/>
                <a:sym typeface="Quattrocento Sans"/>
              </a:endParaRPr>
            </a:p>
            <a:p>
              <a:pPr marL="0" lvl="0" indent="0" algn="l" rtl="0">
                <a:spcBef>
                  <a:spcPts val="0"/>
                </a:spcBef>
                <a:spcAft>
                  <a:spcPts val="0"/>
                </a:spcAft>
                <a:buNone/>
              </a:pPr>
              <a:r>
                <a:rPr lang="en-US" sz="1100">
                  <a:solidFill>
                    <a:schemeClr val="dk1"/>
                  </a:solidFill>
                  <a:latin typeface="Quattrocento Sans"/>
                  <a:ea typeface="Quattrocento Sans"/>
                  <a:cs typeface="Quattrocento Sans"/>
                  <a:sym typeface="Quattrocento Sans"/>
                </a:rPr>
                <a:t>If you get #VALUE! as a result, try again starting at step 1. </a:t>
              </a:r>
              <a:endParaRPr sz="1400"/>
            </a:p>
          </xdr:txBody>
        </xdr:sp>
        <xdr:sp macro="" textlink="">
          <xdr:nvSpPr>
            <xdr:cNvPr id="342" name="Shape 342" descr="3">
              <a:extLst>
                <a:ext uri="{FF2B5EF4-FFF2-40B4-BE49-F238E27FC236}">
                  <a16:creationId xmlns:a16="http://schemas.microsoft.com/office/drawing/2014/main" id="{00000000-0008-0000-0300-000056010000}"/>
                </a:ext>
              </a:extLst>
            </xdr:cNvPr>
            <xdr:cNvSpPr/>
          </xdr:nvSpPr>
          <xdr:spPr>
            <a:xfrm>
              <a:off x="622274" y="8590089"/>
              <a:ext cx="371587"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3</a:t>
              </a:r>
              <a:endParaRPr sz="1400"/>
            </a:p>
          </xdr:txBody>
        </xdr:sp>
        <xdr:sp macro="" textlink="">
          <xdr:nvSpPr>
            <xdr:cNvPr id="343" name="Shape 343" descr="Click any of the yellow cells to select just one. Look at the formula at the top of Excel. You’ll see that the formula looks like this:&#10;{=TRANSPOSE(C33:H34)}">
              <a:extLst>
                <a:ext uri="{FF2B5EF4-FFF2-40B4-BE49-F238E27FC236}">
                  <a16:creationId xmlns:a16="http://schemas.microsoft.com/office/drawing/2014/main" id="{00000000-0008-0000-0300-000057010000}"/>
                </a:ext>
              </a:extLst>
            </xdr:cNvPr>
            <xdr:cNvSpPr txBox="1"/>
          </xdr:nvSpPr>
          <xdr:spPr>
            <a:xfrm>
              <a:off x="1029307" y="9303963"/>
              <a:ext cx="4809517" cy="86917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Quattrocento Sans"/>
                  <a:ea typeface="Quattrocento Sans"/>
                  <a:cs typeface="Quattrocento Sans"/>
                  <a:sym typeface="Quattrocento Sans"/>
                </a:rPr>
                <a:t>Click any of the yellow cells to select just one. Look at the formula at the top of Excel. You’ll see that the formula looks like this:</a:t>
              </a:r>
              <a:endParaRPr sz="1400"/>
            </a:p>
            <a:p>
              <a:pPr marL="0" lvl="0" indent="0" algn="l" rtl="0">
                <a:spcBef>
                  <a:spcPts val="0"/>
                </a:spcBef>
                <a:spcAft>
                  <a:spcPts val="0"/>
                </a:spcAft>
                <a:buNone/>
              </a:pPr>
              <a:endParaRPr sz="1100">
                <a:latin typeface="Quattrocento Sans"/>
                <a:ea typeface="Quattrocento Sans"/>
                <a:cs typeface="Quattrocento Sans"/>
                <a:sym typeface="Quattrocento Sans"/>
              </a:endParaRPr>
            </a:p>
            <a:p>
              <a:pPr marL="0" lvl="0" indent="0" algn="l" rtl="0">
                <a:spcBef>
                  <a:spcPts val="0"/>
                </a:spcBef>
                <a:spcAft>
                  <a:spcPts val="0"/>
                </a:spcAft>
                <a:buNone/>
              </a:pPr>
              <a:r>
                <a:rPr lang="en-US" sz="1100" b="1">
                  <a:solidFill>
                    <a:schemeClr val="dk1"/>
                  </a:solidFill>
                  <a:latin typeface="Quattrocento Sans"/>
                  <a:ea typeface="Quattrocento Sans"/>
                  <a:cs typeface="Quattrocento Sans"/>
                  <a:sym typeface="Quattrocento Sans"/>
                </a:rPr>
                <a:t>{=TRANSPOSE(C33:H34)}</a:t>
              </a:r>
              <a:br>
                <a:rPr lang="en-US" sz="1100">
                  <a:solidFill>
                    <a:schemeClr val="dk1"/>
                  </a:solidFill>
                  <a:latin typeface="Quattrocento Sans"/>
                  <a:ea typeface="Quattrocento Sans"/>
                  <a:cs typeface="Quattrocento Sans"/>
                  <a:sym typeface="Quattrocento Sans"/>
                </a:rPr>
              </a:br>
              <a:endParaRPr sz="1100">
                <a:latin typeface="Quattrocento Sans"/>
                <a:ea typeface="Quattrocento Sans"/>
                <a:cs typeface="Quattrocento Sans"/>
                <a:sym typeface="Quattrocento Sans"/>
              </a:endParaRPr>
            </a:p>
          </xdr:txBody>
        </xdr:sp>
        <xdr:sp macro="" textlink="">
          <xdr:nvSpPr>
            <xdr:cNvPr id="344" name="Shape 344" descr="4">
              <a:extLst>
                <a:ext uri="{FF2B5EF4-FFF2-40B4-BE49-F238E27FC236}">
                  <a16:creationId xmlns:a16="http://schemas.microsoft.com/office/drawing/2014/main" id="{00000000-0008-0000-0300-000058010000}"/>
                </a:ext>
              </a:extLst>
            </xdr:cNvPr>
            <xdr:cNvSpPr/>
          </xdr:nvSpPr>
          <xdr:spPr>
            <a:xfrm>
              <a:off x="622274" y="9261464"/>
              <a:ext cx="371587"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4</a:t>
              </a:r>
              <a:endParaRPr sz="1400"/>
            </a:p>
          </xdr:txBody>
        </xdr:sp>
        <xdr:sp macro="" textlink="">
          <xdr:nvSpPr>
            <xdr:cNvPr id="345" name="Shape 345" descr="Ctrl key">
              <a:extLst>
                <a:ext uri="{FF2B5EF4-FFF2-40B4-BE49-F238E27FC236}">
                  <a16:creationId xmlns:a16="http://schemas.microsoft.com/office/drawing/2014/main" id="{00000000-0008-0000-0300-000059010000}"/>
                </a:ext>
              </a:extLst>
            </xdr:cNvPr>
            <xdr:cNvSpPr/>
          </xdr:nvSpPr>
          <xdr:spPr>
            <a:xfrm>
              <a:off x="1490729" y="8635999"/>
              <a:ext cx="459442" cy="257175"/>
            </a:xfrm>
            <a:prstGeom prst="roundRect">
              <a:avLst>
                <a:gd name="adj" fmla="val 16667"/>
              </a:avLst>
            </a:prstGeom>
            <a:no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Quattrocento Sans"/>
                  <a:ea typeface="Quattrocento Sans"/>
                  <a:cs typeface="Quattrocento Sans"/>
                  <a:sym typeface="Quattrocento Sans"/>
                </a:rPr>
                <a:t>Ctrl</a:t>
              </a:r>
              <a:endParaRPr sz="1400"/>
            </a:p>
          </xdr:txBody>
        </xdr:sp>
        <xdr:sp macro="" textlink="">
          <xdr:nvSpPr>
            <xdr:cNvPr id="346" name="Shape 346" descr="Shift key">
              <a:extLst>
                <a:ext uri="{FF2B5EF4-FFF2-40B4-BE49-F238E27FC236}">
                  <a16:creationId xmlns:a16="http://schemas.microsoft.com/office/drawing/2014/main" id="{00000000-0008-0000-0300-00005A010000}"/>
                </a:ext>
              </a:extLst>
            </xdr:cNvPr>
            <xdr:cNvSpPr/>
          </xdr:nvSpPr>
          <xdr:spPr>
            <a:xfrm>
              <a:off x="2035131" y="8635999"/>
              <a:ext cx="466658" cy="257175"/>
            </a:xfrm>
            <a:prstGeom prst="roundRect">
              <a:avLst>
                <a:gd name="adj" fmla="val 16667"/>
              </a:avLst>
            </a:prstGeom>
            <a:no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Quattrocento Sans"/>
                  <a:ea typeface="Quattrocento Sans"/>
                  <a:cs typeface="Quattrocento Sans"/>
                  <a:sym typeface="Quattrocento Sans"/>
                </a:rPr>
                <a:t>Shift</a:t>
              </a:r>
              <a:endParaRPr sz="1400"/>
            </a:p>
          </xdr:txBody>
        </xdr:sp>
        <xdr:sp macro="" textlink="">
          <xdr:nvSpPr>
            <xdr:cNvPr id="347" name="Shape 347" descr="Enter key">
              <a:extLst>
                <a:ext uri="{FF2B5EF4-FFF2-40B4-BE49-F238E27FC236}">
                  <a16:creationId xmlns:a16="http://schemas.microsoft.com/office/drawing/2014/main" id="{00000000-0008-0000-0300-00005B010000}"/>
                </a:ext>
              </a:extLst>
            </xdr:cNvPr>
            <xdr:cNvSpPr/>
          </xdr:nvSpPr>
          <xdr:spPr>
            <a:xfrm>
              <a:off x="2587851" y="8635999"/>
              <a:ext cx="470468" cy="257175"/>
            </a:xfrm>
            <a:prstGeom prst="roundRect">
              <a:avLst>
                <a:gd name="adj" fmla="val 16667"/>
              </a:avLst>
            </a:prstGeom>
            <a:no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Quattrocento Sans"/>
                  <a:ea typeface="Quattrocento Sans"/>
                  <a:cs typeface="Quattrocento Sans"/>
                  <a:sym typeface="Quattrocento Sans"/>
                </a:rPr>
                <a:t>Enter</a:t>
              </a:r>
              <a:endParaRPr sz="1400"/>
            </a:p>
          </xdr:txBody>
        </xdr:sp>
      </xdr:grpSp>
    </xdr:grpSp>
    <xdr:clientData fLocksWithSheet="0"/>
  </xdr:oneCellAnchor>
  <xdr:oneCellAnchor>
    <xdr:from>
      <xdr:col>0</xdr:col>
      <xdr:colOff>390525</xdr:colOff>
      <xdr:row>53</xdr:row>
      <xdr:rowOff>0</xdr:rowOff>
    </xdr:from>
    <xdr:ext cx="5695950" cy="3314700"/>
    <xdr:grpSp>
      <xdr:nvGrpSpPr>
        <xdr:cNvPr id="10" name="Shape 2">
          <a:extLst>
            <a:ext uri="{FF2B5EF4-FFF2-40B4-BE49-F238E27FC236}">
              <a16:creationId xmlns:a16="http://schemas.microsoft.com/office/drawing/2014/main" id="{00000000-0008-0000-0300-00000A000000}"/>
            </a:ext>
          </a:extLst>
        </xdr:cNvPr>
        <xdr:cNvGrpSpPr/>
      </xdr:nvGrpSpPr>
      <xdr:grpSpPr>
        <a:xfrm>
          <a:off x="390525" y="10825034"/>
          <a:ext cx="5695950" cy="3314700"/>
          <a:chOff x="2498025" y="2122650"/>
          <a:chExt cx="5695950" cy="3314700"/>
        </a:xfrm>
      </xdr:grpSpPr>
      <xdr:grpSp>
        <xdr:nvGrpSpPr>
          <xdr:cNvPr id="348" name="Shape 348" descr="What's an array formula?&#10;An array formula can perform calculations on more than one cell in an array. In the example above, the array is the original data set in cells C33:H34. The TRANSPOSE function then switches the horizontal orientation of the cells to a vertical orientation. &#10;You always finish an array formula with CTRL+SHIFT+ENTER, not just ENTER. Pressing CTRL+SHIFT+ENTER calculates the function against the array. When you're done, Excel puts special brackets { } around the formula. These brackets are a visual clue that the selected cell is part of an array formula. You can't type these brackets yourself. Excel puts them in when you press CTRL+SHIFT+ENTER">
            <a:extLst>
              <a:ext uri="{FF2B5EF4-FFF2-40B4-BE49-F238E27FC236}">
                <a16:creationId xmlns:a16="http://schemas.microsoft.com/office/drawing/2014/main" id="{00000000-0008-0000-0300-00005C010000}"/>
              </a:ext>
            </a:extLst>
          </xdr:cNvPr>
          <xdr:cNvGrpSpPr/>
        </xdr:nvGrpSpPr>
        <xdr:grpSpPr>
          <a:xfrm>
            <a:off x="2498025" y="2122650"/>
            <a:ext cx="5695950" cy="3314700"/>
            <a:chOff x="0" y="-9524"/>
            <a:chExt cx="5695950" cy="3105150"/>
          </a:xfrm>
        </xdr:grpSpPr>
        <xdr:sp macro="" textlink="">
          <xdr:nvSpPr>
            <xdr:cNvPr id="11" name="Shape 4">
              <a:extLst>
                <a:ext uri="{FF2B5EF4-FFF2-40B4-BE49-F238E27FC236}">
                  <a16:creationId xmlns:a16="http://schemas.microsoft.com/office/drawing/2014/main" id="{00000000-0008-0000-0300-00000B000000}"/>
                </a:ext>
              </a:extLst>
            </xdr:cNvPr>
            <xdr:cNvSpPr/>
          </xdr:nvSpPr>
          <xdr:spPr>
            <a:xfrm>
              <a:off x="0" y="-9524"/>
              <a:ext cx="5695950" cy="3105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49" name="Shape 349" descr="Background">
              <a:extLst>
                <a:ext uri="{FF2B5EF4-FFF2-40B4-BE49-F238E27FC236}">
                  <a16:creationId xmlns:a16="http://schemas.microsoft.com/office/drawing/2014/main" id="{00000000-0008-0000-0300-00005D010000}"/>
                </a:ext>
              </a:extLst>
            </xdr:cNvPr>
            <xdr:cNvSpPr/>
          </xdr:nvSpPr>
          <xdr:spPr>
            <a:xfrm>
              <a:off x="0" y="-9524"/>
              <a:ext cx="5695950" cy="3105150"/>
            </a:xfrm>
            <a:prstGeom prst="rect">
              <a:avLst/>
            </a:prstGeom>
            <a:solidFill>
              <a:srgbClr val="F5F5F5"/>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350" name="Shape 350" descr="What's an array formula?">
              <a:extLst>
                <a:ext uri="{FF2B5EF4-FFF2-40B4-BE49-F238E27FC236}">
                  <a16:creationId xmlns:a16="http://schemas.microsoft.com/office/drawing/2014/main" id="{00000000-0008-0000-0300-00005E010000}"/>
                </a:ext>
              </a:extLst>
            </xdr:cNvPr>
            <xdr:cNvSpPr txBox="1"/>
          </xdr:nvSpPr>
          <xdr:spPr>
            <a:xfrm>
              <a:off x="231748" y="118698"/>
              <a:ext cx="5216551" cy="490903"/>
            </a:xfrm>
            <a:prstGeom prst="rect">
              <a:avLst/>
            </a:prstGeom>
            <a:noFill/>
            <a:ln>
              <a:noFill/>
            </a:ln>
          </xdr:spPr>
          <xdr:txBody>
            <a:bodyPr spcFirstLastPara="1" wrap="square" lIns="0" tIns="45700" rIns="0" bIns="45700" anchor="t" anchorCtr="0">
              <a:noAutofit/>
            </a:bodyPr>
            <a:lstStyle/>
            <a:p>
              <a:pPr marL="0" marR="0" lvl="0" indent="0" algn="l" rtl="0">
                <a:lnSpc>
                  <a:spcPct val="100000"/>
                </a:lnSpc>
                <a:spcBef>
                  <a:spcPts val="0"/>
                </a:spcBef>
                <a:spcAft>
                  <a:spcPts val="0"/>
                </a:spcAft>
                <a:buClr>
                  <a:srgbClr val="3A3838"/>
                </a:buClr>
                <a:buSzPts val="2200"/>
                <a:buFont typeface="Quattrocento Sans"/>
                <a:buNone/>
              </a:pPr>
              <a:r>
                <a:rPr lang="en-US" sz="2200" b="0" i="0" u="none" strike="noStrike" cap="none">
                  <a:solidFill>
                    <a:srgbClr val="3A3838"/>
                  </a:solidFill>
                  <a:latin typeface="Quattrocento Sans"/>
                  <a:ea typeface="Quattrocento Sans"/>
                  <a:cs typeface="Quattrocento Sans"/>
                  <a:sym typeface="Quattrocento Sans"/>
                </a:rPr>
                <a:t>What's an array formula?</a:t>
              </a:r>
              <a:endParaRPr sz="2200" b="0">
                <a:solidFill>
                  <a:srgbClr val="3A3838"/>
                </a:solidFill>
                <a:latin typeface="Quattrocento Sans"/>
                <a:ea typeface="Quattrocento Sans"/>
                <a:cs typeface="Quattrocento Sans"/>
                <a:sym typeface="Quattrocento Sans"/>
              </a:endParaRPr>
            </a:p>
          </xdr:txBody>
        </xdr:sp>
        <xdr:cxnSp macro="">
          <xdr:nvCxnSpPr>
            <xdr:cNvPr id="351" name="Shape 351" descr="Decorative line">
              <a:extLst>
                <a:ext uri="{FF2B5EF4-FFF2-40B4-BE49-F238E27FC236}">
                  <a16:creationId xmlns:a16="http://schemas.microsoft.com/office/drawing/2014/main" id="{00000000-0008-0000-0300-00005F010000}"/>
                </a:ext>
              </a:extLst>
            </xdr:cNvPr>
            <xdr:cNvCxnSpPr/>
          </xdr:nvCxnSpPr>
          <xdr:spPr>
            <a:xfrm>
              <a:off x="234924" y="626111"/>
              <a:ext cx="5213376" cy="0"/>
            </a:xfrm>
            <a:prstGeom prst="straightConnector1">
              <a:avLst/>
            </a:prstGeom>
            <a:noFill/>
            <a:ln w="25400" cap="flat" cmpd="sng">
              <a:solidFill>
                <a:srgbClr val="217346"/>
              </a:solidFill>
              <a:prstDash val="solid"/>
              <a:round/>
              <a:headEnd type="none" w="sm" len="sm"/>
              <a:tailEnd type="none" w="sm" len="sm"/>
            </a:ln>
          </xdr:spPr>
        </xdr:cxnSp>
        <xdr:cxnSp macro="">
          <xdr:nvCxnSpPr>
            <xdr:cNvPr id="352" name="Shape 352" descr="Decorative line">
              <a:extLst>
                <a:ext uri="{FF2B5EF4-FFF2-40B4-BE49-F238E27FC236}">
                  <a16:creationId xmlns:a16="http://schemas.microsoft.com/office/drawing/2014/main" id="{00000000-0008-0000-0300-000060010000}"/>
                </a:ext>
              </a:extLst>
            </xdr:cNvPr>
            <xdr:cNvCxnSpPr/>
          </xdr:nvCxnSpPr>
          <xdr:spPr>
            <a:xfrm>
              <a:off x="234924" y="2828077"/>
              <a:ext cx="5213376" cy="0"/>
            </a:xfrm>
            <a:prstGeom prst="straightConnector1">
              <a:avLst/>
            </a:prstGeom>
            <a:noFill/>
            <a:ln w="25400" cap="flat" cmpd="sng">
              <a:solidFill>
                <a:srgbClr val="217346"/>
              </a:solidFill>
              <a:prstDash val="solid"/>
              <a:round/>
              <a:headEnd type="none" w="sm" len="sm"/>
              <a:tailEnd type="none" w="sm" len="sm"/>
            </a:ln>
          </xdr:spPr>
        </xdr:cxnSp>
        <xdr:sp macro="" textlink="">
          <xdr:nvSpPr>
            <xdr:cNvPr id="353" name="Shape 353" descr="An array formula can perform calculations on more than one cell in an array. In the example above, the array is the original data set in cells C33:H34. The TRANSPOSE function then switches the horizontal orientation of the cells to a vertical orientation. &#10;&#10;You always finish an array formula with CTRL+SHIFT+ENTER, not just ENTER. Pressing CTRL+SHIFT+ENTER calculates the function against the array. When you're done, Excel puts special brackets { } around the formula. These brackets are a visual clue that the selected cell is part of an array formula. You can't type these brackets yourself. Excel puts them in when you press CTRL+SHIFT+ENTER">
              <a:extLst>
                <a:ext uri="{FF2B5EF4-FFF2-40B4-BE49-F238E27FC236}">
                  <a16:creationId xmlns:a16="http://schemas.microsoft.com/office/drawing/2014/main" id="{00000000-0008-0000-0300-000061010000}"/>
                </a:ext>
              </a:extLst>
            </xdr:cNvPr>
            <xdr:cNvSpPr txBox="1"/>
          </xdr:nvSpPr>
          <xdr:spPr>
            <a:xfrm>
              <a:off x="228600" y="699721"/>
              <a:ext cx="5300938" cy="2024430"/>
            </a:xfrm>
            <a:prstGeom prst="rect">
              <a:avLst/>
            </a:prstGeom>
            <a:noFill/>
            <a:ln>
              <a:noFill/>
            </a:ln>
          </xdr:spPr>
          <xdr:txBody>
            <a:bodyPr spcFirstLastPara="1" wrap="square" lIns="0" tIns="45700" rIns="0" bIns="45700" anchor="t" anchorCtr="0">
              <a:noAutofit/>
            </a:bodyPr>
            <a:lstStyle/>
            <a:p>
              <a:pPr marL="0" lvl="0" indent="0" algn="l" rtl="0">
                <a:spcBef>
                  <a:spcPts val="0"/>
                </a:spcBef>
                <a:spcAft>
                  <a:spcPts val="0"/>
                </a:spcAft>
                <a:buNone/>
              </a:pPr>
              <a:r>
                <a:rPr lang="en-US" sz="1100">
                  <a:solidFill>
                    <a:srgbClr val="3F3F3F"/>
                  </a:solidFill>
                  <a:latin typeface="Quattrocento Sans"/>
                  <a:ea typeface="Quattrocento Sans"/>
                  <a:cs typeface="Quattrocento Sans"/>
                  <a:sym typeface="Quattrocento Sans"/>
                </a:rPr>
                <a:t>An array formula can perform calculations on more than one cell in an array. In the example above, the array is the original data set in cells C33:H34. The TRANSPOSE function then switches the horizontal orientation of the cells to a vertical orientation. </a:t>
              </a:r>
              <a:endParaRPr sz="1100">
                <a:solidFill>
                  <a:srgbClr val="3F3F3F"/>
                </a:solidFill>
                <a:latin typeface="Quattrocento Sans"/>
                <a:ea typeface="Quattrocento Sans"/>
                <a:cs typeface="Quattrocento Sans"/>
                <a:sym typeface="Quattrocento Sans"/>
              </a:endParaRPr>
            </a:p>
            <a:p>
              <a:pPr marL="0" lvl="0" indent="0" algn="l" rtl="0">
                <a:spcBef>
                  <a:spcPts val="0"/>
                </a:spcBef>
                <a:spcAft>
                  <a:spcPts val="0"/>
                </a:spcAft>
                <a:buNone/>
              </a:pPr>
              <a:endParaRPr sz="1100">
                <a:solidFill>
                  <a:srgbClr val="3F3F3F"/>
                </a:solidFill>
                <a:latin typeface="Quattrocento Sans"/>
                <a:ea typeface="Quattrocento Sans"/>
                <a:cs typeface="Quattrocento Sans"/>
                <a:sym typeface="Quattrocento Sans"/>
              </a:endParaRPr>
            </a:p>
            <a:p>
              <a:pPr marL="0" lvl="0" indent="0" algn="l" rtl="0">
                <a:spcBef>
                  <a:spcPts val="0"/>
                </a:spcBef>
                <a:spcAft>
                  <a:spcPts val="0"/>
                </a:spcAft>
                <a:buNone/>
              </a:pPr>
              <a:r>
                <a:rPr lang="en-US" sz="1100">
                  <a:solidFill>
                    <a:srgbClr val="3F3F3F"/>
                  </a:solidFill>
                  <a:latin typeface="Quattrocento Sans"/>
                  <a:ea typeface="Quattrocento Sans"/>
                  <a:cs typeface="Quattrocento Sans"/>
                  <a:sym typeface="Quattrocento Sans"/>
                </a:rPr>
                <a:t>You always finish an array formula with CTRL+SHIFT+ENTER, not just ENTER. Pressing CTRL+SHIFT+ENTER calculates the function against the array. When you're done, Excel puts special brackets { } around the formula. These brackets are a visual clue that the selected cell is part of an array formula. You can't type these brackets yourself. Excel puts them in when you press CTRL+SHIFT+ENTER. </a:t>
              </a:r>
              <a:endParaRPr sz="1400"/>
            </a:p>
          </xdr:txBody>
        </xdr:sp>
      </xdr:grpSp>
    </xdr:grpSp>
    <xdr:clientData fLocksWithSheet="0"/>
  </xdr:oneCellAnchor>
  <xdr:oneCellAnchor>
    <xdr:from>
      <xdr:col>2</xdr:col>
      <xdr:colOff>28575</xdr:colOff>
      <xdr:row>49</xdr:row>
      <xdr:rowOff>9525</xdr:rowOff>
    </xdr:from>
    <xdr:ext cx="4086225" cy="3152775"/>
    <xdr:grpSp>
      <xdr:nvGrpSpPr>
        <xdr:cNvPr id="12" name="Shape 2">
          <a:extLst>
            <a:ext uri="{FF2B5EF4-FFF2-40B4-BE49-F238E27FC236}">
              <a16:creationId xmlns:a16="http://schemas.microsoft.com/office/drawing/2014/main" id="{00000000-0008-0000-0300-00000C000000}"/>
            </a:ext>
          </a:extLst>
        </xdr:cNvPr>
        <xdr:cNvGrpSpPr/>
      </xdr:nvGrpSpPr>
      <xdr:grpSpPr>
        <a:xfrm>
          <a:off x="6400028" y="10062261"/>
          <a:ext cx="4086225" cy="3152775"/>
          <a:chOff x="3302888" y="2203613"/>
          <a:chExt cx="4086225" cy="3152775"/>
        </a:xfrm>
      </xdr:grpSpPr>
      <xdr:grpSp>
        <xdr:nvGrpSpPr>
          <xdr:cNvPr id="354" name="Shape 354" descr="KEEP IN MIND…&#10;There are three things to keep in mind when using an array formula: &#10;&#10;1) Always select multiple cells first, and then with those cells selected, start typing the array formula. That's the key: Select multiple cells first, then start typing.&#10;&#10;2) When you're done typing an array formula, press &#10;CTRL+SHIFT +ENTER.&#10;&#10;3) Once you enter an array formula, you cannot interrupt that new array. For example, you cannot type over or delete just one of the cells. You also cannot insert a new row or column within that array.  If you need to any of that, select all of the cells that have the array formula, press Delete, and then make your changes and recreate the formula">
            <a:extLst>
              <a:ext uri="{FF2B5EF4-FFF2-40B4-BE49-F238E27FC236}">
                <a16:creationId xmlns:a16="http://schemas.microsoft.com/office/drawing/2014/main" id="{00000000-0008-0000-0300-000062010000}"/>
              </a:ext>
            </a:extLst>
          </xdr:cNvPr>
          <xdr:cNvGrpSpPr/>
        </xdr:nvGrpSpPr>
        <xdr:grpSpPr>
          <a:xfrm>
            <a:off x="3302888" y="2203613"/>
            <a:ext cx="4086225" cy="3152775"/>
            <a:chOff x="6403974" y="10344150"/>
            <a:chExt cx="3883026" cy="2819400"/>
          </a:xfrm>
        </xdr:grpSpPr>
        <xdr:sp macro="" textlink="">
          <xdr:nvSpPr>
            <xdr:cNvPr id="13" name="Shape 4">
              <a:extLst>
                <a:ext uri="{FF2B5EF4-FFF2-40B4-BE49-F238E27FC236}">
                  <a16:creationId xmlns:a16="http://schemas.microsoft.com/office/drawing/2014/main" id="{00000000-0008-0000-0300-00000D000000}"/>
                </a:ext>
              </a:extLst>
            </xdr:cNvPr>
            <xdr:cNvSpPr/>
          </xdr:nvSpPr>
          <xdr:spPr>
            <a:xfrm>
              <a:off x="6403974" y="10344150"/>
              <a:ext cx="3883025" cy="28194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55" name="Shape 355" descr="KEEP IN MIND…&#10;There are three things to keep in mind when using an array formula: &#10;&#10;1) Always select multiple cells first, and then with those cells selected, start typing the array formula. That's the key: Select multiple cells first, then start typing.&#10;&#10;2) When you're done typing an array formula, press &#10;CTRL+SHIFT +ENTER.&#10;&#10;3) Once you enter an array formula, you cannot interrupt that new array. For example, you cannot type over or delete just one of the cells. You also cannot insert a new row or column within that array.  If you need to any of that, select all of the cells that have the array formula, press Delete, and then make your changes and recreate the formula">
              <a:extLst>
                <a:ext uri="{FF2B5EF4-FFF2-40B4-BE49-F238E27FC236}">
                  <a16:creationId xmlns:a16="http://schemas.microsoft.com/office/drawing/2014/main" id="{00000000-0008-0000-0300-000063010000}"/>
                </a:ext>
              </a:extLst>
            </xdr:cNvPr>
            <xdr:cNvSpPr txBox="1"/>
          </xdr:nvSpPr>
          <xdr:spPr>
            <a:xfrm>
              <a:off x="6705603" y="10344150"/>
              <a:ext cx="3581397" cy="28194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200" b="1">
                  <a:solidFill>
                    <a:srgbClr val="F4B081"/>
                  </a:solidFill>
                  <a:latin typeface="Quattrocento Sans"/>
                  <a:ea typeface="Quattrocento Sans"/>
                  <a:cs typeface="Quattrocento Sans"/>
                  <a:sym typeface="Quattrocento Sans"/>
                </a:rPr>
                <a:t>KEEP IN MIND…</a:t>
              </a:r>
              <a:endParaRPr sz="1200" b="1">
                <a:solidFill>
                  <a:srgbClr val="F4B081"/>
                </a:solidFill>
                <a:latin typeface="Quattrocento Sans"/>
                <a:ea typeface="Quattrocento Sans"/>
                <a:cs typeface="Quattrocento Sans"/>
                <a:sym typeface="Quattrocento Sans"/>
              </a:endParaRPr>
            </a:p>
            <a:p>
              <a:pPr marL="0" lvl="0" indent="0" algn="l" rtl="0">
                <a:spcBef>
                  <a:spcPts val="0"/>
                </a:spcBef>
                <a:spcAft>
                  <a:spcPts val="0"/>
                </a:spcAft>
                <a:buNone/>
              </a:pPr>
              <a:r>
                <a:rPr lang="en-US" sz="1100">
                  <a:solidFill>
                    <a:srgbClr val="3A3838"/>
                  </a:solidFill>
                  <a:latin typeface="Calibri"/>
                  <a:ea typeface="Calibri"/>
                  <a:cs typeface="Calibri"/>
                  <a:sym typeface="Calibri"/>
                </a:rPr>
                <a:t>There are three things to keep in mind when using an array formula: </a:t>
              </a:r>
              <a:endParaRPr sz="1400"/>
            </a:p>
            <a:p>
              <a:pPr marL="0" lvl="0" indent="0" algn="l" rtl="0">
                <a:spcBef>
                  <a:spcPts val="0"/>
                </a:spcBef>
                <a:spcAft>
                  <a:spcPts val="0"/>
                </a:spcAft>
                <a:buNone/>
              </a:pPr>
              <a:endParaRPr sz="1100">
                <a:solidFill>
                  <a:srgbClr val="3A3838"/>
                </a:solidFill>
              </a:endParaRPr>
            </a:p>
            <a:p>
              <a:pPr marL="0" lvl="0" indent="0" algn="l" rtl="0">
                <a:spcBef>
                  <a:spcPts val="0"/>
                </a:spcBef>
                <a:spcAft>
                  <a:spcPts val="0"/>
                </a:spcAft>
                <a:buNone/>
              </a:pPr>
              <a:r>
                <a:rPr lang="en-US" sz="1100" b="1">
                  <a:solidFill>
                    <a:srgbClr val="3A3838"/>
                  </a:solidFill>
                  <a:latin typeface="Calibri"/>
                  <a:ea typeface="Calibri"/>
                  <a:cs typeface="Calibri"/>
                  <a:sym typeface="Calibri"/>
                </a:rPr>
                <a:t>1) </a:t>
              </a:r>
              <a:r>
                <a:rPr lang="en-US" sz="1100">
                  <a:solidFill>
                    <a:srgbClr val="3A3838"/>
                  </a:solidFill>
                  <a:latin typeface="Calibri"/>
                  <a:ea typeface="Calibri"/>
                  <a:cs typeface="Calibri"/>
                  <a:sym typeface="Calibri"/>
                </a:rPr>
                <a:t>Always select multiple cells first, and then with those cells selected, start typing the array formula. That's the key: Select multiple cells first, then start typing.</a:t>
              </a:r>
              <a:endParaRPr sz="1400"/>
            </a:p>
            <a:p>
              <a:pPr marL="0" lvl="0" indent="0" algn="l" rtl="0">
                <a:spcBef>
                  <a:spcPts val="0"/>
                </a:spcBef>
                <a:spcAft>
                  <a:spcPts val="0"/>
                </a:spcAft>
                <a:buNone/>
              </a:pPr>
              <a:endParaRPr sz="1100">
                <a:solidFill>
                  <a:srgbClr val="3A3838"/>
                </a:solidFill>
              </a:endParaRPr>
            </a:p>
            <a:p>
              <a:pPr marL="0" lvl="0" indent="0" algn="l" rtl="0">
                <a:spcBef>
                  <a:spcPts val="0"/>
                </a:spcBef>
                <a:spcAft>
                  <a:spcPts val="0"/>
                </a:spcAft>
                <a:buNone/>
              </a:pPr>
              <a:r>
                <a:rPr lang="en-US" sz="1100" b="1">
                  <a:solidFill>
                    <a:srgbClr val="3A3838"/>
                  </a:solidFill>
                  <a:latin typeface="Calibri"/>
                  <a:ea typeface="Calibri"/>
                  <a:cs typeface="Calibri"/>
                  <a:sym typeface="Calibri"/>
                </a:rPr>
                <a:t>2) </a:t>
              </a:r>
              <a:r>
                <a:rPr lang="en-US" sz="1100">
                  <a:solidFill>
                    <a:srgbClr val="3A3838"/>
                  </a:solidFill>
                  <a:latin typeface="Calibri"/>
                  <a:ea typeface="Calibri"/>
                  <a:cs typeface="Calibri"/>
                  <a:sym typeface="Calibri"/>
                </a:rPr>
                <a:t>When you're done typing an array formula, press </a:t>
              </a:r>
              <a:br>
                <a:rPr lang="en-US" sz="1100">
                  <a:solidFill>
                    <a:srgbClr val="3A3838"/>
                  </a:solidFill>
                  <a:latin typeface="Calibri"/>
                  <a:ea typeface="Calibri"/>
                  <a:cs typeface="Calibri"/>
                  <a:sym typeface="Calibri"/>
                </a:rPr>
              </a:br>
              <a:r>
                <a:rPr lang="en-US" sz="1100">
                  <a:solidFill>
                    <a:srgbClr val="3A3838"/>
                  </a:solidFill>
                  <a:latin typeface="Calibri"/>
                  <a:ea typeface="Calibri"/>
                  <a:cs typeface="Calibri"/>
                  <a:sym typeface="Calibri"/>
                </a:rPr>
                <a:t>CTRL+SHIFT +ENTER.</a:t>
              </a:r>
              <a:endParaRPr sz="1400"/>
            </a:p>
            <a:p>
              <a:pPr marL="0" lvl="0" indent="0" algn="l" rtl="0">
                <a:spcBef>
                  <a:spcPts val="0"/>
                </a:spcBef>
                <a:spcAft>
                  <a:spcPts val="0"/>
                </a:spcAft>
                <a:buNone/>
              </a:pPr>
              <a:endParaRPr sz="1100">
                <a:solidFill>
                  <a:srgbClr val="3A3838"/>
                </a:solidFill>
              </a:endParaRPr>
            </a:p>
            <a:p>
              <a:pPr marL="0" lvl="0" indent="0" algn="l" rtl="0">
                <a:spcBef>
                  <a:spcPts val="0"/>
                </a:spcBef>
                <a:spcAft>
                  <a:spcPts val="0"/>
                </a:spcAft>
                <a:buNone/>
              </a:pPr>
              <a:r>
                <a:rPr lang="en-US" sz="1100" b="1">
                  <a:solidFill>
                    <a:srgbClr val="3A3838"/>
                  </a:solidFill>
                  <a:latin typeface="Calibri"/>
                  <a:ea typeface="Calibri"/>
                  <a:cs typeface="Calibri"/>
                  <a:sym typeface="Calibri"/>
                </a:rPr>
                <a:t>3) </a:t>
              </a:r>
              <a:r>
                <a:rPr lang="en-US" sz="1100">
                  <a:solidFill>
                    <a:srgbClr val="3A3838"/>
                  </a:solidFill>
                  <a:latin typeface="Calibri"/>
                  <a:ea typeface="Calibri"/>
                  <a:cs typeface="Calibri"/>
                  <a:sym typeface="Calibri"/>
                </a:rPr>
                <a:t>Once you enter an array formula, you cannot interrupt that new array. For example, you cannot type over or delete just one of the cells. You also cannot insert a new row or column within that array.  If you need to any of that, select all of the cells that have the array formula, press Delete, and then make your changes and recreate the formula.</a:t>
              </a:r>
              <a:endParaRPr sz="1400"/>
            </a:p>
          </xdr:txBody>
        </xdr:sp>
        <xdr:pic>
          <xdr:nvPicPr>
            <xdr:cNvPr id="356" name="Shape 356" descr="Head with Gears">
              <a:extLst>
                <a:ext uri="{FF2B5EF4-FFF2-40B4-BE49-F238E27FC236}">
                  <a16:creationId xmlns:a16="http://schemas.microsoft.com/office/drawing/2014/main" id="{00000000-0008-0000-0300-000064010000}"/>
                </a:ext>
              </a:extLst>
            </xdr:cNvPr>
            <xdr:cNvPicPr preferRelativeResize="0"/>
          </xdr:nvPicPr>
          <xdr:blipFill rotWithShape="1">
            <a:blip xmlns:r="http://schemas.openxmlformats.org/officeDocument/2006/relationships" r:embed="rId2">
              <a:alphaModFix/>
            </a:blip>
            <a:srcRect/>
            <a:stretch/>
          </xdr:blipFill>
          <xdr:spPr>
            <a:xfrm flipH="1">
              <a:off x="6403974" y="10408233"/>
              <a:ext cx="377826" cy="377826"/>
            </a:xfrm>
            <a:prstGeom prst="rect">
              <a:avLst/>
            </a:prstGeom>
            <a:noFill/>
            <a:ln>
              <a:noFill/>
            </a:ln>
          </xdr:spPr>
        </xdr:pic>
      </xdr:grpSp>
    </xdr:grpSp>
    <xdr:clientData fLocksWithSheet="0"/>
  </xdr:oneCellAnchor>
  <xdr:oneCellAnchor>
    <xdr:from>
      <xdr:col>2</xdr:col>
      <xdr:colOff>76200</xdr:colOff>
      <xdr:row>66</xdr:row>
      <xdr:rowOff>28575</xdr:rowOff>
    </xdr:from>
    <xdr:ext cx="3724275" cy="971550"/>
    <xdr:grpSp>
      <xdr:nvGrpSpPr>
        <xdr:cNvPr id="14" name="Shape 2">
          <a:extLst>
            <a:ext uri="{FF2B5EF4-FFF2-40B4-BE49-F238E27FC236}">
              <a16:creationId xmlns:a16="http://schemas.microsoft.com/office/drawing/2014/main" id="{00000000-0008-0000-0300-00000E000000}"/>
            </a:ext>
          </a:extLst>
        </xdr:cNvPr>
        <xdr:cNvGrpSpPr/>
      </xdr:nvGrpSpPr>
      <xdr:grpSpPr>
        <a:xfrm>
          <a:off x="6447653" y="13427933"/>
          <a:ext cx="3724275" cy="971550"/>
          <a:chOff x="3483863" y="3294225"/>
          <a:chExt cx="3724275" cy="971550"/>
        </a:xfrm>
      </xdr:grpSpPr>
      <xdr:grpSp>
        <xdr:nvGrpSpPr>
          <xdr:cNvPr id="357" name="Shape 357" descr="EXCEL SPEAK: Because array formulas require CTRL+SHIFT+ENTER, some people informally call array formulas, &quot;CSE formulas">
            <a:extLst>
              <a:ext uri="{FF2B5EF4-FFF2-40B4-BE49-F238E27FC236}">
                <a16:creationId xmlns:a16="http://schemas.microsoft.com/office/drawing/2014/main" id="{00000000-0008-0000-0300-000065010000}"/>
              </a:ext>
            </a:extLst>
          </xdr:cNvPr>
          <xdr:cNvGrpSpPr/>
        </xdr:nvGrpSpPr>
        <xdr:grpSpPr>
          <a:xfrm>
            <a:off x="3483863" y="3294225"/>
            <a:ext cx="3724275" cy="971550"/>
            <a:chOff x="6448425" y="13201650"/>
            <a:chExt cx="3733799" cy="948102"/>
          </a:xfrm>
        </xdr:grpSpPr>
        <xdr:sp macro="" textlink="">
          <xdr:nvSpPr>
            <xdr:cNvPr id="15" name="Shape 4">
              <a:extLst>
                <a:ext uri="{FF2B5EF4-FFF2-40B4-BE49-F238E27FC236}">
                  <a16:creationId xmlns:a16="http://schemas.microsoft.com/office/drawing/2014/main" id="{00000000-0008-0000-0300-00000F000000}"/>
                </a:ext>
              </a:extLst>
            </xdr:cNvPr>
            <xdr:cNvSpPr/>
          </xdr:nvSpPr>
          <xdr:spPr>
            <a:xfrm>
              <a:off x="6448425" y="13201650"/>
              <a:ext cx="3733775" cy="94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pic>
          <xdr:nvPicPr>
            <xdr:cNvPr id="358" name="Shape 358" descr="Person">
              <a:extLst>
                <a:ext uri="{FF2B5EF4-FFF2-40B4-BE49-F238E27FC236}">
                  <a16:creationId xmlns:a16="http://schemas.microsoft.com/office/drawing/2014/main" id="{00000000-0008-0000-0300-000066010000}"/>
                </a:ext>
              </a:extLst>
            </xdr:cNvPr>
            <xdr:cNvPicPr preferRelativeResize="0"/>
          </xdr:nvPicPr>
          <xdr:blipFill rotWithShape="1">
            <a:blip xmlns:r="http://schemas.openxmlformats.org/officeDocument/2006/relationships" r:embed="rId3">
              <a:alphaModFix/>
            </a:blip>
            <a:srcRect/>
            <a:stretch/>
          </xdr:blipFill>
          <xdr:spPr>
            <a:xfrm>
              <a:off x="6515958" y="13339384"/>
              <a:ext cx="249354" cy="249353"/>
            </a:xfrm>
            <a:prstGeom prst="rect">
              <a:avLst/>
            </a:prstGeom>
            <a:noFill/>
            <a:ln>
              <a:noFill/>
            </a:ln>
          </xdr:spPr>
        </xdr:pic>
        <xdr:sp macro="" textlink="">
          <xdr:nvSpPr>
            <xdr:cNvPr id="359" name="Shape 359" descr="Quote">
              <a:extLst>
                <a:ext uri="{FF2B5EF4-FFF2-40B4-BE49-F238E27FC236}">
                  <a16:creationId xmlns:a16="http://schemas.microsoft.com/office/drawing/2014/main" id="{00000000-0008-0000-0300-000067010000}"/>
                </a:ext>
              </a:extLst>
            </xdr:cNvPr>
            <xdr:cNvSpPr/>
          </xdr:nvSpPr>
          <xdr:spPr>
            <a:xfrm flipH="1">
              <a:off x="6448425" y="13272545"/>
              <a:ext cx="135067" cy="109164"/>
            </a:xfrm>
            <a:prstGeom prst="wedgeEllipseCallout">
              <a:avLst>
                <a:gd name="adj1" fmla="val -53664"/>
                <a:gd name="adj2" fmla="val 94316"/>
              </a:avLst>
            </a:prstGeom>
            <a:solidFill>
              <a:srgbClr val="F4B08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60" name="Shape 360" descr="EXCEL SPEAK&#10;Because array formulas require CTRL+SHIFT+ENTER, some people informally call array formulas, &quot;CSE formulas">
              <a:extLst>
                <a:ext uri="{FF2B5EF4-FFF2-40B4-BE49-F238E27FC236}">
                  <a16:creationId xmlns:a16="http://schemas.microsoft.com/office/drawing/2014/main" id="{00000000-0008-0000-0300-000068010000}"/>
                </a:ext>
              </a:extLst>
            </xdr:cNvPr>
            <xdr:cNvSpPr txBox="1"/>
          </xdr:nvSpPr>
          <xdr:spPr>
            <a:xfrm>
              <a:off x="6695693" y="13201650"/>
              <a:ext cx="3486531" cy="948102"/>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200" b="1">
                  <a:solidFill>
                    <a:srgbClr val="F4B081"/>
                  </a:solidFill>
                  <a:latin typeface="Quattrocento Sans"/>
                  <a:ea typeface="Quattrocento Sans"/>
                  <a:cs typeface="Quattrocento Sans"/>
                  <a:sym typeface="Quattrocento Sans"/>
                </a:rPr>
                <a:t>EXCEL SPEAK</a:t>
              </a:r>
              <a:endParaRPr sz="1200" b="1">
                <a:solidFill>
                  <a:srgbClr val="F4B081"/>
                </a:solidFill>
                <a:latin typeface="Quattrocento Sans"/>
                <a:ea typeface="Quattrocento Sans"/>
                <a:cs typeface="Quattrocento Sans"/>
                <a:sym typeface="Quattrocento Sans"/>
              </a:endParaRPr>
            </a:p>
            <a:p>
              <a:pPr marL="0" lvl="0" indent="0" algn="l" rtl="0">
                <a:spcBef>
                  <a:spcPts val="0"/>
                </a:spcBef>
                <a:spcAft>
                  <a:spcPts val="0"/>
                </a:spcAft>
                <a:buNone/>
              </a:pPr>
              <a:r>
                <a:rPr lang="en-US" sz="1100">
                  <a:solidFill>
                    <a:srgbClr val="3A3838"/>
                  </a:solidFill>
                  <a:latin typeface="Calibri"/>
                  <a:ea typeface="Calibri"/>
                  <a:cs typeface="Calibri"/>
                  <a:sym typeface="Calibri"/>
                </a:rPr>
                <a:t>Because array formulas require CTRL+SHIFT+ENTER, some people informally call array formulas, "CSE formulas." </a:t>
              </a:r>
              <a:endParaRPr sz="1400"/>
            </a:p>
          </xdr:txBody>
        </xdr:sp>
      </xdr:grpSp>
    </xdr:grpSp>
    <xdr:clientData fLocksWithSheet="0"/>
  </xdr:oneCellAnchor>
  <xdr:oneCellAnchor>
    <xdr:from>
      <xdr:col>0</xdr:col>
      <xdr:colOff>390525</xdr:colOff>
      <xdr:row>70</xdr:row>
      <xdr:rowOff>171450</xdr:rowOff>
    </xdr:from>
    <xdr:ext cx="5695950" cy="3343275"/>
    <xdr:grpSp>
      <xdr:nvGrpSpPr>
        <xdr:cNvPr id="16" name="Shape 2">
          <a:extLst>
            <a:ext uri="{FF2B5EF4-FFF2-40B4-BE49-F238E27FC236}">
              <a16:creationId xmlns:a16="http://schemas.microsoft.com/office/drawing/2014/main" id="{00000000-0008-0000-0300-000010000000}"/>
            </a:ext>
          </a:extLst>
        </xdr:cNvPr>
        <xdr:cNvGrpSpPr/>
      </xdr:nvGrpSpPr>
      <xdr:grpSpPr>
        <a:xfrm>
          <a:off x="390525" y="14368849"/>
          <a:ext cx="5695950" cy="3343275"/>
          <a:chOff x="2498025" y="2108363"/>
          <a:chExt cx="5695950" cy="3343275"/>
        </a:xfrm>
      </xdr:grpSpPr>
      <xdr:grpSp>
        <xdr:nvGrpSpPr>
          <xdr:cNvPr id="361" name="Shape 361" descr="More information on the web, contains links to the web&#10;Back to top&#10;Next step">
            <a:extLst>
              <a:ext uri="{FF2B5EF4-FFF2-40B4-BE49-F238E27FC236}">
                <a16:creationId xmlns:a16="http://schemas.microsoft.com/office/drawing/2014/main" id="{00000000-0008-0000-0300-000069010000}"/>
              </a:ext>
            </a:extLst>
          </xdr:cNvPr>
          <xdr:cNvGrpSpPr/>
        </xdr:nvGrpSpPr>
        <xdr:grpSpPr>
          <a:xfrm>
            <a:off x="2498025" y="2108363"/>
            <a:ext cx="5695950" cy="3343275"/>
            <a:chOff x="390525" y="14468475"/>
            <a:chExt cx="5695950" cy="3267075"/>
          </a:xfrm>
        </xdr:grpSpPr>
        <xdr:sp macro="" textlink="">
          <xdr:nvSpPr>
            <xdr:cNvPr id="17" name="Shape 4">
              <a:extLst>
                <a:ext uri="{FF2B5EF4-FFF2-40B4-BE49-F238E27FC236}">
                  <a16:creationId xmlns:a16="http://schemas.microsoft.com/office/drawing/2014/main" id="{00000000-0008-0000-0300-000011000000}"/>
                </a:ext>
              </a:extLst>
            </xdr:cNvPr>
            <xdr:cNvSpPr/>
          </xdr:nvSpPr>
          <xdr:spPr>
            <a:xfrm>
              <a:off x="390525" y="14468475"/>
              <a:ext cx="5695950" cy="32670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62" name="Shape 362" descr="Background">
              <a:extLst>
                <a:ext uri="{FF2B5EF4-FFF2-40B4-BE49-F238E27FC236}">
                  <a16:creationId xmlns:a16="http://schemas.microsoft.com/office/drawing/2014/main" id="{00000000-0008-0000-0300-00006A010000}"/>
                </a:ext>
              </a:extLst>
            </xdr:cNvPr>
            <xdr:cNvSpPr/>
          </xdr:nvSpPr>
          <xdr:spPr>
            <a:xfrm>
              <a:off x="390525" y="14468475"/>
              <a:ext cx="5695950" cy="3267075"/>
            </a:xfrm>
            <a:prstGeom prst="rect">
              <a:avLst/>
            </a:prstGeom>
            <a:solidFill>
              <a:srgbClr val="F5F5F5"/>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363" name="Shape 363" descr="More information on the web">
              <a:extLst>
                <a:ext uri="{FF2B5EF4-FFF2-40B4-BE49-F238E27FC236}">
                  <a16:creationId xmlns:a16="http://schemas.microsoft.com/office/drawing/2014/main" id="{00000000-0008-0000-0300-00006B010000}"/>
                </a:ext>
              </a:extLst>
            </xdr:cNvPr>
            <xdr:cNvSpPr txBox="1"/>
          </xdr:nvSpPr>
          <xdr:spPr>
            <a:xfrm>
              <a:off x="622273" y="14587173"/>
              <a:ext cx="5216551" cy="490903"/>
            </a:xfrm>
            <a:prstGeom prst="rect">
              <a:avLst/>
            </a:prstGeom>
            <a:noFill/>
            <a:ln>
              <a:noFill/>
            </a:ln>
          </xdr:spPr>
          <xdr:txBody>
            <a:bodyPr spcFirstLastPara="1" wrap="square" lIns="0" tIns="45700" rIns="0" bIns="45700" anchor="t" anchorCtr="0">
              <a:noAutofit/>
            </a:bodyPr>
            <a:lstStyle/>
            <a:p>
              <a:pPr marL="0" marR="0" lvl="0" indent="0" algn="l" rtl="0">
                <a:lnSpc>
                  <a:spcPct val="100000"/>
                </a:lnSpc>
                <a:spcBef>
                  <a:spcPts val="0"/>
                </a:spcBef>
                <a:spcAft>
                  <a:spcPts val="0"/>
                </a:spcAft>
                <a:buClr>
                  <a:srgbClr val="3A3838"/>
                </a:buClr>
                <a:buSzPts val="2200"/>
                <a:buFont typeface="Quattrocento Sans"/>
                <a:buNone/>
              </a:pPr>
              <a:r>
                <a:rPr lang="en-US" sz="2200" b="0" i="0" u="none" strike="noStrike" cap="none">
                  <a:solidFill>
                    <a:srgbClr val="3A3838"/>
                  </a:solidFill>
                  <a:latin typeface="Quattrocento Sans"/>
                  <a:ea typeface="Quattrocento Sans"/>
                  <a:cs typeface="Quattrocento Sans"/>
                  <a:sym typeface="Quattrocento Sans"/>
                </a:rPr>
                <a:t>More information on the web</a:t>
              </a:r>
              <a:endParaRPr sz="2200" b="0">
                <a:solidFill>
                  <a:srgbClr val="3A3838"/>
                </a:solidFill>
                <a:latin typeface="Quattrocento Sans"/>
                <a:ea typeface="Quattrocento Sans"/>
                <a:cs typeface="Quattrocento Sans"/>
                <a:sym typeface="Quattrocento Sans"/>
              </a:endParaRPr>
            </a:p>
          </xdr:txBody>
        </xdr:sp>
        <xdr:cxnSp macro="">
          <xdr:nvCxnSpPr>
            <xdr:cNvPr id="364" name="Shape 364" descr="Decorative line">
              <a:extLst>
                <a:ext uri="{FF2B5EF4-FFF2-40B4-BE49-F238E27FC236}">
                  <a16:creationId xmlns:a16="http://schemas.microsoft.com/office/drawing/2014/main" id="{00000000-0008-0000-0300-00006C010000}"/>
                </a:ext>
              </a:extLst>
            </xdr:cNvPr>
            <xdr:cNvCxnSpPr/>
          </xdr:nvCxnSpPr>
          <xdr:spPr>
            <a:xfrm>
              <a:off x="625449" y="15094586"/>
              <a:ext cx="5213376" cy="0"/>
            </a:xfrm>
            <a:prstGeom prst="straightConnector1">
              <a:avLst/>
            </a:prstGeom>
            <a:noFill/>
            <a:ln w="25400" cap="flat" cmpd="sng">
              <a:solidFill>
                <a:srgbClr val="217346"/>
              </a:solidFill>
              <a:prstDash val="solid"/>
              <a:round/>
              <a:headEnd type="none" w="sm" len="sm"/>
              <a:tailEnd type="none" w="sm" len="sm"/>
            </a:ln>
          </xdr:spPr>
        </xdr:cxnSp>
        <xdr:sp macro="" textlink="">
          <xdr:nvSpPr>
            <xdr:cNvPr id="365" name="Shape 365" descr="Back to top, hyperlinked to cell A1">
              <a:hlinkClick xmlns:r="http://schemas.openxmlformats.org/officeDocument/2006/relationships" r:id="rId4"/>
              <a:extLst>
                <a:ext uri="{FF2B5EF4-FFF2-40B4-BE49-F238E27FC236}">
                  <a16:creationId xmlns:a16="http://schemas.microsoft.com/office/drawing/2014/main" id="{00000000-0008-0000-0300-00006D010000}"/>
                </a:ext>
              </a:extLst>
            </xdr:cNvPr>
            <xdr:cNvSpPr/>
          </xdr:nvSpPr>
          <xdr:spPr>
            <a:xfrm>
              <a:off x="625449" y="16971252"/>
              <a:ext cx="2723067" cy="536454"/>
            </a:xfrm>
            <a:prstGeom prst="upArrowCallout">
              <a:avLst>
                <a:gd name="adj1" fmla="val 25000"/>
                <a:gd name="adj2" fmla="val 25000"/>
                <a:gd name="adj3" fmla="val 25000"/>
                <a:gd name="adj4" fmla="val 64977"/>
              </a:avLst>
            </a:prstGeom>
            <a:solidFill>
              <a:srgbClr val="D8D8D8"/>
            </a:solidFill>
            <a:ln w="12700" cap="flat" cmpd="sng">
              <a:solidFill>
                <a:srgbClr val="0B744D">
                  <a:alpha val="49803"/>
                </a:srgb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a:solidFill>
                    <a:srgbClr val="0B744D"/>
                  </a:solidFill>
                  <a:latin typeface="Quattrocento Sans"/>
                  <a:ea typeface="Quattrocento Sans"/>
                  <a:cs typeface="Quattrocento Sans"/>
                  <a:sym typeface="Quattrocento Sans"/>
                </a:rPr>
                <a:t>Back to top</a:t>
              </a:r>
              <a:endParaRPr sz="1400"/>
            </a:p>
          </xdr:txBody>
        </xdr:sp>
        <xdr:cxnSp macro="">
          <xdr:nvCxnSpPr>
            <xdr:cNvPr id="366" name="Shape 366" descr="Decorative line">
              <a:extLst>
                <a:ext uri="{FF2B5EF4-FFF2-40B4-BE49-F238E27FC236}">
                  <a16:creationId xmlns:a16="http://schemas.microsoft.com/office/drawing/2014/main" id="{00000000-0008-0000-0300-00006E010000}"/>
                </a:ext>
              </a:extLst>
            </xdr:cNvPr>
            <xdr:cNvCxnSpPr/>
          </xdr:nvCxnSpPr>
          <xdr:spPr>
            <a:xfrm>
              <a:off x="625449" y="16725900"/>
              <a:ext cx="5213376" cy="0"/>
            </a:xfrm>
            <a:prstGeom prst="straightConnector1">
              <a:avLst/>
            </a:prstGeom>
            <a:noFill/>
            <a:ln w="25400" cap="flat" cmpd="sng">
              <a:solidFill>
                <a:srgbClr val="217346"/>
              </a:solidFill>
              <a:prstDash val="solid"/>
              <a:round/>
              <a:headEnd type="none" w="sm" len="sm"/>
              <a:tailEnd type="none" w="sm" len="sm"/>
            </a:ln>
          </xdr:spPr>
        </xdr:cxnSp>
        <xdr:sp macro="" textlink="">
          <xdr:nvSpPr>
            <xdr:cNvPr id="367" name="Shape 367" descr="Next step button, hyperlinked to next sheet">
              <a:hlinkClick xmlns:r="http://schemas.openxmlformats.org/officeDocument/2006/relationships" r:id="rId1"/>
              <a:extLst>
                <a:ext uri="{FF2B5EF4-FFF2-40B4-BE49-F238E27FC236}">
                  <a16:creationId xmlns:a16="http://schemas.microsoft.com/office/drawing/2014/main" id="{00000000-0008-0000-0300-00006F010000}"/>
                </a:ext>
              </a:extLst>
            </xdr:cNvPr>
            <xdr:cNvSpPr/>
          </xdr:nvSpPr>
          <xdr:spPr>
            <a:xfrm>
              <a:off x="4684395" y="17161752"/>
              <a:ext cx="1154430" cy="348492"/>
            </a:xfrm>
            <a:prstGeom prst="rightArrowCallout">
              <a:avLst>
                <a:gd name="adj1" fmla="val 32829"/>
                <a:gd name="adj2" fmla="val 31524"/>
                <a:gd name="adj3" fmla="val 25000"/>
                <a:gd name="adj4" fmla="val 86357"/>
              </a:avLst>
            </a:prstGeom>
            <a:solidFill>
              <a:schemeClr val="lt1"/>
            </a:solidFill>
            <a:ln w="12700" cap="flat" cmpd="sng">
              <a:solidFill>
                <a:srgbClr val="0B744D"/>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a:solidFill>
                    <a:srgbClr val="0B744D"/>
                  </a:solidFill>
                  <a:latin typeface="Quattrocento Sans"/>
                  <a:ea typeface="Quattrocento Sans"/>
                  <a:cs typeface="Quattrocento Sans"/>
                  <a:sym typeface="Quattrocento Sans"/>
                </a:rPr>
                <a:t>Next step</a:t>
              </a:r>
              <a:endParaRPr sz="1400"/>
            </a:p>
          </xdr:txBody>
        </xdr:sp>
        <xdr:sp macro="" textlink="">
          <xdr:nvSpPr>
            <xdr:cNvPr id="368" name="Shape 368" descr="Transpose (rotate) data from rows to columns or vice versa, hyperlinked to web">
              <a:hlinkClick xmlns:r="http://schemas.openxmlformats.org/officeDocument/2006/relationships" r:id="rId5"/>
              <a:extLst>
                <a:ext uri="{FF2B5EF4-FFF2-40B4-BE49-F238E27FC236}">
                  <a16:creationId xmlns:a16="http://schemas.microsoft.com/office/drawing/2014/main" id="{00000000-0008-0000-0300-000070010000}"/>
                </a:ext>
              </a:extLst>
            </xdr:cNvPr>
            <xdr:cNvSpPr txBox="1"/>
          </xdr:nvSpPr>
          <xdr:spPr>
            <a:xfrm>
              <a:off x="1029308" y="15263323"/>
              <a:ext cx="3809392" cy="310052"/>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u="sng">
                  <a:solidFill>
                    <a:srgbClr val="3F3F3F"/>
                  </a:solidFill>
                  <a:latin typeface="Quattrocento Sans"/>
                  <a:ea typeface="Quattrocento Sans"/>
                  <a:cs typeface="Quattrocento Sans"/>
                  <a:sym typeface="Quattrocento Sans"/>
                </a:rPr>
                <a:t>Transpose (rotate) data from rows to columns or vice versa</a:t>
              </a:r>
              <a:endParaRPr sz="1400"/>
            </a:p>
          </xdr:txBody>
        </xdr:sp>
        <xdr:pic>
          <xdr:nvPicPr>
            <xdr:cNvPr id="369" name="Shape 369" descr="Arrow">
              <a:hlinkClick xmlns:r="http://schemas.openxmlformats.org/officeDocument/2006/relationships" r:id="rId5"/>
              <a:extLst>
                <a:ext uri="{FF2B5EF4-FFF2-40B4-BE49-F238E27FC236}">
                  <a16:creationId xmlns:a16="http://schemas.microsoft.com/office/drawing/2014/main" id="{00000000-0008-0000-0300-000071010000}"/>
                </a:ext>
              </a:extLst>
            </xdr:cNvPr>
            <xdr:cNvPicPr preferRelativeResize="0"/>
          </xdr:nvPicPr>
          <xdr:blipFill rotWithShape="1">
            <a:blip xmlns:r="http://schemas.openxmlformats.org/officeDocument/2006/relationships" r:embed="rId6">
              <a:alphaModFix/>
            </a:blip>
            <a:srcRect/>
            <a:stretch/>
          </xdr:blipFill>
          <xdr:spPr>
            <a:xfrm>
              <a:off x="602028" y="15168047"/>
              <a:ext cx="454554" cy="448472"/>
            </a:xfrm>
            <a:prstGeom prst="rect">
              <a:avLst/>
            </a:prstGeom>
            <a:noFill/>
            <a:ln>
              <a:noFill/>
            </a:ln>
          </xdr:spPr>
        </xdr:pic>
        <xdr:sp macro="" textlink="">
          <xdr:nvSpPr>
            <xdr:cNvPr id="370" name="Shape 370" descr="All about the TRANPOSE function, hyperlinked to web">
              <a:hlinkClick xmlns:r="http://schemas.openxmlformats.org/officeDocument/2006/relationships" r:id="rId7"/>
              <a:extLst>
                <a:ext uri="{FF2B5EF4-FFF2-40B4-BE49-F238E27FC236}">
                  <a16:creationId xmlns:a16="http://schemas.microsoft.com/office/drawing/2014/main" id="{00000000-0008-0000-0300-000072010000}"/>
                </a:ext>
              </a:extLst>
            </xdr:cNvPr>
            <xdr:cNvSpPr txBox="1"/>
          </xdr:nvSpPr>
          <xdr:spPr>
            <a:xfrm>
              <a:off x="1029308" y="15727931"/>
              <a:ext cx="2342542" cy="290453"/>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u="sng">
                  <a:solidFill>
                    <a:srgbClr val="3F3F3F"/>
                  </a:solidFill>
                  <a:latin typeface="Quattrocento Sans"/>
                  <a:ea typeface="Quattrocento Sans"/>
                  <a:cs typeface="Quattrocento Sans"/>
                  <a:sym typeface="Quattrocento Sans"/>
                </a:rPr>
                <a:t>All about the TRANSPOSE function</a:t>
              </a:r>
              <a:endParaRPr sz="1400"/>
            </a:p>
          </xdr:txBody>
        </xdr:sp>
        <xdr:pic>
          <xdr:nvPicPr>
            <xdr:cNvPr id="371" name="Shape 371" descr="Arrow">
              <a:hlinkClick xmlns:r="http://schemas.openxmlformats.org/officeDocument/2006/relationships" r:id="rId7"/>
              <a:extLst>
                <a:ext uri="{FF2B5EF4-FFF2-40B4-BE49-F238E27FC236}">
                  <a16:creationId xmlns:a16="http://schemas.microsoft.com/office/drawing/2014/main" id="{00000000-0008-0000-0300-000073010000}"/>
                </a:ext>
              </a:extLst>
            </xdr:cNvPr>
            <xdr:cNvPicPr preferRelativeResize="0"/>
          </xdr:nvPicPr>
          <xdr:blipFill rotWithShape="1">
            <a:blip xmlns:r="http://schemas.openxmlformats.org/officeDocument/2006/relationships" r:embed="rId6">
              <a:alphaModFix/>
            </a:blip>
            <a:srcRect/>
            <a:stretch/>
          </xdr:blipFill>
          <xdr:spPr>
            <a:xfrm>
              <a:off x="602028" y="15625902"/>
              <a:ext cx="454554" cy="448472"/>
            </a:xfrm>
            <a:prstGeom prst="rect">
              <a:avLst/>
            </a:prstGeom>
            <a:noFill/>
            <a:ln>
              <a:noFill/>
            </a:ln>
          </xdr:spPr>
        </xdr:pic>
        <xdr:sp macro="" textlink="">
          <xdr:nvSpPr>
            <xdr:cNvPr id="372" name="Shape 372" descr="Create an array formula, hyperlinked to web">
              <a:hlinkClick xmlns:r="http://schemas.openxmlformats.org/officeDocument/2006/relationships" r:id="rId8"/>
              <a:extLst>
                <a:ext uri="{FF2B5EF4-FFF2-40B4-BE49-F238E27FC236}">
                  <a16:creationId xmlns:a16="http://schemas.microsoft.com/office/drawing/2014/main" id="{00000000-0008-0000-0300-000074010000}"/>
                </a:ext>
              </a:extLst>
            </xdr:cNvPr>
            <xdr:cNvSpPr txBox="1"/>
          </xdr:nvSpPr>
          <xdr:spPr>
            <a:xfrm>
              <a:off x="1029308" y="16195097"/>
              <a:ext cx="1742467" cy="290453"/>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u="sng">
                  <a:solidFill>
                    <a:srgbClr val="3F3F3F"/>
                  </a:solidFill>
                  <a:latin typeface="Quattrocento Sans"/>
                  <a:ea typeface="Quattrocento Sans"/>
                  <a:cs typeface="Quattrocento Sans"/>
                  <a:sym typeface="Quattrocento Sans"/>
                </a:rPr>
                <a:t>Create an array formula</a:t>
              </a:r>
              <a:endParaRPr sz="1400"/>
            </a:p>
          </xdr:txBody>
        </xdr:sp>
        <xdr:pic>
          <xdr:nvPicPr>
            <xdr:cNvPr id="373" name="Shape 373" descr="Arrow">
              <a:hlinkClick xmlns:r="http://schemas.openxmlformats.org/officeDocument/2006/relationships" r:id="rId8"/>
              <a:extLst>
                <a:ext uri="{FF2B5EF4-FFF2-40B4-BE49-F238E27FC236}">
                  <a16:creationId xmlns:a16="http://schemas.microsoft.com/office/drawing/2014/main" id="{00000000-0008-0000-0300-000075010000}"/>
                </a:ext>
              </a:extLst>
            </xdr:cNvPr>
            <xdr:cNvPicPr preferRelativeResize="0"/>
          </xdr:nvPicPr>
          <xdr:blipFill rotWithShape="1">
            <a:blip xmlns:r="http://schemas.openxmlformats.org/officeDocument/2006/relationships" r:embed="rId6">
              <a:alphaModFix/>
            </a:blip>
            <a:srcRect/>
            <a:stretch/>
          </xdr:blipFill>
          <xdr:spPr>
            <a:xfrm>
              <a:off x="602028" y="16093067"/>
              <a:ext cx="454554" cy="448472"/>
            </a:xfrm>
            <a:prstGeom prst="rect">
              <a:avLst/>
            </a:prstGeom>
            <a:noFill/>
            <a:ln>
              <a:noFill/>
            </a:ln>
          </xdr:spPr>
        </xdr:pic>
      </xdr:grpSp>
    </xdr:grpSp>
    <xdr:clientData fLocksWithSheet="0"/>
  </xdr:oneCellAnchor>
  <xdr:oneCellAnchor>
    <xdr:from>
      <xdr:col>1</xdr:col>
      <xdr:colOff>3895725</xdr:colOff>
      <xdr:row>8</xdr:row>
      <xdr:rowOff>180975</xdr:rowOff>
    </xdr:from>
    <xdr:ext cx="542925" cy="666750"/>
    <xdr:grpSp>
      <xdr:nvGrpSpPr>
        <xdr:cNvPr id="18" name="Shape 2">
          <a:extLst>
            <a:ext uri="{FF2B5EF4-FFF2-40B4-BE49-F238E27FC236}">
              <a16:creationId xmlns:a16="http://schemas.microsoft.com/office/drawing/2014/main" id="{00000000-0008-0000-0300-000012000000}"/>
            </a:ext>
          </a:extLst>
        </xdr:cNvPr>
        <xdr:cNvGrpSpPr/>
      </xdr:nvGrpSpPr>
      <xdr:grpSpPr>
        <a:xfrm>
          <a:off x="4745252" y="2291921"/>
          <a:ext cx="542925" cy="666750"/>
          <a:chOff x="5074538" y="3446625"/>
          <a:chExt cx="557803" cy="666750"/>
        </a:xfrm>
      </xdr:grpSpPr>
      <xdr:grpSp>
        <xdr:nvGrpSpPr>
          <xdr:cNvPr id="374" name="Shape 374" descr="Paste button and Arrow">
            <a:extLst>
              <a:ext uri="{FF2B5EF4-FFF2-40B4-BE49-F238E27FC236}">
                <a16:creationId xmlns:a16="http://schemas.microsoft.com/office/drawing/2014/main" id="{00000000-0008-0000-0300-000076010000}"/>
              </a:ext>
            </a:extLst>
          </xdr:cNvPr>
          <xdr:cNvGrpSpPr/>
        </xdr:nvGrpSpPr>
        <xdr:grpSpPr>
          <a:xfrm>
            <a:off x="5074538" y="3446625"/>
            <a:ext cx="557803" cy="666750"/>
            <a:chOff x="4838700" y="2324100"/>
            <a:chExt cx="559907" cy="666667"/>
          </a:xfrm>
        </xdr:grpSpPr>
        <xdr:sp macro="" textlink="">
          <xdr:nvSpPr>
            <xdr:cNvPr id="19" name="Shape 4">
              <a:extLst>
                <a:ext uri="{FF2B5EF4-FFF2-40B4-BE49-F238E27FC236}">
                  <a16:creationId xmlns:a16="http://schemas.microsoft.com/office/drawing/2014/main" id="{00000000-0008-0000-0300-000013000000}"/>
                </a:ext>
              </a:extLst>
            </xdr:cNvPr>
            <xdr:cNvSpPr/>
          </xdr:nvSpPr>
          <xdr:spPr>
            <a:xfrm>
              <a:off x="4838700" y="2324100"/>
              <a:ext cx="544950" cy="666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pic>
          <xdr:nvPicPr>
            <xdr:cNvPr id="375" name="Shape 375" descr="Paste button">
              <a:extLst>
                <a:ext uri="{FF2B5EF4-FFF2-40B4-BE49-F238E27FC236}">
                  <a16:creationId xmlns:a16="http://schemas.microsoft.com/office/drawing/2014/main" id="{00000000-0008-0000-0300-000077010000}"/>
                </a:ext>
              </a:extLst>
            </xdr:cNvPr>
            <xdr:cNvPicPr preferRelativeResize="0"/>
          </xdr:nvPicPr>
          <xdr:blipFill rotWithShape="1">
            <a:blip xmlns:r="http://schemas.openxmlformats.org/officeDocument/2006/relationships" r:embed="rId9">
              <a:alphaModFix/>
            </a:blip>
            <a:srcRect/>
            <a:stretch/>
          </xdr:blipFill>
          <xdr:spPr>
            <a:xfrm>
              <a:off x="4838700" y="2324100"/>
              <a:ext cx="409524" cy="666667"/>
            </a:xfrm>
            <a:prstGeom prst="rect">
              <a:avLst/>
            </a:prstGeom>
            <a:noFill/>
            <a:ln w="9525" cap="flat" cmpd="sng">
              <a:solidFill>
                <a:srgbClr val="BFBFBF"/>
              </a:solidFill>
              <a:prstDash val="solid"/>
              <a:round/>
              <a:headEnd type="none" w="sm" len="sm"/>
              <a:tailEnd type="none" w="sm" len="sm"/>
            </a:ln>
          </xdr:spPr>
        </xdr:pic>
        <xdr:sp macro="" textlink="">
          <xdr:nvSpPr>
            <xdr:cNvPr id="376" name="Shape 376" descr="Arrow">
              <a:extLst>
                <a:ext uri="{FF2B5EF4-FFF2-40B4-BE49-F238E27FC236}">
                  <a16:creationId xmlns:a16="http://schemas.microsoft.com/office/drawing/2014/main" id="{00000000-0008-0000-0300-000078010000}"/>
                </a:ext>
              </a:extLst>
            </xdr:cNvPr>
            <xdr:cNvSpPr/>
          </xdr:nvSpPr>
          <xdr:spPr>
            <a:xfrm rot="10529789" flipH="1">
              <a:off x="4920960" y="2507914"/>
              <a:ext cx="462713" cy="398577"/>
            </a:xfrm>
            <a:prstGeom prst="arc">
              <a:avLst>
                <a:gd name="adj1" fmla="val 15011426"/>
                <a:gd name="adj2" fmla="val 20926965"/>
              </a:avLst>
            </a:prstGeom>
            <a:noFill/>
            <a:ln w="19050" cap="flat" cmpd="sng">
              <a:solidFill>
                <a:srgbClr val="217346"/>
              </a:solidFill>
              <a:prstDash val="dot"/>
              <a:round/>
              <a:headEnd type="triangle" w="med" len="med"/>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grpSp>
    </xdr:grpSp>
    <xdr:clientData fLocksWithSheet="0"/>
  </xdr:oneCellAnchor>
  <xdr:oneCellAnchor>
    <xdr:from>
      <xdr:col>5</xdr:col>
      <xdr:colOff>304800</xdr:colOff>
      <xdr:row>7</xdr:row>
      <xdr:rowOff>142875</xdr:rowOff>
    </xdr:from>
    <xdr:ext cx="1581150" cy="952500"/>
    <xdr:grpSp>
      <xdr:nvGrpSpPr>
        <xdr:cNvPr id="20" name="Shape 2">
          <a:extLst>
            <a:ext uri="{FF2B5EF4-FFF2-40B4-BE49-F238E27FC236}">
              <a16:creationId xmlns:a16="http://schemas.microsoft.com/office/drawing/2014/main" id="{00000000-0008-0000-0300-000014000000}"/>
            </a:ext>
          </a:extLst>
        </xdr:cNvPr>
        <xdr:cNvGrpSpPr/>
      </xdr:nvGrpSpPr>
      <xdr:grpSpPr>
        <a:xfrm>
          <a:off x="8452536" y="2060747"/>
          <a:ext cx="1581150" cy="952500"/>
          <a:chOff x="4555425" y="3303750"/>
          <a:chExt cx="1581150" cy="952500"/>
        </a:xfrm>
      </xdr:grpSpPr>
      <xdr:grpSp>
        <xdr:nvGrpSpPr>
          <xdr:cNvPr id="377" name="Shape 377" descr="EXPERT TIP: The shortcut key for Paste Special is CTRL+ALT+V">
            <a:extLst>
              <a:ext uri="{FF2B5EF4-FFF2-40B4-BE49-F238E27FC236}">
                <a16:creationId xmlns:a16="http://schemas.microsoft.com/office/drawing/2014/main" id="{00000000-0008-0000-0300-000079010000}"/>
              </a:ext>
            </a:extLst>
          </xdr:cNvPr>
          <xdr:cNvGrpSpPr/>
        </xdr:nvGrpSpPr>
        <xdr:grpSpPr>
          <a:xfrm>
            <a:off x="4555425" y="3303750"/>
            <a:ext cx="1581150" cy="952500"/>
            <a:chOff x="8448675" y="2143125"/>
            <a:chExt cx="1581150" cy="948102"/>
          </a:xfrm>
        </xdr:grpSpPr>
        <xdr:sp macro="" textlink="">
          <xdr:nvSpPr>
            <xdr:cNvPr id="21" name="Shape 4">
              <a:extLst>
                <a:ext uri="{FF2B5EF4-FFF2-40B4-BE49-F238E27FC236}">
                  <a16:creationId xmlns:a16="http://schemas.microsoft.com/office/drawing/2014/main" id="{00000000-0008-0000-0300-000015000000}"/>
                </a:ext>
              </a:extLst>
            </xdr:cNvPr>
            <xdr:cNvSpPr/>
          </xdr:nvSpPr>
          <xdr:spPr>
            <a:xfrm>
              <a:off x="8448675" y="2143125"/>
              <a:ext cx="1581150" cy="94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pic>
          <xdr:nvPicPr>
            <xdr:cNvPr id="378" name="Shape 378" descr="Owl">
              <a:extLst>
                <a:ext uri="{FF2B5EF4-FFF2-40B4-BE49-F238E27FC236}">
                  <a16:creationId xmlns:a16="http://schemas.microsoft.com/office/drawing/2014/main" id="{00000000-0008-0000-0300-00007A010000}"/>
                </a:ext>
              </a:extLst>
            </xdr:cNvPr>
            <xdr:cNvPicPr preferRelativeResize="0"/>
          </xdr:nvPicPr>
          <xdr:blipFill rotWithShape="1">
            <a:blip xmlns:r="http://schemas.openxmlformats.org/officeDocument/2006/relationships" r:embed="rId10">
              <a:alphaModFix/>
            </a:blip>
            <a:srcRect/>
            <a:stretch/>
          </xdr:blipFill>
          <xdr:spPr>
            <a:xfrm>
              <a:off x="8448675" y="2170284"/>
              <a:ext cx="444647" cy="444647"/>
            </a:xfrm>
            <a:prstGeom prst="rect">
              <a:avLst/>
            </a:prstGeom>
            <a:noFill/>
            <a:ln>
              <a:noFill/>
            </a:ln>
          </xdr:spPr>
        </xdr:pic>
        <xdr:sp macro="" textlink="">
          <xdr:nvSpPr>
            <xdr:cNvPr id="379" name="Shape 379" descr="EXPERT TIP&#10;The shortcut key for Paste Special is CTRL+ALT+V">
              <a:extLst>
                <a:ext uri="{FF2B5EF4-FFF2-40B4-BE49-F238E27FC236}">
                  <a16:creationId xmlns:a16="http://schemas.microsoft.com/office/drawing/2014/main" id="{00000000-0008-0000-0300-00007B010000}"/>
                </a:ext>
              </a:extLst>
            </xdr:cNvPr>
            <xdr:cNvSpPr txBox="1"/>
          </xdr:nvSpPr>
          <xdr:spPr>
            <a:xfrm>
              <a:off x="8782052" y="2143125"/>
              <a:ext cx="1247773" cy="948102"/>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200" b="1">
                  <a:solidFill>
                    <a:srgbClr val="F4B081"/>
                  </a:solidFill>
                  <a:latin typeface="Quattrocento Sans"/>
                  <a:ea typeface="Quattrocento Sans"/>
                  <a:cs typeface="Quattrocento Sans"/>
                  <a:sym typeface="Quattrocento Sans"/>
                </a:rPr>
                <a:t>EXPERT TIP</a:t>
              </a:r>
              <a:endParaRPr sz="1200" b="1">
                <a:solidFill>
                  <a:srgbClr val="F4B081"/>
                </a:solidFill>
                <a:latin typeface="Quattrocento Sans"/>
                <a:ea typeface="Quattrocento Sans"/>
                <a:cs typeface="Quattrocento Sans"/>
                <a:sym typeface="Quattrocento Sans"/>
              </a:endParaRPr>
            </a:p>
            <a:p>
              <a:pPr marL="0" lvl="0" indent="0" algn="l" rtl="0">
                <a:spcBef>
                  <a:spcPts val="0"/>
                </a:spcBef>
                <a:spcAft>
                  <a:spcPts val="0"/>
                </a:spcAft>
                <a:buNone/>
              </a:pPr>
              <a:r>
                <a:rPr lang="en-US" sz="1100">
                  <a:solidFill>
                    <a:srgbClr val="3A3838"/>
                  </a:solidFill>
                  <a:latin typeface="Calibri"/>
                  <a:ea typeface="Calibri"/>
                  <a:cs typeface="Calibri"/>
                  <a:sym typeface="Calibri"/>
                </a:rPr>
                <a:t>The shortcut key for Paste Special is CTRL+ALT+V. </a:t>
              </a:r>
              <a:endParaRPr sz="1100">
                <a:solidFill>
                  <a:srgbClr val="3A3838"/>
                </a:solidFill>
              </a:endParaRPr>
            </a:p>
          </xdr:txBody>
        </xdr:sp>
      </xdr:grpSp>
    </xdr:grp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2</xdr:col>
      <xdr:colOff>0</xdr:colOff>
      <xdr:row>13</xdr:row>
      <xdr:rowOff>200025</xdr:rowOff>
    </xdr:from>
    <xdr:ext cx="3800475" cy="1552575"/>
    <xdr:grpSp>
      <xdr:nvGrpSpPr>
        <xdr:cNvPr id="2" name="Shape 2">
          <a:extLst>
            <a:ext uri="{FF2B5EF4-FFF2-40B4-BE49-F238E27FC236}">
              <a16:creationId xmlns:a16="http://schemas.microsoft.com/office/drawing/2014/main" id="{00000000-0008-0000-0400-000002000000}"/>
            </a:ext>
          </a:extLst>
        </xdr:cNvPr>
        <xdr:cNvGrpSpPr/>
      </xdr:nvGrpSpPr>
      <xdr:grpSpPr>
        <a:xfrm>
          <a:off x="6372225" y="3238500"/>
          <a:ext cx="3800475" cy="1552575"/>
          <a:chOff x="3445763" y="3003713"/>
          <a:chExt cx="3800475" cy="1552575"/>
        </a:xfrm>
      </xdr:grpSpPr>
      <xdr:grpSp>
        <xdr:nvGrpSpPr>
          <xdr:cNvPr id="380" name="Shape 380" descr="EXTRA CREDIT: When you're done with step 5, try sorting alphabetically by two columns. Here's how: First sort Department alphabetically (that's step 1 on the left). Then click Home &gt; Sort &amp; Filter &gt; Custom Sort. Add a second level for Category. After you click OK, Department will be sorted, and within each department, Category rows will be sorted in alphabetical order as well">
            <a:extLst>
              <a:ext uri="{FF2B5EF4-FFF2-40B4-BE49-F238E27FC236}">
                <a16:creationId xmlns:a16="http://schemas.microsoft.com/office/drawing/2014/main" id="{00000000-0008-0000-0400-00007C010000}"/>
              </a:ext>
            </a:extLst>
          </xdr:cNvPr>
          <xdr:cNvGrpSpPr/>
        </xdr:nvGrpSpPr>
        <xdr:grpSpPr>
          <a:xfrm>
            <a:off x="3445763" y="3003713"/>
            <a:ext cx="3800475" cy="1552575"/>
            <a:chOff x="7248525" y="3467099"/>
            <a:chExt cx="3800475" cy="1362075"/>
          </a:xfrm>
        </xdr:grpSpPr>
        <xdr:sp macro="" textlink="">
          <xdr:nvSpPr>
            <xdr:cNvPr id="4" name="Shape 4">
              <a:extLst>
                <a:ext uri="{FF2B5EF4-FFF2-40B4-BE49-F238E27FC236}">
                  <a16:creationId xmlns:a16="http://schemas.microsoft.com/office/drawing/2014/main" id="{00000000-0008-0000-0400-000004000000}"/>
                </a:ext>
              </a:extLst>
            </xdr:cNvPr>
            <xdr:cNvSpPr/>
          </xdr:nvSpPr>
          <xdr:spPr>
            <a:xfrm>
              <a:off x="7248525" y="3467099"/>
              <a:ext cx="3800475" cy="13620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81" name="Shape 381" descr="EXTRA CREDIT&#10;When you're done with step 5, try sorting alphabetically by two columns. Here's how: First sort Department alphabetically (that's step 1 on the left). Then click Home &gt; Sort &amp; Filter &gt; Custom Sort. Add a second level for Category. After you click OK, Department will be sorted, and within each department, Category rows will be sorted in alphabetical order as well">
              <a:extLst>
                <a:ext uri="{FF2B5EF4-FFF2-40B4-BE49-F238E27FC236}">
                  <a16:creationId xmlns:a16="http://schemas.microsoft.com/office/drawing/2014/main" id="{00000000-0008-0000-0400-00007D010000}"/>
                </a:ext>
              </a:extLst>
            </xdr:cNvPr>
            <xdr:cNvSpPr txBox="1"/>
          </xdr:nvSpPr>
          <xdr:spPr>
            <a:xfrm>
              <a:off x="7608106" y="3467099"/>
              <a:ext cx="3440894" cy="136207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200" b="1">
                  <a:solidFill>
                    <a:srgbClr val="F4B081"/>
                  </a:solidFill>
                  <a:latin typeface="Quattrocento Sans"/>
                  <a:ea typeface="Quattrocento Sans"/>
                  <a:cs typeface="Quattrocento Sans"/>
                  <a:sym typeface="Quattrocento Sans"/>
                </a:rPr>
                <a:t>EXTRA CREDIT</a:t>
              </a:r>
              <a:endParaRPr sz="1200" b="1">
                <a:solidFill>
                  <a:srgbClr val="F4B081"/>
                </a:solidFill>
                <a:latin typeface="Quattrocento Sans"/>
                <a:ea typeface="Quattrocento Sans"/>
                <a:cs typeface="Quattrocento Sans"/>
                <a:sym typeface="Quattrocento Sans"/>
              </a:endParaRPr>
            </a:p>
            <a:p>
              <a:pPr marL="0" lvl="0" indent="0" algn="l" rtl="0">
                <a:spcBef>
                  <a:spcPts val="0"/>
                </a:spcBef>
                <a:spcAft>
                  <a:spcPts val="0"/>
                </a:spcAft>
                <a:buNone/>
              </a:pPr>
              <a:r>
                <a:rPr lang="en-US" sz="1100">
                  <a:solidFill>
                    <a:srgbClr val="3A3838"/>
                  </a:solidFill>
                  <a:latin typeface="Calibri"/>
                  <a:ea typeface="Calibri"/>
                  <a:cs typeface="Calibri"/>
                  <a:sym typeface="Calibri"/>
                </a:rPr>
                <a:t>When you're done with step 5, try sorting alphabetically by two columns. Here's how: First sort </a:t>
              </a:r>
              <a:r>
                <a:rPr lang="en-US" sz="1100" b="1">
                  <a:solidFill>
                    <a:srgbClr val="3A3838"/>
                  </a:solidFill>
                  <a:latin typeface="Calibri"/>
                  <a:ea typeface="Calibri"/>
                  <a:cs typeface="Calibri"/>
                  <a:sym typeface="Calibri"/>
                </a:rPr>
                <a:t>Department</a:t>
              </a:r>
              <a:r>
                <a:rPr lang="en-US" sz="1100">
                  <a:solidFill>
                    <a:srgbClr val="3A3838"/>
                  </a:solidFill>
                  <a:latin typeface="Calibri"/>
                  <a:ea typeface="Calibri"/>
                  <a:cs typeface="Calibri"/>
                  <a:sym typeface="Calibri"/>
                </a:rPr>
                <a:t> alphabetically (that's step 1 on the left). Then click </a:t>
              </a:r>
              <a:r>
                <a:rPr lang="en-US" sz="1100" b="1">
                  <a:solidFill>
                    <a:srgbClr val="3A3838"/>
                  </a:solidFill>
                  <a:latin typeface="Calibri"/>
                  <a:ea typeface="Calibri"/>
                  <a:cs typeface="Calibri"/>
                  <a:sym typeface="Calibri"/>
                </a:rPr>
                <a:t>Home </a:t>
              </a:r>
              <a:r>
                <a:rPr lang="en-US" sz="1100">
                  <a:solidFill>
                    <a:srgbClr val="3A3838"/>
                  </a:solidFill>
                  <a:latin typeface="Calibri"/>
                  <a:ea typeface="Calibri"/>
                  <a:cs typeface="Calibri"/>
                  <a:sym typeface="Calibri"/>
                </a:rPr>
                <a:t>&gt; </a:t>
              </a:r>
              <a:r>
                <a:rPr lang="en-US" sz="1100" b="1">
                  <a:solidFill>
                    <a:srgbClr val="3A3838"/>
                  </a:solidFill>
                  <a:latin typeface="Calibri"/>
                  <a:ea typeface="Calibri"/>
                  <a:cs typeface="Calibri"/>
                  <a:sym typeface="Calibri"/>
                </a:rPr>
                <a:t>Sort &amp; Filter </a:t>
              </a:r>
              <a:r>
                <a:rPr lang="en-US" sz="1100">
                  <a:solidFill>
                    <a:srgbClr val="3A3838"/>
                  </a:solidFill>
                  <a:latin typeface="Calibri"/>
                  <a:ea typeface="Calibri"/>
                  <a:cs typeface="Calibri"/>
                  <a:sym typeface="Calibri"/>
                </a:rPr>
                <a:t>&gt; </a:t>
              </a:r>
              <a:r>
                <a:rPr lang="en-US" sz="1100" b="1">
                  <a:solidFill>
                    <a:srgbClr val="3A3838"/>
                  </a:solidFill>
                  <a:latin typeface="Calibri"/>
                  <a:ea typeface="Calibri"/>
                  <a:cs typeface="Calibri"/>
                  <a:sym typeface="Calibri"/>
                </a:rPr>
                <a:t>Custom Sort</a:t>
              </a:r>
              <a:r>
                <a:rPr lang="en-US" sz="1100">
                  <a:solidFill>
                    <a:srgbClr val="3A3838"/>
                  </a:solidFill>
                  <a:latin typeface="Calibri"/>
                  <a:ea typeface="Calibri"/>
                  <a:cs typeface="Calibri"/>
                  <a:sym typeface="Calibri"/>
                </a:rPr>
                <a:t>. Add a second level for </a:t>
              </a:r>
              <a:r>
                <a:rPr lang="en-US" sz="1100" b="1">
                  <a:solidFill>
                    <a:srgbClr val="3A3838"/>
                  </a:solidFill>
                  <a:latin typeface="Calibri"/>
                  <a:ea typeface="Calibri"/>
                  <a:cs typeface="Calibri"/>
                  <a:sym typeface="Calibri"/>
                </a:rPr>
                <a:t>Category</a:t>
              </a:r>
              <a:r>
                <a:rPr lang="en-US" sz="1100">
                  <a:solidFill>
                    <a:srgbClr val="3A3838"/>
                  </a:solidFill>
                  <a:latin typeface="Calibri"/>
                  <a:ea typeface="Calibri"/>
                  <a:cs typeface="Calibri"/>
                  <a:sym typeface="Calibri"/>
                </a:rPr>
                <a:t>. After you click OK, </a:t>
              </a:r>
              <a:r>
                <a:rPr lang="en-US" sz="1100" b="1">
                  <a:solidFill>
                    <a:srgbClr val="3A3838"/>
                  </a:solidFill>
                  <a:latin typeface="Calibri"/>
                  <a:ea typeface="Calibri"/>
                  <a:cs typeface="Calibri"/>
                  <a:sym typeface="Calibri"/>
                </a:rPr>
                <a:t>Department</a:t>
              </a:r>
              <a:r>
                <a:rPr lang="en-US" sz="1100">
                  <a:solidFill>
                    <a:srgbClr val="3A3838"/>
                  </a:solidFill>
                  <a:latin typeface="Calibri"/>
                  <a:ea typeface="Calibri"/>
                  <a:cs typeface="Calibri"/>
                  <a:sym typeface="Calibri"/>
                </a:rPr>
                <a:t> will be sorted, and within each department, </a:t>
              </a:r>
              <a:r>
                <a:rPr lang="en-US" sz="1100" b="1">
                  <a:solidFill>
                    <a:srgbClr val="3A3838"/>
                  </a:solidFill>
                  <a:latin typeface="Calibri"/>
                  <a:ea typeface="Calibri"/>
                  <a:cs typeface="Calibri"/>
                  <a:sym typeface="Calibri"/>
                </a:rPr>
                <a:t>Category</a:t>
              </a:r>
              <a:r>
                <a:rPr lang="en-US" sz="1100">
                  <a:solidFill>
                    <a:srgbClr val="3A3838"/>
                  </a:solidFill>
                  <a:latin typeface="Calibri"/>
                  <a:ea typeface="Calibri"/>
                  <a:cs typeface="Calibri"/>
                  <a:sym typeface="Calibri"/>
                </a:rPr>
                <a:t> rows will be sorted in alphabetical order as well. </a:t>
              </a:r>
              <a:endParaRPr sz="1100" b="0" i="0">
                <a:solidFill>
                  <a:srgbClr val="3A3838"/>
                </a:solidFill>
                <a:latin typeface="Calibri"/>
                <a:ea typeface="Calibri"/>
                <a:cs typeface="Calibri"/>
                <a:sym typeface="Calibri"/>
              </a:endParaRPr>
            </a:p>
          </xdr:txBody>
        </xdr:sp>
        <xdr:pic>
          <xdr:nvPicPr>
            <xdr:cNvPr id="382" name="Shape 382" descr="Ribbon">
              <a:extLst>
                <a:ext uri="{FF2B5EF4-FFF2-40B4-BE49-F238E27FC236}">
                  <a16:creationId xmlns:a16="http://schemas.microsoft.com/office/drawing/2014/main" id="{00000000-0008-0000-0400-00007E010000}"/>
                </a:ext>
              </a:extLst>
            </xdr:cNvPr>
            <xdr:cNvPicPr preferRelativeResize="0"/>
          </xdr:nvPicPr>
          <xdr:blipFill rotWithShape="1">
            <a:blip xmlns:r="http://schemas.openxmlformats.org/officeDocument/2006/relationships" r:embed="rId1">
              <a:alphaModFix/>
            </a:blip>
            <a:srcRect/>
            <a:stretch/>
          </xdr:blipFill>
          <xdr:spPr>
            <a:xfrm>
              <a:off x="7248525" y="3521926"/>
              <a:ext cx="433903" cy="439736"/>
            </a:xfrm>
            <a:prstGeom prst="rect">
              <a:avLst/>
            </a:prstGeom>
            <a:noFill/>
            <a:ln>
              <a:noFill/>
            </a:ln>
          </xdr:spPr>
        </xdr:pic>
      </xdr:grpSp>
    </xdr:grpSp>
    <xdr:clientData fLocksWithSheet="0"/>
  </xdr:oneCellAnchor>
  <xdr:oneCellAnchor>
    <xdr:from>
      <xdr:col>0</xdr:col>
      <xdr:colOff>333375</xdr:colOff>
      <xdr:row>0</xdr:row>
      <xdr:rowOff>266700</xdr:rowOff>
    </xdr:from>
    <xdr:ext cx="5695950" cy="4619625"/>
    <xdr:grpSp>
      <xdr:nvGrpSpPr>
        <xdr:cNvPr id="3" name="Shape 2">
          <a:extLst>
            <a:ext uri="{FF2B5EF4-FFF2-40B4-BE49-F238E27FC236}">
              <a16:creationId xmlns:a16="http://schemas.microsoft.com/office/drawing/2014/main" id="{00000000-0008-0000-0400-000003000000}"/>
            </a:ext>
          </a:extLst>
        </xdr:cNvPr>
        <xdr:cNvGrpSpPr/>
      </xdr:nvGrpSpPr>
      <xdr:grpSpPr>
        <a:xfrm>
          <a:off x="333375" y="266700"/>
          <a:ext cx="5695950" cy="4619625"/>
          <a:chOff x="2498025" y="1470188"/>
          <a:chExt cx="5695950" cy="4619625"/>
        </a:xfrm>
      </xdr:grpSpPr>
      <xdr:grpSp>
        <xdr:nvGrpSpPr>
          <xdr:cNvPr id="383" name="Shape 383" descr="Sort and filter with ease&#10;Let's say you want the departments in alphabetical order. Click in the Department column, and then click Home &gt; Sort &amp; Filter &gt; Sort A to Z. &#10;Sort December's amounts from largest to smallest. Click any cell in the Dec column, and then click Home &gt; Sort &amp; Filter &gt; Sort Largest to Smallest. &#10;Now you'll filter the data so that only the Bakery rows appear. Press CTRL+A to select all of the cells, and then click Home &gt; Sort &amp; Filter &gt; Filter. &#10;Filter buttons appear on the top row. On the Department cell, click the filter button        and then click to clear the Select All checkbox. Then, click to select Bakery.&#10;Click OK and only the Bakery rows appear. Now clear the filter by clicking the filter button       for Department and then click Clear filter...&#10;Dive down for more detail &#10;Next step">
            <a:extLst>
              <a:ext uri="{FF2B5EF4-FFF2-40B4-BE49-F238E27FC236}">
                <a16:creationId xmlns:a16="http://schemas.microsoft.com/office/drawing/2014/main" id="{00000000-0008-0000-0400-00007F010000}"/>
              </a:ext>
            </a:extLst>
          </xdr:cNvPr>
          <xdr:cNvGrpSpPr/>
        </xdr:nvGrpSpPr>
        <xdr:grpSpPr>
          <a:xfrm>
            <a:off x="2498025" y="1470188"/>
            <a:ext cx="5695950" cy="4619625"/>
            <a:chOff x="333375" y="266700"/>
            <a:chExt cx="5695950" cy="4619625"/>
          </a:xfrm>
        </xdr:grpSpPr>
        <xdr:sp macro="" textlink="">
          <xdr:nvSpPr>
            <xdr:cNvPr id="5" name="Shape 4">
              <a:extLst>
                <a:ext uri="{FF2B5EF4-FFF2-40B4-BE49-F238E27FC236}">
                  <a16:creationId xmlns:a16="http://schemas.microsoft.com/office/drawing/2014/main" id="{00000000-0008-0000-0400-000005000000}"/>
                </a:ext>
              </a:extLst>
            </xdr:cNvPr>
            <xdr:cNvSpPr/>
          </xdr:nvSpPr>
          <xdr:spPr>
            <a:xfrm>
              <a:off x="333375" y="266700"/>
              <a:ext cx="5695950" cy="4619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84" name="Shape 384" descr="Background">
              <a:extLst>
                <a:ext uri="{FF2B5EF4-FFF2-40B4-BE49-F238E27FC236}">
                  <a16:creationId xmlns:a16="http://schemas.microsoft.com/office/drawing/2014/main" id="{00000000-0008-0000-0400-000080010000}"/>
                </a:ext>
              </a:extLst>
            </xdr:cNvPr>
            <xdr:cNvSpPr/>
          </xdr:nvSpPr>
          <xdr:spPr>
            <a:xfrm>
              <a:off x="333375" y="266700"/>
              <a:ext cx="5695950" cy="4619625"/>
            </a:xfrm>
            <a:prstGeom prst="rect">
              <a:avLst/>
            </a:prstGeom>
            <a:solidFill>
              <a:srgbClr val="F5F5F5"/>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385" name="Shape 385" descr="Sort and filter with ease">
              <a:extLst>
                <a:ext uri="{FF2B5EF4-FFF2-40B4-BE49-F238E27FC236}">
                  <a16:creationId xmlns:a16="http://schemas.microsoft.com/office/drawing/2014/main" id="{00000000-0008-0000-0400-000081010000}"/>
                </a:ext>
              </a:extLst>
            </xdr:cNvPr>
            <xdr:cNvSpPr txBox="1"/>
          </xdr:nvSpPr>
          <xdr:spPr>
            <a:xfrm>
              <a:off x="565123" y="385398"/>
              <a:ext cx="5216551" cy="490903"/>
            </a:xfrm>
            <a:prstGeom prst="rect">
              <a:avLst/>
            </a:prstGeom>
            <a:noFill/>
            <a:ln>
              <a:noFill/>
            </a:ln>
          </xdr:spPr>
          <xdr:txBody>
            <a:bodyPr spcFirstLastPara="1" wrap="square" lIns="0" tIns="45700" rIns="0" bIns="45700" anchor="t" anchorCtr="0">
              <a:noAutofit/>
            </a:bodyPr>
            <a:lstStyle/>
            <a:p>
              <a:pPr marL="0" lvl="0" indent="0" algn="l" rtl="0">
                <a:spcBef>
                  <a:spcPts val="0"/>
                </a:spcBef>
                <a:spcAft>
                  <a:spcPts val="0"/>
                </a:spcAft>
                <a:buNone/>
              </a:pPr>
              <a:r>
                <a:rPr lang="en-US" sz="2400">
                  <a:solidFill>
                    <a:srgbClr val="3A3838"/>
                  </a:solidFill>
                  <a:latin typeface="Quattrocento Sans"/>
                  <a:ea typeface="Quattrocento Sans"/>
                  <a:cs typeface="Quattrocento Sans"/>
                  <a:sym typeface="Quattrocento Sans"/>
                </a:rPr>
                <a:t>Sort and filter with ease</a:t>
              </a:r>
              <a:endParaRPr sz="2400">
                <a:solidFill>
                  <a:srgbClr val="3A3838"/>
                </a:solidFill>
                <a:latin typeface="Quattrocento Sans"/>
                <a:ea typeface="Quattrocento Sans"/>
                <a:cs typeface="Quattrocento Sans"/>
                <a:sym typeface="Quattrocento Sans"/>
              </a:endParaRPr>
            </a:p>
          </xdr:txBody>
        </xdr:sp>
        <xdr:cxnSp macro="">
          <xdr:nvCxnSpPr>
            <xdr:cNvPr id="386" name="Shape 386" descr="Decorative line">
              <a:extLst>
                <a:ext uri="{FF2B5EF4-FFF2-40B4-BE49-F238E27FC236}">
                  <a16:creationId xmlns:a16="http://schemas.microsoft.com/office/drawing/2014/main" id="{00000000-0008-0000-0400-000082010000}"/>
                </a:ext>
              </a:extLst>
            </xdr:cNvPr>
            <xdr:cNvCxnSpPr/>
          </xdr:nvCxnSpPr>
          <xdr:spPr>
            <a:xfrm>
              <a:off x="568299" y="892811"/>
              <a:ext cx="5213376" cy="0"/>
            </a:xfrm>
            <a:prstGeom prst="straightConnector1">
              <a:avLst/>
            </a:prstGeom>
            <a:noFill/>
            <a:ln w="25400" cap="flat" cmpd="sng">
              <a:solidFill>
                <a:srgbClr val="217346"/>
              </a:solidFill>
              <a:prstDash val="solid"/>
              <a:round/>
              <a:headEnd type="none" w="sm" len="sm"/>
              <a:tailEnd type="none" w="sm" len="sm"/>
            </a:ln>
          </xdr:spPr>
        </xdr:cxnSp>
        <xdr:sp macro="" textlink="">
          <xdr:nvSpPr>
            <xdr:cNvPr id="387" name="Shape 387" descr="Dive down for more detail">
              <a:extLst>
                <a:ext uri="{FF2B5EF4-FFF2-40B4-BE49-F238E27FC236}">
                  <a16:creationId xmlns:a16="http://schemas.microsoft.com/office/drawing/2014/main" id="{00000000-0008-0000-0400-000083010000}"/>
                </a:ext>
              </a:extLst>
            </xdr:cNvPr>
            <xdr:cNvSpPr/>
          </xdr:nvSpPr>
          <xdr:spPr>
            <a:xfrm>
              <a:off x="568299" y="4109207"/>
              <a:ext cx="2723067" cy="536454"/>
            </a:xfrm>
            <a:prstGeom prst="downArrowCallout">
              <a:avLst>
                <a:gd name="adj1" fmla="val 25000"/>
                <a:gd name="adj2" fmla="val 25000"/>
                <a:gd name="adj3" fmla="val 25000"/>
                <a:gd name="adj4" fmla="val 64977"/>
              </a:avLst>
            </a:prstGeom>
            <a:solidFill>
              <a:srgbClr val="D8D8D8"/>
            </a:solidFill>
            <a:ln w="12700" cap="flat" cmpd="sng">
              <a:solidFill>
                <a:srgbClr val="0B744D">
                  <a:alpha val="49803"/>
                </a:srgb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a:solidFill>
                    <a:srgbClr val="0B744D"/>
                  </a:solidFill>
                  <a:latin typeface="Quattrocento Sans"/>
                  <a:ea typeface="Quattrocento Sans"/>
                  <a:cs typeface="Quattrocento Sans"/>
                  <a:sym typeface="Quattrocento Sans"/>
                </a:rPr>
                <a:t>Dive down for more detail</a:t>
              </a:r>
              <a:endParaRPr sz="1400"/>
            </a:p>
          </xdr:txBody>
        </xdr:sp>
        <xdr:cxnSp macro="">
          <xdr:nvCxnSpPr>
            <xdr:cNvPr id="388" name="Shape 388" descr="Decorative line">
              <a:extLst>
                <a:ext uri="{FF2B5EF4-FFF2-40B4-BE49-F238E27FC236}">
                  <a16:creationId xmlns:a16="http://schemas.microsoft.com/office/drawing/2014/main" id="{00000000-0008-0000-0400-000084010000}"/>
                </a:ext>
              </a:extLst>
            </xdr:cNvPr>
            <xdr:cNvCxnSpPr/>
          </xdr:nvCxnSpPr>
          <xdr:spPr>
            <a:xfrm>
              <a:off x="568299" y="3848100"/>
              <a:ext cx="5213376" cy="0"/>
            </a:xfrm>
            <a:prstGeom prst="straightConnector1">
              <a:avLst/>
            </a:prstGeom>
            <a:noFill/>
            <a:ln w="25400" cap="flat" cmpd="sng">
              <a:solidFill>
                <a:srgbClr val="217346"/>
              </a:solidFill>
              <a:prstDash val="solid"/>
              <a:round/>
              <a:headEnd type="none" w="sm" len="sm"/>
              <a:tailEnd type="none" w="sm" len="sm"/>
            </a:ln>
          </xdr:spPr>
        </xdr:cxnSp>
        <xdr:sp macro="" textlink="">
          <xdr:nvSpPr>
            <xdr:cNvPr id="389" name="Shape 389" descr="Next step button, hyperlinked to next sheet">
              <a:hlinkClick xmlns:r="http://schemas.openxmlformats.org/officeDocument/2006/relationships" r:id="rId2"/>
              <a:extLst>
                <a:ext uri="{FF2B5EF4-FFF2-40B4-BE49-F238E27FC236}">
                  <a16:creationId xmlns:a16="http://schemas.microsoft.com/office/drawing/2014/main" id="{00000000-0008-0000-0400-000085010000}"/>
                </a:ext>
              </a:extLst>
            </xdr:cNvPr>
            <xdr:cNvSpPr/>
          </xdr:nvSpPr>
          <xdr:spPr>
            <a:xfrm>
              <a:off x="4627245" y="4109207"/>
              <a:ext cx="1154430" cy="348492"/>
            </a:xfrm>
            <a:prstGeom prst="rightArrowCallout">
              <a:avLst>
                <a:gd name="adj1" fmla="val 32829"/>
                <a:gd name="adj2" fmla="val 31524"/>
                <a:gd name="adj3" fmla="val 25000"/>
                <a:gd name="adj4" fmla="val 86357"/>
              </a:avLst>
            </a:prstGeom>
            <a:solidFill>
              <a:schemeClr val="lt1"/>
            </a:solidFill>
            <a:ln w="12700" cap="flat" cmpd="sng">
              <a:solidFill>
                <a:srgbClr val="0B744D"/>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a:solidFill>
                    <a:srgbClr val="0B744D"/>
                  </a:solidFill>
                  <a:latin typeface="Quattrocento Sans"/>
                  <a:ea typeface="Quattrocento Sans"/>
                  <a:cs typeface="Quattrocento Sans"/>
                  <a:sym typeface="Quattrocento Sans"/>
                </a:rPr>
                <a:t>Next step</a:t>
              </a:r>
              <a:endParaRPr sz="1400"/>
            </a:p>
          </xdr:txBody>
        </xdr:sp>
        <xdr:sp macro="" textlink="">
          <xdr:nvSpPr>
            <xdr:cNvPr id="390" name="Shape 390" descr="Let's say you want the departments in alphabetical order. Click in the Department column, and then click Home &gt; Sort &amp; Filter &gt; Sort A to Z">
              <a:extLst>
                <a:ext uri="{FF2B5EF4-FFF2-40B4-BE49-F238E27FC236}">
                  <a16:creationId xmlns:a16="http://schemas.microsoft.com/office/drawing/2014/main" id="{00000000-0008-0000-0400-000086010000}"/>
                </a:ext>
              </a:extLst>
            </xdr:cNvPr>
            <xdr:cNvSpPr txBox="1"/>
          </xdr:nvSpPr>
          <xdr:spPr>
            <a:xfrm>
              <a:off x="972158" y="1080976"/>
              <a:ext cx="4809516" cy="561387"/>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050">
                  <a:solidFill>
                    <a:srgbClr val="3F3F3F"/>
                  </a:solidFill>
                  <a:latin typeface="Quattrocento Sans"/>
                  <a:ea typeface="Quattrocento Sans"/>
                  <a:cs typeface="Quattrocento Sans"/>
                  <a:sym typeface="Quattrocento Sans"/>
                </a:rPr>
                <a:t>Let's say you want the departments in alphabetical order. Click in the Department column, and then click </a:t>
              </a:r>
              <a:r>
                <a:rPr lang="en-US" sz="1050" b="1">
                  <a:solidFill>
                    <a:srgbClr val="3F3F3F"/>
                  </a:solidFill>
                  <a:latin typeface="Quattrocento Sans"/>
                  <a:ea typeface="Quattrocento Sans"/>
                  <a:cs typeface="Quattrocento Sans"/>
                  <a:sym typeface="Quattrocento Sans"/>
                </a:rPr>
                <a:t>Home </a:t>
              </a:r>
              <a:r>
                <a:rPr lang="en-US" sz="1050">
                  <a:solidFill>
                    <a:srgbClr val="3F3F3F"/>
                  </a:solidFill>
                  <a:latin typeface="Quattrocento Sans"/>
                  <a:ea typeface="Quattrocento Sans"/>
                  <a:cs typeface="Quattrocento Sans"/>
                  <a:sym typeface="Quattrocento Sans"/>
                </a:rPr>
                <a:t>&gt; </a:t>
              </a:r>
              <a:r>
                <a:rPr lang="en-US" sz="1050" b="1">
                  <a:solidFill>
                    <a:srgbClr val="3F3F3F"/>
                  </a:solidFill>
                  <a:latin typeface="Quattrocento Sans"/>
                  <a:ea typeface="Quattrocento Sans"/>
                  <a:cs typeface="Quattrocento Sans"/>
                  <a:sym typeface="Quattrocento Sans"/>
                </a:rPr>
                <a:t>Sort &amp; Filter </a:t>
              </a:r>
              <a:r>
                <a:rPr lang="en-US" sz="1050">
                  <a:solidFill>
                    <a:srgbClr val="3F3F3F"/>
                  </a:solidFill>
                  <a:latin typeface="Quattrocento Sans"/>
                  <a:ea typeface="Quattrocento Sans"/>
                  <a:cs typeface="Quattrocento Sans"/>
                  <a:sym typeface="Quattrocento Sans"/>
                </a:rPr>
                <a:t>&gt; </a:t>
              </a:r>
              <a:r>
                <a:rPr lang="en-US" sz="1050" b="1">
                  <a:solidFill>
                    <a:srgbClr val="3F3F3F"/>
                  </a:solidFill>
                  <a:latin typeface="Quattrocento Sans"/>
                  <a:ea typeface="Quattrocento Sans"/>
                  <a:cs typeface="Quattrocento Sans"/>
                  <a:sym typeface="Quattrocento Sans"/>
                </a:rPr>
                <a:t>Sort A to Z</a:t>
              </a:r>
              <a:r>
                <a:rPr lang="en-US" sz="1050">
                  <a:solidFill>
                    <a:srgbClr val="3F3F3F"/>
                  </a:solidFill>
                  <a:latin typeface="Quattrocento Sans"/>
                  <a:ea typeface="Quattrocento Sans"/>
                  <a:cs typeface="Quattrocento Sans"/>
                  <a:sym typeface="Quattrocento Sans"/>
                </a:rPr>
                <a:t>. </a:t>
              </a:r>
              <a:endParaRPr sz="1400"/>
            </a:p>
          </xdr:txBody>
        </xdr:sp>
        <xdr:sp macro="" textlink="">
          <xdr:nvSpPr>
            <xdr:cNvPr id="391" name="Shape 391" descr="1">
              <a:extLst>
                <a:ext uri="{FF2B5EF4-FFF2-40B4-BE49-F238E27FC236}">
                  <a16:creationId xmlns:a16="http://schemas.microsoft.com/office/drawing/2014/main" id="{00000000-0008-0000-0400-000087010000}"/>
                </a:ext>
              </a:extLst>
            </xdr:cNvPr>
            <xdr:cNvSpPr/>
          </xdr:nvSpPr>
          <xdr:spPr>
            <a:xfrm>
              <a:off x="565124" y="1038478"/>
              <a:ext cx="371587"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1</a:t>
              </a:r>
              <a:endParaRPr sz="1400"/>
            </a:p>
          </xdr:txBody>
        </xdr:sp>
        <xdr:sp macro="" textlink="">
          <xdr:nvSpPr>
            <xdr:cNvPr id="392" name="Shape 392" descr="Sort December's amounts from largest to smallest. Click any cell in the Dec column, and then click Home &gt; Sort &amp; Filter &gt; Sort Largest to Smallest">
              <a:extLst>
                <a:ext uri="{FF2B5EF4-FFF2-40B4-BE49-F238E27FC236}">
                  <a16:creationId xmlns:a16="http://schemas.microsoft.com/office/drawing/2014/main" id="{00000000-0008-0000-0400-000088010000}"/>
                </a:ext>
              </a:extLst>
            </xdr:cNvPr>
            <xdr:cNvSpPr txBox="1"/>
          </xdr:nvSpPr>
          <xdr:spPr>
            <a:xfrm>
              <a:off x="972157" y="1586002"/>
              <a:ext cx="4809517" cy="561387"/>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050">
                  <a:solidFill>
                    <a:srgbClr val="3F3F3F"/>
                  </a:solidFill>
                  <a:latin typeface="Quattrocento Sans"/>
                  <a:ea typeface="Quattrocento Sans"/>
                  <a:cs typeface="Quattrocento Sans"/>
                  <a:sym typeface="Quattrocento Sans"/>
                </a:rPr>
                <a:t>Sort December's amounts from largest to smallest. Click any cell in the Dec column, and then click </a:t>
              </a:r>
              <a:r>
                <a:rPr lang="en-US" sz="1050" b="1">
                  <a:solidFill>
                    <a:srgbClr val="3F3F3F"/>
                  </a:solidFill>
                  <a:latin typeface="Quattrocento Sans"/>
                  <a:ea typeface="Quattrocento Sans"/>
                  <a:cs typeface="Quattrocento Sans"/>
                  <a:sym typeface="Quattrocento Sans"/>
                </a:rPr>
                <a:t>Home </a:t>
              </a:r>
              <a:r>
                <a:rPr lang="en-US" sz="1050">
                  <a:solidFill>
                    <a:srgbClr val="3F3F3F"/>
                  </a:solidFill>
                  <a:latin typeface="Quattrocento Sans"/>
                  <a:ea typeface="Quattrocento Sans"/>
                  <a:cs typeface="Quattrocento Sans"/>
                  <a:sym typeface="Quattrocento Sans"/>
                </a:rPr>
                <a:t>&gt; </a:t>
              </a:r>
              <a:r>
                <a:rPr lang="en-US" sz="1050" b="1">
                  <a:solidFill>
                    <a:srgbClr val="3F3F3F"/>
                  </a:solidFill>
                  <a:latin typeface="Quattrocento Sans"/>
                  <a:ea typeface="Quattrocento Sans"/>
                  <a:cs typeface="Quattrocento Sans"/>
                  <a:sym typeface="Quattrocento Sans"/>
                </a:rPr>
                <a:t>Sort &amp; Filter </a:t>
              </a:r>
              <a:r>
                <a:rPr lang="en-US" sz="1050">
                  <a:solidFill>
                    <a:srgbClr val="3F3F3F"/>
                  </a:solidFill>
                  <a:latin typeface="Quattrocento Sans"/>
                  <a:ea typeface="Quattrocento Sans"/>
                  <a:cs typeface="Quattrocento Sans"/>
                  <a:sym typeface="Quattrocento Sans"/>
                </a:rPr>
                <a:t>&gt; </a:t>
              </a:r>
              <a:r>
                <a:rPr lang="en-US" sz="1050" b="1">
                  <a:solidFill>
                    <a:srgbClr val="3F3F3F"/>
                  </a:solidFill>
                  <a:latin typeface="Quattrocento Sans"/>
                  <a:ea typeface="Quattrocento Sans"/>
                  <a:cs typeface="Quattrocento Sans"/>
                  <a:sym typeface="Quattrocento Sans"/>
                </a:rPr>
                <a:t>Sort Largest to Smallest</a:t>
              </a:r>
              <a:r>
                <a:rPr lang="en-US" sz="1050">
                  <a:solidFill>
                    <a:srgbClr val="3F3F3F"/>
                  </a:solidFill>
                  <a:latin typeface="Quattrocento Sans"/>
                  <a:ea typeface="Quattrocento Sans"/>
                  <a:cs typeface="Quattrocento Sans"/>
                  <a:sym typeface="Quattrocento Sans"/>
                </a:rPr>
                <a:t>. </a:t>
              </a:r>
              <a:endParaRPr sz="1400"/>
            </a:p>
          </xdr:txBody>
        </xdr:sp>
        <xdr:sp macro="" textlink="">
          <xdr:nvSpPr>
            <xdr:cNvPr id="393" name="Shape 393" descr="2">
              <a:extLst>
                <a:ext uri="{FF2B5EF4-FFF2-40B4-BE49-F238E27FC236}">
                  <a16:creationId xmlns:a16="http://schemas.microsoft.com/office/drawing/2014/main" id="{00000000-0008-0000-0400-000089010000}"/>
                </a:ext>
              </a:extLst>
            </xdr:cNvPr>
            <xdr:cNvSpPr/>
          </xdr:nvSpPr>
          <xdr:spPr>
            <a:xfrm>
              <a:off x="565124" y="1543504"/>
              <a:ext cx="371587"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2</a:t>
              </a:r>
              <a:endParaRPr sz="1400"/>
            </a:p>
          </xdr:txBody>
        </xdr:sp>
        <xdr:sp macro="" textlink="">
          <xdr:nvSpPr>
            <xdr:cNvPr id="394" name="Shape 394" descr="Now you'll filter the data so that only the Bakery rows appear. Press CTRL+A to select all of the cells, and then click Home &gt; Sort &amp; Filter &gt; Filter&#10;">
              <a:extLst>
                <a:ext uri="{FF2B5EF4-FFF2-40B4-BE49-F238E27FC236}">
                  <a16:creationId xmlns:a16="http://schemas.microsoft.com/office/drawing/2014/main" id="{00000000-0008-0000-0400-00008A010000}"/>
                </a:ext>
              </a:extLst>
            </xdr:cNvPr>
            <xdr:cNvSpPr txBox="1"/>
          </xdr:nvSpPr>
          <xdr:spPr>
            <a:xfrm>
              <a:off x="972158" y="2083132"/>
              <a:ext cx="4809516" cy="561387"/>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050">
                  <a:solidFill>
                    <a:srgbClr val="3F3F3F"/>
                  </a:solidFill>
                  <a:latin typeface="Quattrocento Sans"/>
                  <a:ea typeface="Quattrocento Sans"/>
                  <a:cs typeface="Quattrocento Sans"/>
                  <a:sym typeface="Quattrocento Sans"/>
                </a:rPr>
                <a:t>Now you'll filter the data so that only the Bakery rows appear. Press CTRL+A to select all of the cells, and then click </a:t>
              </a:r>
              <a:r>
                <a:rPr lang="en-US" sz="1050" b="1">
                  <a:solidFill>
                    <a:srgbClr val="3F3F3F"/>
                  </a:solidFill>
                  <a:latin typeface="Quattrocento Sans"/>
                  <a:ea typeface="Quattrocento Sans"/>
                  <a:cs typeface="Quattrocento Sans"/>
                  <a:sym typeface="Quattrocento Sans"/>
                </a:rPr>
                <a:t>Home </a:t>
              </a:r>
              <a:r>
                <a:rPr lang="en-US" sz="1050">
                  <a:solidFill>
                    <a:srgbClr val="3F3F3F"/>
                  </a:solidFill>
                  <a:latin typeface="Quattrocento Sans"/>
                  <a:ea typeface="Quattrocento Sans"/>
                  <a:cs typeface="Quattrocento Sans"/>
                  <a:sym typeface="Quattrocento Sans"/>
                </a:rPr>
                <a:t>&gt; </a:t>
              </a:r>
              <a:r>
                <a:rPr lang="en-US" sz="1050" b="1">
                  <a:solidFill>
                    <a:srgbClr val="3F3F3F"/>
                  </a:solidFill>
                  <a:latin typeface="Quattrocento Sans"/>
                  <a:ea typeface="Quattrocento Sans"/>
                  <a:cs typeface="Quattrocento Sans"/>
                  <a:sym typeface="Quattrocento Sans"/>
                </a:rPr>
                <a:t>Sort &amp; Filter </a:t>
              </a:r>
              <a:r>
                <a:rPr lang="en-US" sz="1050">
                  <a:solidFill>
                    <a:srgbClr val="3F3F3F"/>
                  </a:solidFill>
                  <a:latin typeface="Quattrocento Sans"/>
                  <a:ea typeface="Quattrocento Sans"/>
                  <a:cs typeface="Quattrocento Sans"/>
                  <a:sym typeface="Quattrocento Sans"/>
                </a:rPr>
                <a:t>&gt; </a:t>
              </a:r>
              <a:r>
                <a:rPr lang="en-US" sz="1050" b="1">
                  <a:solidFill>
                    <a:srgbClr val="3F3F3F"/>
                  </a:solidFill>
                  <a:latin typeface="Quattrocento Sans"/>
                  <a:ea typeface="Quattrocento Sans"/>
                  <a:cs typeface="Quattrocento Sans"/>
                  <a:sym typeface="Quattrocento Sans"/>
                </a:rPr>
                <a:t>Filter</a:t>
              </a:r>
              <a:r>
                <a:rPr lang="en-US" sz="1050">
                  <a:solidFill>
                    <a:srgbClr val="3F3F3F"/>
                  </a:solidFill>
                  <a:latin typeface="Quattrocento Sans"/>
                  <a:ea typeface="Quattrocento Sans"/>
                  <a:cs typeface="Quattrocento Sans"/>
                  <a:sym typeface="Quattrocento Sans"/>
                </a:rPr>
                <a:t>. </a:t>
              </a:r>
              <a:endParaRPr sz="1400"/>
            </a:p>
          </xdr:txBody>
        </xdr:sp>
        <xdr:sp macro="" textlink="">
          <xdr:nvSpPr>
            <xdr:cNvPr id="395" name="Shape 395" descr="3">
              <a:extLst>
                <a:ext uri="{FF2B5EF4-FFF2-40B4-BE49-F238E27FC236}">
                  <a16:creationId xmlns:a16="http://schemas.microsoft.com/office/drawing/2014/main" id="{00000000-0008-0000-0400-00008B010000}"/>
                </a:ext>
              </a:extLst>
            </xdr:cNvPr>
            <xdr:cNvSpPr/>
          </xdr:nvSpPr>
          <xdr:spPr>
            <a:xfrm>
              <a:off x="565124" y="2040634"/>
              <a:ext cx="371587"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3</a:t>
              </a:r>
              <a:endParaRPr sz="1400"/>
            </a:p>
          </xdr:txBody>
        </xdr:sp>
        <xdr:sp macro="" textlink="">
          <xdr:nvSpPr>
            <xdr:cNvPr id="396" name="Shape 396" descr="Filter buttons appear on the top row. On the Department cell, click the filter button and then click to clear the Select All checkbox. Then, click to select Bakery">
              <a:extLst>
                <a:ext uri="{FF2B5EF4-FFF2-40B4-BE49-F238E27FC236}">
                  <a16:creationId xmlns:a16="http://schemas.microsoft.com/office/drawing/2014/main" id="{00000000-0008-0000-0400-00008C010000}"/>
                </a:ext>
              </a:extLst>
            </xdr:cNvPr>
            <xdr:cNvSpPr txBox="1"/>
          </xdr:nvSpPr>
          <xdr:spPr>
            <a:xfrm>
              <a:off x="972158" y="2579206"/>
              <a:ext cx="4809516" cy="561387"/>
            </a:xfrm>
            <a:prstGeom prst="rect">
              <a:avLst/>
            </a:prstGeom>
            <a:noFill/>
            <a:ln>
              <a:noFill/>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Clr>
                  <a:srgbClr val="3F3F3F"/>
                </a:buClr>
                <a:buSzPts val="1050"/>
                <a:buFont typeface="Quattrocento Sans"/>
                <a:buNone/>
              </a:pPr>
              <a:r>
                <a:rPr lang="en-US" sz="1050">
                  <a:solidFill>
                    <a:srgbClr val="3F3F3F"/>
                  </a:solidFill>
                  <a:latin typeface="Quattrocento Sans"/>
                  <a:ea typeface="Quattrocento Sans"/>
                  <a:cs typeface="Quattrocento Sans"/>
                  <a:sym typeface="Quattrocento Sans"/>
                </a:rPr>
                <a:t>Filter buttons appear on the top row. On the </a:t>
              </a:r>
              <a:r>
                <a:rPr lang="en-US" sz="1050" b="1">
                  <a:solidFill>
                    <a:srgbClr val="3F3F3F"/>
                  </a:solidFill>
                  <a:latin typeface="Quattrocento Sans"/>
                  <a:ea typeface="Quattrocento Sans"/>
                  <a:cs typeface="Quattrocento Sans"/>
                  <a:sym typeface="Quattrocento Sans"/>
                </a:rPr>
                <a:t>Department</a:t>
              </a:r>
              <a:r>
                <a:rPr lang="en-US" sz="1050">
                  <a:solidFill>
                    <a:srgbClr val="3F3F3F"/>
                  </a:solidFill>
                  <a:latin typeface="Quattrocento Sans"/>
                  <a:ea typeface="Quattrocento Sans"/>
                  <a:cs typeface="Quattrocento Sans"/>
                  <a:sym typeface="Quattrocento Sans"/>
                </a:rPr>
                <a:t> cell, click the filter button        and then click to clear the </a:t>
              </a:r>
              <a:r>
                <a:rPr lang="en-US" sz="1050" b="1">
                  <a:solidFill>
                    <a:srgbClr val="3F3F3F"/>
                  </a:solidFill>
                  <a:latin typeface="Quattrocento Sans"/>
                  <a:ea typeface="Quattrocento Sans"/>
                  <a:cs typeface="Quattrocento Sans"/>
                  <a:sym typeface="Quattrocento Sans"/>
                </a:rPr>
                <a:t>Select All </a:t>
              </a:r>
              <a:r>
                <a:rPr lang="en-US" sz="1050">
                  <a:solidFill>
                    <a:srgbClr val="3F3F3F"/>
                  </a:solidFill>
                  <a:latin typeface="Quattrocento Sans"/>
                  <a:ea typeface="Quattrocento Sans"/>
                  <a:cs typeface="Quattrocento Sans"/>
                  <a:sym typeface="Quattrocento Sans"/>
                </a:rPr>
                <a:t>checkbox. Then, click to select </a:t>
              </a:r>
              <a:r>
                <a:rPr lang="en-US" sz="1050" b="1">
                  <a:solidFill>
                    <a:srgbClr val="3F3F3F"/>
                  </a:solidFill>
                  <a:latin typeface="Quattrocento Sans"/>
                  <a:ea typeface="Quattrocento Sans"/>
                  <a:cs typeface="Quattrocento Sans"/>
                  <a:sym typeface="Quattrocento Sans"/>
                </a:rPr>
                <a:t>Bakery</a:t>
              </a:r>
              <a:r>
                <a:rPr lang="en-US" sz="1050">
                  <a:solidFill>
                    <a:srgbClr val="3F3F3F"/>
                  </a:solidFill>
                  <a:latin typeface="Quattrocento Sans"/>
                  <a:ea typeface="Quattrocento Sans"/>
                  <a:cs typeface="Quattrocento Sans"/>
                  <a:sym typeface="Quattrocento Sans"/>
                </a:rPr>
                <a:t>.</a:t>
              </a:r>
              <a:endParaRPr sz="1050" b="0" i="0" u="none" strike="noStrike" cap="none">
                <a:solidFill>
                  <a:srgbClr val="3F3F3F"/>
                </a:solidFill>
                <a:latin typeface="Quattrocento Sans"/>
                <a:ea typeface="Quattrocento Sans"/>
                <a:cs typeface="Quattrocento Sans"/>
                <a:sym typeface="Quattrocento Sans"/>
              </a:endParaRPr>
            </a:p>
          </xdr:txBody>
        </xdr:sp>
        <xdr:sp macro="" textlink="">
          <xdr:nvSpPr>
            <xdr:cNvPr id="397" name="Shape 397" descr="4">
              <a:extLst>
                <a:ext uri="{FF2B5EF4-FFF2-40B4-BE49-F238E27FC236}">
                  <a16:creationId xmlns:a16="http://schemas.microsoft.com/office/drawing/2014/main" id="{00000000-0008-0000-0400-00008D010000}"/>
                </a:ext>
              </a:extLst>
            </xdr:cNvPr>
            <xdr:cNvSpPr/>
          </xdr:nvSpPr>
          <xdr:spPr>
            <a:xfrm>
              <a:off x="565124" y="2536708"/>
              <a:ext cx="371587"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4</a:t>
              </a:r>
              <a:endParaRPr sz="1400"/>
            </a:p>
          </xdr:txBody>
        </xdr:sp>
        <xdr:sp macro="" textlink="">
          <xdr:nvSpPr>
            <xdr:cNvPr id="398" name="Shape 398" descr="Click OK and only the Bakery rows appear. Now clear the filter by clicking the filter button for Department and then click Clear filter...">
              <a:extLst>
                <a:ext uri="{FF2B5EF4-FFF2-40B4-BE49-F238E27FC236}">
                  <a16:creationId xmlns:a16="http://schemas.microsoft.com/office/drawing/2014/main" id="{00000000-0008-0000-0400-00008E010000}"/>
                </a:ext>
              </a:extLst>
            </xdr:cNvPr>
            <xdr:cNvSpPr txBox="1"/>
          </xdr:nvSpPr>
          <xdr:spPr>
            <a:xfrm>
              <a:off x="972158" y="3239757"/>
              <a:ext cx="4809516" cy="561387"/>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050">
                  <a:solidFill>
                    <a:srgbClr val="3F3F3F"/>
                  </a:solidFill>
                  <a:latin typeface="Quattrocento Sans"/>
                  <a:ea typeface="Quattrocento Sans"/>
                  <a:cs typeface="Quattrocento Sans"/>
                  <a:sym typeface="Quattrocento Sans"/>
                </a:rPr>
                <a:t>Click </a:t>
              </a:r>
              <a:r>
                <a:rPr lang="en-US" sz="1050" b="1">
                  <a:solidFill>
                    <a:srgbClr val="3F3F3F"/>
                  </a:solidFill>
                  <a:latin typeface="Quattrocento Sans"/>
                  <a:ea typeface="Quattrocento Sans"/>
                  <a:cs typeface="Quattrocento Sans"/>
                  <a:sym typeface="Quattrocento Sans"/>
                </a:rPr>
                <a:t>OK</a:t>
              </a:r>
              <a:r>
                <a:rPr lang="en-US" sz="1050">
                  <a:solidFill>
                    <a:srgbClr val="3F3F3F"/>
                  </a:solidFill>
                  <a:latin typeface="Quattrocento Sans"/>
                  <a:ea typeface="Quattrocento Sans"/>
                  <a:cs typeface="Quattrocento Sans"/>
                  <a:sym typeface="Quattrocento Sans"/>
                </a:rPr>
                <a:t> and only the Bakery rows appear. Now clear the filter by clicking the filter button       for Department and then click </a:t>
              </a:r>
              <a:r>
                <a:rPr lang="en-US" sz="1050" b="1">
                  <a:solidFill>
                    <a:srgbClr val="3F3F3F"/>
                  </a:solidFill>
                  <a:latin typeface="Quattrocento Sans"/>
                  <a:ea typeface="Quattrocento Sans"/>
                  <a:cs typeface="Quattrocento Sans"/>
                  <a:sym typeface="Quattrocento Sans"/>
                </a:rPr>
                <a:t>Clear filter...</a:t>
              </a:r>
              <a:endParaRPr sz="1050">
                <a:solidFill>
                  <a:srgbClr val="3F3F3F"/>
                </a:solidFill>
                <a:latin typeface="Quattrocento Sans"/>
                <a:ea typeface="Quattrocento Sans"/>
                <a:cs typeface="Quattrocento Sans"/>
                <a:sym typeface="Quattrocento Sans"/>
              </a:endParaRPr>
            </a:p>
          </xdr:txBody>
        </xdr:sp>
        <xdr:sp macro="" textlink="">
          <xdr:nvSpPr>
            <xdr:cNvPr id="399" name="Shape 399" descr="5">
              <a:extLst>
                <a:ext uri="{FF2B5EF4-FFF2-40B4-BE49-F238E27FC236}">
                  <a16:creationId xmlns:a16="http://schemas.microsoft.com/office/drawing/2014/main" id="{00000000-0008-0000-0400-00008F010000}"/>
                </a:ext>
              </a:extLst>
            </xdr:cNvPr>
            <xdr:cNvSpPr/>
          </xdr:nvSpPr>
          <xdr:spPr>
            <a:xfrm>
              <a:off x="565124" y="3197259"/>
              <a:ext cx="371587"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5</a:t>
              </a:r>
              <a:endParaRPr sz="1400"/>
            </a:p>
          </xdr:txBody>
        </xdr:sp>
        <xdr:pic>
          <xdr:nvPicPr>
            <xdr:cNvPr id="400" name="Shape 400" descr="Filter button">
              <a:extLst>
                <a:ext uri="{FF2B5EF4-FFF2-40B4-BE49-F238E27FC236}">
                  <a16:creationId xmlns:a16="http://schemas.microsoft.com/office/drawing/2014/main" id="{00000000-0008-0000-0400-000090010000}"/>
                </a:ext>
              </a:extLst>
            </xdr:cNvPr>
            <xdr:cNvPicPr preferRelativeResize="0"/>
          </xdr:nvPicPr>
          <xdr:blipFill rotWithShape="1">
            <a:blip xmlns:r="http://schemas.openxmlformats.org/officeDocument/2006/relationships" r:embed="rId3">
              <a:alphaModFix/>
            </a:blip>
            <a:srcRect l="16000" t="17242" r="14999" b="24136"/>
            <a:stretch/>
          </xdr:blipFill>
          <xdr:spPr>
            <a:xfrm>
              <a:off x="1537177" y="2814385"/>
              <a:ext cx="140102" cy="138072"/>
            </a:xfrm>
            <a:prstGeom prst="rect">
              <a:avLst/>
            </a:prstGeom>
            <a:noFill/>
            <a:ln>
              <a:noFill/>
            </a:ln>
          </xdr:spPr>
        </xdr:pic>
        <xdr:pic>
          <xdr:nvPicPr>
            <xdr:cNvPr id="401" name="Shape 401" descr="Filter button">
              <a:extLst>
                <a:ext uri="{FF2B5EF4-FFF2-40B4-BE49-F238E27FC236}">
                  <a16:creationId xmlns:a16="http://schemas.microsoft.com/office/drawing/2014/main" id="{00000000-0008-0000-0400-000091010000}"/>
                </a:ext>
              </a:extLst>
            </xdr:cNvPr>
            <xdr:cNvPicPr preferRelativeResize="0"/>
          </xdr:nvPicPr>
          <xdr:blipFill rotWithShape="1">
            <a:blip xmlns:r="http://schemas.openxmlformats.org/officeDocument/2006/relationships" r:embed="rId3">
              <a:alphaModFix/>
            </a:blip>
            <a:srcRect l="16000" t="17242" r="14999" b="24136"/>
            <a:stretch/>
          </xdr:blipFill>
          <xdr:spPr>
            <a:xfrm>
              <a:off x="1832452" y="3481135"/>
              <a:ext cx="140102" cy="138072"/>
            </a:xfrm>
            <a:prstGeom prst="rect">
              <a:avLst/>
            </a:prstGeom>
            <a:noFill/>
            <a:ln>
              <a:noFill/>
            </a:ln>
          </xdr:spPr>
        </xdr:pic>
      </xdr:grpSp>
    </xdr:grpSp>
    <xdr:clientData fLocksWithSheet="0"/>
  </xdr:oneCellAnchor>
  <xdr:oneCellAnchor>
    <xdr:from>
      <xdr:col>0</xdr:col>
      <xdr:colOff>390525</xdr:colOff>
      <xdr:row>25</xdr:row>
      <xdr:rowOff>180975</xdr:rowOff>
    </xdr:from>
    <xdr:ext cx="5695950" cy="2847975"/>
    <xdr:grpSp>
      <xdr:nvGrpSpPr>
        <xdr:cNvPr id="6" name="Shape 2">
          <a:extLst>
            <a:ext uri="{FF2B5EF4-FFF2-40B4-BE49-F238E27FC236}">
              <a16:creationId xmlns:a16="http://schemas.microsoft.com/office/drawing/2014/main" id="{00000000-0008-0000-0400-000006000000}"/>
            </a:ext>
          </a:extLst>
        </xdr:cNvPr>
        <xdr:cNvGrpSpPr/>
      </xdr:nvGrpSpPr>
      <xdr:grpSpPr>
        <a:xfrm>
          <a:off x="390525" y="5524500"/>
          <a:ext cx="5695950" cy="2847975"/>
          <a:chOff x="2498025" y="2356013"/>
          <a:chExt cx="5695950" cy="2847975"/>
        </a:xfrm>
      </xdr:grpSpPr>
      <xdr:grpSp>
        <xdr:nvGrpSpPr>
          <xdr:cNvPr id="402" name="Shape 402" descr="Sort by date, or by color even&#10;There are many ways to sort in Excel. Here are just two more ways to sort, but this time you'll use the right-click menu:&#10;You want the dates in order. So, right-click a date and then click &#10;Sort &gt; Sort Oldest to Newest. The rows get sorted in ascending date order by the Expense date.&#10;Someone filled three cells with yellow. You can sort the rows by that color. Right-click a yellow cell, and then click Sort &gt; Put Selected Cell Color &#10;on Top">
            <a:extLst>
              <a:ext uri="{FF2B5EF4-FFF2-40B4-BE49-F238E27FC236}">
                <a16:creationId xmlns:a16="http://schemas.microsoft.com/office/drawing/2014/main" id="{00000000-0008-0000-0400-000092010000}"/>
              </a:ext>
            </a:extLst>
          </xdr:cNvPr>
          <xdr:cNvGrpSpPr/>
        </xdr:nvGrpSpPr>
        <xdr:grpSpPr>
          <a:xfrm>
            <a:off x="2498025" y="2356013"/>
            <a:ext cx="5695950" cy="2847975"/>
            <a:chOff x="0" y="-9524"/>
            <a:chExt cx="5695950" cy="2838449"/>
          </a:xfrm>
        </xdr:grpSpPr>
        <xdr:sp macro="" textlink="">
          <xdr:nvSpPr>
            <xdr:cNvPr id="7" name="Shape 4">
              <a:extLst>
                <a:ext uri="{FF2B5EF4-FFF2-40B4-BE49-F238E27FC236}">
                  <a16:creationId xmlns:a16="http://schemas.microsoft.com/office/drawing/2014/main" id="{00000000-0008-0000-0400-000007000000}"/>
                </a:ext>
              </a:extLst>
            </xdr:cNvPr>
            <xdr:cNvSpPr/>
          </xdr:nvSpPr>
          <xdr:spPr>
            <a:xfrm>
              <a:off x="0" y="-9524"/>
              <a:ext cx="5695950" cy="28384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403" name="Shape 403" descr="Background">
              <a:extLst>
                <a:ext uri="{FF2B5EF4-FFF2-40B4-BE49-F238E27FC236}">
                  <a16:creationId xmlns:a16="http://schemas.microsoft.com/office/drawing/2014/main" id="{00000000-0008-0000-0400-000093010000}"/>
                </a:ext>
              </a:extLst>
            </xdr:cNvPr>
            <xdr:cNvSpPr/>
          </xdr:nvSpPr>
          <xdr:spPr>
            <a:xfrm>
              <a:off x="0" y="-9524"/>
              <a:ext cx="5695950" cy="2838449"/>
            </a:xfrm>
            <a:prstGeom prst="rect">
              <a:avLst/>
            </a:prstGeom>
            <a:solidFill>
              <a:srgbClr val="F5F5F5"/>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404" name="Shape 404" descr="Sort by date, or by color even">
              <a:extLst>
                <a:ext uri="{FF2B5EF4-FFF2-40B4-BE49-F238E27FC236}">
                  <a16:creationId xmlns:a16="http://schemas.microsoft.com/office/drawing/2014/main" id="{00000000-0008-0000-0400-000094010000}"/>
                </a:ext>
              </a:extLst>
            </xdr:cNvPr>
            <xdr:cNvSpPr txBox="1"/>
          </xdr:nvSpPr>
          <xdr:spPr>
            <a:xfrm>
              <a:off x="231748" y="118698"/>
              <a:ext cx="5216551" cy="490903"/>
            </a:xfrm>
            <a:prstGeom prst="rect">
              <a:avLst/>
            </a:prstGeom>
            <a:noFill/>
            <a:ln>
              <a:noFill/>
            </a:ln>
          </xdr:spPr>
          <xdr:txBody>
            <a:bodyPr spcFirstLastPara="1" wrap="square" lIns="0" tIns="45700" rIns="0" bIns="45700" anchor="t" anchorCtr="0">
              <a:noAutofit/>
            </a:bodyPr>
            <a:lstStyle/>
            <a:p>
              <a:pPr marL="0" marR="0" lvl="0" indent="0" algn="l" rtl="0">
                <a:lnSpc>
                  <a:spcPct val="100000"/>
                </a:lnSpc>
                <a:spcBef>
                  <a:spcPts val="0"/>
                </a:spcBef>
                <a:spcAft>
                  <a:spcPts val="0"/>
                </a:spcAft>
                <a:buClr>
                  <a:srgbClr val="3A3838"/>
                </a:buClr>
                <a:buSzPts val="2200"/>
                <a:buFont typeface="Quattrocento Sans"/>
                <a:buNone/>
              </a:pPr>
              <a:r>
                <a:rPr lang="en-US" sz="2200" b="0" i="0" u="none" strike="noStrike" cap="none">
                  <a:solidFill>
                    <a:srgbClr val="3A3838"/>
                  </a:solidFill>
                  <a:latin typeface="Quattrocento Sans"/>
                  <a:ea typeface="Quattrocento Sans"/>
                  <a:cs typeface="Quattrocento Sans"/>
                  <a:sym typeface="Quattrocento Sans"/>
                </a:rPr>
                <a:t>Sort by date, or by color even</a:t>
              </a:r>
              <a:endParaRPr sz="2200" b="0">
                <a:solidFill>
                  <a:srgbClr val="3A3838"/>
                </a:solidFill>
                <a:latin typeface="Quattrocento Sans"/>
                <a:ea typeface="Quattrocento Sans"/>
                <a:cs typeface="Quattrocento Sans"/>
                <a:sym typeface="Quattrocento Sans"/>
              </a:endParaRPr>
            </a:p>
          </xdr:txBody>
        </xdr:sp>
        <xdr:cxnSp macro="">
          <xdr:nvCxnSpPr>
            <xdr:cNvPr id="405" name="Shape 405" descr="Decorative line">
              <a:extLst>
                <a:ext uri="{FF2B5EF4-FFF2-40B4-BE49-F238E27FC236}">
                  <a16:creationId xmlns:a16="http://schemas.microsoft.com/office/drawing/2014/main" id="{00000000-0008-0000-0400-000095010000}"/>
                </a:ext>
              </a:extLst>
            </xdr:cNvPr>
            <xdr:cNvCxnSpPr/>
          </xdr:nvCxnSpPr>
          <xdr:spPr>
            <a:xfrm>
              <a:off x="234924" y="626111"/>
              <a:ext cx="5213376" cy="0"/>
            </a:xfrm>
            <a:prstGeom prst="straightConnector1">
              <a:avLst/>
            </a:prstGeom>
            <a:noFill/>
            <a:ln w="25400" cap="flat" cmpd="sng">
              <a:solidFill>
                <a:srgbClr val="217346"/>
              </a:solidFill>
              <a:prstDash val="solid"/>
              <a:round/>
              <a:headEnd type="none" w="sm" len="sm"/>
              <a:tailEnd type="none" w="sm" len="sm"/>
            </a:ln>
          </xdr:spPr>
        </xdr:cxnSp>
        <xdr:cxnSp macro="">
          <xdr:nvCxnSpPr>
            <xdr:cNvPr id="406" name="Shape 406" descr="Decorative line">
              <a:extLst>
                <a:ext uri="{FF2B5EF4-FFF2-40B4-BE49-F238E27FC236}">
                  <a16:creationId xmlns:a16="http://schemas.microsoft.com/office/drawing/2014/main" id="{00000000-0008-0000-0400-000096010000}"/>
                </a:ext>
              </a:extLst>
            </xdr:cNvPr>
            <xdr:cNvCxnSpPr/>
          </xdr:nvCxnSpPr>
          <xdr:spPr>
            <a:xfrm>
              <a:off x="234924" y="2600325"/>
              <a:ext cx="5213376" cy="0"/>
            </a:xfrm>
            <a:prstGeom prst="straightConnector1">
              <a:avLst/>
            </a:prstGeom>
            <a:noFill/>
            <a:ln w="25400" cap="flat" cmpd="sng">
              <a:solidFill>
                <a:srgbClr val="217346"/>
              </a:solidFill>
              <a:prstDash val="solid"/>
              <a:round/>
              <a:headEnd type="none" w="sm" len="sm"/>
              <a:tailEnd type="none" w="sm" len="sm"/>
            </a:ln>
          </xdr:spPr>
        </xdr:cxnSp>
        <xdr:sp macro="" textlink="">
          <xdr:nvSpPr>
            <xdr:cNvPr id="407" name="Shape 407" descr="There are many ways to sort in Excel. Here are just two more ways to sort, but this time you'll use the right-click menu:">
              <a:extLst>
                <a:ext uri="{FF2B5EF4-FFF2-40B4-BE49-F238E27FC236}">
                  <a16:creationId xmlns:a16="http://schemas.microsoft.com/office/drawing/2014/main" id="{00000000-0008-0000-0400-000097010000}"/>
                </a:ext>
              </a:extLst>
            </xdr:cNvPr>
            <xdr:cNvSpPr txBox="1"/>
          </xdr:nvSpPr>
          <xdr:spPr>
            <a:xfrm>
              <a:off x="228600" y="699721"/>
              <a:ext cx="5300938" cy="490905"/>
            </a:xfrm>
            <a:prstGeom prst="rect">
              <a:avLst/>
            </a:prstGeom>
            <a:noFill/>
            <a:ln>
              <a:noFill/>
            </a:ln>
          </xdr:spPr>
          <xdr:txBody>
            <a:bodyPr spcFirstLastPara="1" wrap="square" lIns="0" tIns="45700" rIns="0" bIns="45700" anchor="t" anchorCtr="0">
              <a:noAutofit/>
            </a:bodyPr>
            <a:lstStyle/>
            <a:p>
              <a:pPr marL="0" lvl="0" indent="0" algn="l" rtl="0">
                <a:spcBef>
                  <a:spcPts val="0"/>
                </a:spcBef>
                <a:spcAft>
                  <a:spcPts val="0"/>
                </a:spcAft>
                <a:buNone/>
              </a:pPr>
              <a:r>
                <a:rPr lang="en-US" sz="1050">
                  <a:solidFill>
                    <a:srgbClr val="3F3F3F"/>
                  </a:solidFill>
                  <a:latin typeface="Quattrocento Sans"/>
                  <a:ea typeface="Quattrocento Sans"/>
                  <a:cs typeface="Quattrocento Sans"/>
                  <a:sym typeface="Quattrocento Sans"/>
                </a:rPr>
                <a:t>There are many ways to sort in Excel. Here are just two more ways to sort, but this time you'll use the right-click menu:</a:t>
              </a:r>
              <a:endParaRPr sz="1400"/>
            </a:p>
          </xdr:txBody>
        </xdr:sp>
        <xdr:sp macro="" textlink="">
          <xdr:nvSpPr>
            <xdr:cNvPr id="408" name="Shape 408" descr="You want the dates in order. So, right-click a date and then click &#10;Sort &gt; Sort Oldest to Newest. The rows get sorted in ascending date order by the Expense date">
              <a:extLst>
                <a:ext uri="{FF2B5EF4-FFF2-40B4-BE49-F238E27FC236}">
                  <a16:creationId xmlns:a16="http://schemas.microsoft.com/office/drawing/2014/main" id="{00000000-0008-0000-0400-000098010000}"/>
                </a:ext>
              </a:extLst>
            </xdr:cNvPr>
            <xdr:cNvSpPr txBox="1"/>
          </xdr:nvSpPr>
          <xdr:spPr>
            <a:xfrm>
              <a:off x="638783" y="1202197"/>
              <a:ext cx="4809516" cy="561387"/>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050">
                  <a:solidFill>
                    <a:schemeClr val="dk1"/>
                  </a:solidFill>
                  <a:latin typeface="Quattrocento Sans"/>
                  <a:ea typeface="Quattrocento Sans"/>
                  <a:cs typeface="Quattrocento Sans"/>
                  <a:sym typeface="Quattrocento Sans"/>
                </a:rPr>
                <a:t>You want the dates in order. So, right-click a date and then click </a:t>
              </a:r>
              <a:br>
                <a:rPr lang="en-US" sz="1050">
                  <a:solidFill>
                    <a:schemeClr val="dk1"/>
                  </a:solidFill>
                  <a:latin typeface="Quattrocento Sans"/>
                  <a:ea typeface="Quattrocento Sans"/>
                  <a:cs typeface="Quattrocento Sans"/>
                  <a:sym typeface="Quattrocento Sans"/>
                </a:rPr>
              </a:br>
              <a:r>
                <a:rPr lang="en-US" sz="1050" b="1">
                  <a:solidFill>
                    <a:schemeClr val="dk1"/>
                  </a:solidFill>
                  <a:latin typeface="Quattrocento Sans"/>
                  <a:ea typeface="Quattrocento Sans"/>
                  <a:cs typeface="Quattrocento Sans"/>
                  <a:sym typeface="Quattrocento Sans"/>
                </a:rPr>
                <a:t>Sort</a:t>
              </a:r>
              <a:r>
                <a:rPr lang="en-US" sz="1050">
                  <a:solidFill>
                    <a:schemeClr val="dk1"/>
                  </a:solidFill>
                  <a:latin typeface="Quattrocento Sans"/>
                  <a:ea typeface="Quattrocento Sans"/>
                  <a:cs typeface="Quattrocento Sans"/>
                  <a:sym typeface="Quattrocento Sans"/>
                </a:rPr>
                <a:t> &gt; </a:t>
              </a:r>
              <a:r>
                <a:rPr lang="en-US" sz="1050" b="1">
                  <a:solidFill>
                    <a:schemeClr val="dk1"/>
                  </a:solidFill>
                  <a:latin typeface="Quattrocento Sans"/>
                  <a:ea typeface="Quattrocento Sans"/>
                  <a:cs typeface="Quattrocento Sans"/>
                  <a:sym typeface="Quattrocento Sans"/>
                </a:rPr>
                <a:t>Sort Oldest to Newest</a:t>
              </a:r>
              <a:r>
                <a:rPr lang="en-US" sz="1050">
                  <a:solidFill>
                    <a:schemeClr val="dk1"/>
                  </a:solidFill>
                  <a:latin typeface="Quattrocento Sans"/>
                  <a:ea typeface="Quattrocento Sans"/>
                  <a:cs typeface="Quattrocento Sans"/>
                  <a:sym typeface="Quattrocento Sans"/>
                </a:rPr>
                <a:t>. The rows get sorted in ascending date order by the Expense date.</a:t>
              </a:r>
              <a:endParaRPr sz="1400"/>
            </a:p>
          </xdr:txBody>
        </xdr:sp>
        <xdr:sp macro="" textlink="">
          <xdr:nvSpPr>
            <xdr:cNvPr id="409" name="Shape 409" descr="1">
              <a:extLst>
                <a:ext uri="{FF2B5EF4-FFF2-40B4-BE49-F238E27FC236}">
                  <a16:creationId xmlns:a16="http://schemas.microsoft.com/office/drawing/2014/main" id="{00000000-0008-0000-0400-000099010000}"/>
                </a:ext>
              </a:extLst>
            </xdr:cNvPr>
            <xdr:cNvSpPr/>
          </xdr:nvSpPr>
          <xdr:spPr>
            <a:xfrm>
              <a:off x="231749" y="1159699"/>
              <a:ext cx="371587"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1</a:t>
              </a:r>
              <a:endParaRPr sz="1400"/>
            </a:p>
          </xdr:txBody>
        </xdr:sp>
        <xdr:sp macro="" textlink="">
          <xdr:nvSpPr>
            <xdr:cNvPr id="410" name="Shape 410" descr="Someone filled three cells with yellow. You can sort the rows by that color. Right-click a yellow cell, and then click Sort &gt; Put Selected Cell Color on Top">
              <a:extLst>
                <a:ext uri="{FF2B5EF4-FFF2-40B4-BE49-F238E27FC236}">
                  <a16:creationId xmlns:a16="http://schemas.microsoft.com/office/drawing/2014/main" id="{00000000-0008-0000-0400-00009A010000}"/>
                </a:ext>
              </a:extLst>
            </xdr:cNvPr>
            <xdr:cNvSpPr txBox="1"/>
          </xdr:nvSpPr>
          <xdr:spPr>
            <a:xfrm>
              <a:off x="638782" y="1864313"/>
              <a:ext cx="4809517" cy="63834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050">
                  <a:solidFill>
                    <a:schemeClr val="dk1"/>
                  </a:solidFill>
                  <a:latin typeface="Quattrocento Sans"/>
                  <a:ea typeface="Quattrocento Sans"/>
                  <a:cs typeface="Quattrocento Sans"/>
                  <a:sym typeface="Quattrocento Sans"/>
                </a:rPr>
                <a:t>Someone filled three cells with yellow. You can sort the rows by that color. Right-click a yellow cell, and then click </a:t>
              </a:r>
              <a:r>
                <a:rPr lang="en-US" sz="1050" b="1">
                  <a:solidFill>
                    <a:schemeClr val="dk1"/>
                  </a:solidFill>
                  <a:latin typeface="Quattrocento Sans"/>
                  <a:ea typeface="Quattrocento Sans"/>
                  <a:cs typeface="Quattrocento Sans"/>
                  <a:sym typeface="Quattrocento Sans"/>
                </a:rPr>
                <a:t>Sort</a:t>
              </a:r>
              <a:r>
                <a:rPr lang="en-US" sz="1050">
                  <a:solidFill>
                    <a:schemeClr val="dk1"/>
                  </a:solidFill>
                  <a:latin typeface="Quattrocento Sans"/>
                  <a:ea typeface="Quattrocento Sans"/>
                  <a:cs typeface="Quattrocento Sans"/>
                  <a:sym typeface="Quattrocento Sans"/>
                </a:rPr>
                <a:t> &gt; </a:t>
              </a:r>
              <a:r>
                <a:rPr lang="en-US" sz="1050" b="1">
                  <a:solidFill>
                    <a:schemeClr val="dk1"/>
                  </a:solidFill>
                  <a:latin typeface="Quattrocento Sans"/>
                  <a:ea typeface="Quattrocento Sans"/>
                  <a:cs typeface="Quattrocento Sans"/>
                  <a:sym typeface="Quattrocento Sans"/>
                </a:rPr>
                <a:t>Put Selected Cell Color </a:t>
              </a:r>
              <a:br>
                <a:rPr lang="en-US" sz="1050" b="1">
                  <a:solidFill>
                    <a:schemeClr val="dk1"/>
                  </a:solidFill>
                  <a:latin typeface="Quattrocento Sans"/>
                  <a:ea typeface="Quattrocento Sans"/>
                  <a:cs typeface="Quattrocento Sans"/>
                  <a:sym typeface="Quattrocento Sans"/>
                </a:rPr>
              </a:br>
              <a:r>
                <a:rPr lang="en-US" sz="1050" b="1">
                  <a:solidFill>
                    <a:schemeClr val="dk1"/>
                  </a:solidFill>
                  <a:latin typeface="Quattrocento Sans"/>
                  <a:ea typeface="Quattrocento Sans"/>
                  <a:cs typeface="Quattrocento Sans"/>
                  <a:sym typeface="Quattrocento Sans"/>
                </a:rPr>
                <a:t>on Top</a:t>
              </a:r>
              <a:r>
                <a:rPr lang="en-US" sz="1050">
                  <a:solidFill>
                    <a:schemeClr val="dk1"/>
                  </a:solidFill>
                  <a:latin typeface="Quattrocento Sans"/>
                  <a:ea typeface="Quattrocento Sans"/>
                  <a:cs typeface="Quattrocento Sans"/>
                  <a:sym typeface="Quattrocento Sans"/>
                </a:rPr>
                <a:t>. </a:t>
              </a:r>
              <a:endParaRPr sz="1400"/>
            </a:p>
          </xdr:txBody>
        </xdr:sp>
        <xdr:sp macro="" textlink="">
          <xdr:nvSpPr>
            <xdr:cNvPr id="411" name="Shape 411" descr="2">
              <a:extLst>
                <a:ext uri="{FF2B5EF4-FFF2-40B4-BE49-F238E27FC236}">
                  <a16:creationId xmlns:a16="http://schemas.microsoft.com/office/drawing/2014/main" id="{00000000-0008-0000-0400-00009B010000}"/>
                </a:ext>
              </a:extLst>
            </xdr:cNvPr>
            <xdr:cNvSpPr/>
          </xdr:nvSpPr>
          <xdr:spPr>
            <a:xfrm>
              <a:off x="231749" y="1821815"/>
              <a:ext cx="371587"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2</a:t>
              </a:r>
              <a:endParaRPr sz="1400"/>
            </a:p>
          </xdr:txBody>
        </xdr:sp>
      </xdr:grpSp>
    </xdr:grpSp>
    <xdr:clientData fLocksWithSheet="0"/>
  </xdr:oneCellAnchor>
  <xdr:oneCellAnchor>
    <xdr:from>
      <xdr:col>6</xdr:col>
      <xdr:colOff>266700</xdr:colOff>
      <xdr:row>29</xdr:row>
      <xdr:rowOff>104775</xdr:rowOff>
    </xdr:from>
    <xdr:ext cx="2133600" cy="1628775"/>
    <xdr:grpSp>
      <xdr:nvGrpSpPr>
        <xdr:cNvPr id="8" name="Shape 2">
          <a:extLst>
            <a:ext uri="{FF2B5EF4-FFF2-40B4-BE49-F238E27FC236}">
              <a16:creationId xmlns:a16="http://schemas.microsoft.com/office/drawing/2014/main" id="{00000000-0008-0000-0400-000008000000}"/>
            </a:ext>
          </a:extLst>
        </xdr:cNvPr>
        <xdr:cNvGrpSpPr/>
      </xdr:nvGrpSpPr>
      <xdr:grpSpPr>
        <a:xfrm>
          <a:off x="9658350" y="6219825"/>
          <a:ext cx="2133600" cy="1628775"/>
          <a:chOff x="4279200" y="2965613"/>
          <a:chExt cx="2133600" cy="1628775"/>
        </a:xfrm>
      </xdr:grpSpPr>
      <xdr:grpSp>
        <xdr:nvGrpSpPr>
          <xdr:cNvPr id="412" name="Shape 412" descr="IMPORTANT DETAIL&#10;You can't clear a sort order like you can a filter. So if you don't want your sort to stick, undo it by pressing CTRL+Z">
            <a:extLst>
              <a:ext uri="{FF2B5EF4-FFF2-40B4-BE49-F238E27FC236}">
                <a16:creationId xmlns:a16="http://schemas.microsoft.com/office/drawing/2014/main" id="{00000000-0008-0000-0400-00009C010000}"/>
              </a:ext>
            </a:extLst>
          </xdr:cNvPr>
          <xdr:cNvGrpSpPr/>
        </xdr:nvGrpSpPr>
        <xdr:grpSpPr>
          <a:xfrm>
            <a:off x="4279200" y="2965613"/>
            <a:ext cx="2133600" cy="1628775"/>
            <a:chOff x="10582275" y="6629399"/>
            <a:chExt cx="2143124" cy="1619251"/>
          </a:xfrm>
        </xdr:grpSpPr>
        <xdr:sp macro="" textlink="">
          <xdr:nvSpPr>
            <xdr:cNvPr id="9" name="Shape 4">
              <a:extLst>
                <a:ext uri="{FF2B5EF4-FFF2-40B4-BE49-F238E27FC236}">
                  <a16:creationId xmlns:a16="http://schemas.microsoft.com/office/drawing/2014/main" id="{00000000-0008-0000-0400-000009000000}"/>
                </a:ext>
              </a:extLst>
            </xdr:cNvPr>
            <xdr:cNvSpPr/>
          </xdr:nvSpPr>
          <xdr:spPr>
            <a:xfrm>
              <a:off x="10582275" y="6629399"/>
              <a:ext cx="2143100" cy="1619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pic>
          <xdr:nvPicPr>
            <xdr:cNvPr id="413" name="Shape 413" descr="Magnifying glass">
              <a:extLst>
                <a:ext uri="{FF2B5EF4-FFF2-40B4-BE49-F238E27FC236}">
                  <a16:creationId xmlns:a16="http://schemas.microsoft.com/office/drawing/2014/main" id="{00000000-0008-0000-0400-00009D010000}"/>
                </a:ext>
              </a:extLst>
            </xdr:cNvPr>
            <xdr:cNvPicPr preferRelativeResize="0"/>
          </xdr:nvPicPr>
          <xdr:blipFill rotWithShape="1">
            <a:blip xmlns:r="http://schemas.openxmlformats.org/officeDocument/2006/relationships" r:embed="rId4">
              <a:alphaModFix/>
            </a:blip>
            <a:srcRect/>
            <a:stretch/>
          </xdr:blipFill>
          <xdr:spPr>
            <a:xfrm flipH="1">
              <a:off x="10582275" y="6674825"/>
              <a:ext cx="352313" cy="352311"/>
            </a:xfrm>
            <a:prstGeom prst="rect">
              <a:avLst/>
            </a:prstGeom>
            <a:noFill/>
            <a:ln>
              <a:noFill/>
            </a:ln>
          </xdr:spPr>
        </xdr:pic>
        <xdr:sp macro="" textlink="">
          <xdr:nvSpPr>
            <xdr:cNvPr id="414" name="Shape 414" descr="IMPORTANT DETAIL&#10;You can't clear a sort order like you can a filter. So if you don't want your sort to stick, undo it by pressing CTRL+Z">
              <a:extLst>
                <a:ext uri="{FF2B5EF4-FFF2-40B4-BE49-F238E27FC236}">
                  <a16:creationId xmlns:a16="http://schemas.microsoft.com/office/drawing/2014/main" id="{00000000-0008-0000-0400-00009E010000}"/>
                </a:ext>
              </a:extLst>
            </xdr:cNvPr>
            <xdr:cNvSpPr txBox="1"/>
          </xdr:nvSpPr>
          <xdr:spPr>
            <a:xfrm>
              <a:off x="10886716" y="6629399"/>
              <a:ext cx="1838683" cy="1619251"/>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200" b="1">
                  <a:solidFill>
                    <a:srgbClr val="F4B081"/>
                  </a:solidFill>
                  <a:latin typeface="Quattrocento Sans"/>
                  <a:ea typeface="Quattrocento Sans"/>
                  <a:cs typeface="Quattrocento Sans"/>
                  <a:sym typeface="Quattrocento Sans"/>
                </a:rPr>
                <a:t>IMPORTANT DETAIL</a:t>
              </a:r>
              <a:endParaRPr sz="1200" b="1">
                <a:solidFill>
                  <a:srgbClr val="F4B081"/>
                </a:solidFill>
                <a:latin typeface="Quattrocento Sans"/>
                <a:ea typeface="Quattrocento Sans"/>
                <a:cs typeface="Quattrocento Sans"/>
                <a:sym typeface="Quattrocento Sans"/>
              </a:endParaRPr>
            </a:p>
            <a:p>
              <a:pPr marL="0" lvl="0" indent="0" algn="l" rtl="0">
                <a:spcBef>
                  <a:spcPts val="0"/>
                </a:spcBef>
                <a:spcAft>
                  <a:spcPts val="0"/>
                </a:spcAft>
                <a:buNone/>
              </a:pPr>
              <a:r>
                <a:rPr lang="en-US" sz="1100">
                  <a:solidFill>
                    <a:srgbClr val="3A3838"/>
                  </a:solidFill>
                  <a:latin typeface="Calibri"/>
                  <a:ea typeface="Calibri"/>
                  <a:cs typeface="Calibri"/>
                  <a:sym typeface="Calibri"/>
                </a:rPr>
                <a:t>You can't clear a sort order like you can a filter. So if you don't want your sort to stick, undo it by pressing CTRL+Z.</a:t>
              </a:r>
              <a:endParaRPr sz="1100">
                <a:solidFill>
                  <a:srgbClr val="3A3838"/>
                </a:solidFill>
              </a:endParaRPr>
            </a:p>
          </xdr:txBody>
        </xdr:sp>
      </xdr:grpSp>
    </xdr:grpSp>
    <xdr:clientData fLocksWithSheet="0"/>
  </xdr:oneCellAnchor>
  <xdr:oneCellAnchor>
    <xdr:from>
      <xdr:col>0</xdr:col>
      <xdr:colOff>390525</xdr:colOff>
      <xdr:row>41</xdr:row>
      <xdr:rowOff>171450</xdr:rowOff>
    </xdr:from>
    <xdr:ext cx="5695950" cy="3095625"/>
    <xdr:grpSp>
      <xdr:nvGrpSpPr>
        <xdr:cNvPr id="10" name="Shape 2">
          <a:extLst>
            <a:ext uri="{FF2B5EF4-FFF2-40B4-BE49-F238E27FC236}">
              <a16:creationId xmlns:a16="http://schemas.microsoft.com/office/drawing/2014/main" id="{00000000-0008-0000-0400-00000A000000}"/>
            </a:ext>
          </a:extLst>
        </xdr:cNvPr>
        <xdr:cNvGrpSpPr/>
      </xdr:nvGrpSpPr>
      <xdr:grpSpPr>
        <a:xfrm>
          <a:off x="390525" y="8572500"/>
          <a:ext cx="5695950" cy="3095625"/>
          <a:chOff x="2498025" y="2232188"/>
          <a:chExt cx="5695950" cy="3095625"/>
        </a:xfrm>
      </xdr:grpSpPr>
      <xdr:grpSp>
        <xdr:nvGrpSpPr>
          <xdr:cNvPr id="415" name="Shape 415" descr="More ways to filter data&#10;Many people type formulas to find amounts that are above average, or greater than a certain amount. But there's no need to type formulas when special filters are available.&#10;On the Hotel cell, click the filter button and then click &#10;Number Filters &gt; Above Average. Excel calculates the average amount of the Hotel column, and then shows only rows with amounts greater than that average. &#10;Now add a second filter. On the Food cell, click the filter button and then click Number Filters &gt; Greater than..., and then type 25. Click OK. Of the three rows that were filtered for above average, Excel shows two rows with Food amounts greater than 25">
            <a:extLst>
              <a:ext uri="{FF2B5EF4-FFF2-40B4-BE49-F238E27FC236}">
                <a16:creationId xmlns:a16="http://schemas.microsoft.com/office/drawing/2014/main" id="{00000000-0008-0000-0400-00009F010000}"/>
              </a:ext>
            </a:extLst>
          </xdr:cNvPr>
          <xdr:cNvGrpSpPr/>
        </xdr:nvGrpSpPr>
        <xdr:grpSpPr>
          <a:xfrm>
            <a:off x="2498025" y="2232188"/>
            <a:ext cx="5695950" cy="3095625"/>
            <a:chOff x="390525" y="8972550"/>
            <a:chExt cx="5695950" cy="3171824"/>
          </a:xfrm>
        </xdr:grpSpPr>
        <xdr:sp macro="" textlink="">
          <xdr:nvSpPr>
            <xdr:cNvPr id="11" name="Shape 4">
              <a:extLst>
                <a:ext uri="{FF2B5EF4-FFF2-40B4-BE49-F238E27FC236}">
                  <a16:creationId xmlns:a16="http://schemas.microsoft.com/office/drawing/2014/main" id="{00000000-0008-0000-0400-00000B000000}"/>
                </a:ext>
              </a:extLst>
            </xdr:cNvPr>
            <xdr:cNvSpPr/>
          </xdr:nvSpPr>
          <xdr:spPr>
            <a:xfrm>
              <a:off x="390525" y="8972550"/>
              <a:ext cx="5695950" cy="3171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416" name="Shape 416" descr="Background">
              <a:extLst>
                <a:ext uri="{FF2B5EF4-FFF2-40B4-BE49-F238E27FC236}">
                  <a16:creationId xmlns:a16="http://schemas.microsoft.com/office/drawing/2014/main" id="{00000000-0008-0000-0400-0000A0010000}"/>
                </a:ext>
              </a:extLst>
            </xdr:cNvPr>
            <xdr:cNvSpPr/>
          </xdr:nvSpPr>
          <xdr:spPr>
            <a:xfrm>
              <a:off x="390525" y="8972550"/>
              <a:ext cx="5695950" cy="3171824"/>
            </a:xfrm>
            <a:prstGeom prst="rect">
              <a:avLst/>
            </a:prstGeom>
            <a:solidFill>
              <a:srgbClr val="F5F5F5"/>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417" name="Shape 417" descr="More ways to filter data">
              <a:extLst>
                <a:ext uri="{FF2B5EF4-FFF2-40B4-BE49-F238E27FC236}">
                  <a16:creationId xmlns:a16="http://schemas.microsoft.com/office/drawing/2014/main" id="{00000000-0008-0000-0400-0000A1010000}"/>
                </a:ext>
              </a:extLst>
            </xdr:cNvPr>
            <xdr:cNvSpPr txBox="1"/>
          </xdr:nvSpPr>
          <xdr:spPr>
            <a:xfrm>
              <a:off x="622273" y="9100772"/>
              <a:ext cx="5216551" cy="490903"/>
            </a:xfrm>
            <a:prstGeom prst="rect">
              <a:avLst/>
            </a:prstGeom>
            <a:noFill/>
            <a:ln>
              <a:noFill/>
            </a:ln>
          </xdr:spPr>
          <xdr:txBody>
            <a:bodyPr spcFirstLastPara="1" wrap="square" lIns="0" tIns="45700" rIns="0" bIns="45700" anchor="t" anchorCtr="0">
              <a:noAutofit/>
            </a:bodyPr>
            <a:lstStyle/>
            <a:p>
              <a:pPr marL="0" marR="0" lvl="0" indent="0" algn="l" rtl="0">
                <a:lnSpc>
                  <a:spcPct val="100000"/>
                </a:lnSpc>
                <a:spcBef>
                  <a:spcPts val="0"/>
                </a:spcBef>
                <a:spcAft>
                  <a:spcPts val="0"/>
                </a:spcAft>
                <a:buClr>
                  <a:srgbClr val="3A3838"/>
                </a:buClr>
                <a:buSzPts val="2200"/>
                <a:buFont typeface="Quattrocento Sans"/>
                <a:buNone/>
              </a:pPr>
              <a:r>
                <a:rPr lang="en-US" sz="2200" b="0" i="0" u="none" strike="noStrike" cap="none">
                  <a:solidFill>
                    <a:srgbClr val="3A3838"/>
                  </a:solidFill>
                  <a:latin typeface="Quattrocento Sans"/>
                  <a:ea typeface="Quattrocento Sans"/>
                  <a:cs typeface="Quattrocento Sans"/>
                  <a:sym typeface="Quattrocento Sans"/>
                </a:rPr>
                <a:t>More ways to filter data</a:t>
              </a:r>
              <a:endParaRPr sz="2200" b="0">
                <a:solidFill>
                  <a:srgbClr val="3A3838"/>
                </a:solidFill>
                <a:latin typeface="Quattrocento Sans"/>
                <a:ea typeface="Quattrocento Sans"/>
                <a:cs typeface="Quattrocento Sans"/>
                <a:sym typeface="Quattrocento Sans"/>
              </a:endParaRPr>
            </a:p>
          </xdr:txBody>
        </xdr:sp>
        <xdr:cxnSp macro="">
          <xdr:nvCxnSpPr>
            <xdr:cNvPr id="418" name="Shape 418" descr="Decorative line">
              <a:extLst>
                <a:ext uri="{FF2B5EF4-FFF2-40B4-BE49-F238E27FC236}">
                  <a16:creationId xmlns:a16="http://schemas.microsoft.com/office/drawing/2014/main" id="{00000000-0008-0000-0400-0000A2010000}"/>
                </a:ext>
              </a:extLst>
            </xdr:cNvPr>
            <xdr:cNvCxnSpPr/>
          </xdr:nvCxnSpPr>
          <xdr:spPr>
            <a:xfrm>
              <a:off x="625449" y="9608185"/>
              <a:ext cx="5213376" cy="0"/>
            </a:xfrm>
            <a:prstGeom prst="straightConnector1">
              <a:avLst/>
            </a:prstGeom>
            <a:noFill/>
            <a:ln w="25400" cap="flat" cmpd="sng">
              <a:solidFill>
                <a:srgbClr val="217346"/>
              </a:solidFill>
              <a:prstDash val="solid"/>
              <a:round/>
              <a:headEnd type="none" w="sm" len="sm"/>
              <a:tailEnd type="none" w="sm" len="sm"/>
            </a:ln>
          </xdr:spPr>
        </xdr:cxnSp>
        <xdr:cxnSp macro="">
          <xdr:nvCxnSpPr>
            <xdr:cNvPr id="419" name="Shape 419" descr="Decorative line">
              <a:extLst>
                <a:ext uri="{FF2B5EF4-FFF2-40B4-BE49-F238E27FC236}">
                  <a16:creationId xmlns:a16="http://schemas.microsoft.com/office/drawing/2014/main" id="{00000000-0008-0000-0400-0000A3010000}"/>
                </a:ext>
              </a:extLst>
            </xdr:cNvPr>
            <xdr:cNvCxnSpPr/>
          </xdr:nvCxnSpPr>
          <xdr:spPr>
            <a:xfrm>
              <a:off x="625449" y="11915774"/>
              <a:ext cx="5213376" cy="0"/>
            </a:xfrm>
            <a:prstGeom prst="straightConnector1">
              <a:avLst/>
            </a:prstGeom>
            <a:noFill/>
            <a:ln w="25400" cap="flat" cmpd="sng">
              <a:solidFill>
                <a:srgbClr val="217346"/>
              </a:solidFill>
              <a:prstDash val="solid"/>
              <a:round/>
              <a:headEnd type="none" w="sm" len="sm"/>
              <a:tailEnd type="none" w="sm" len="sm"/>
            </a:ln>
          </xdr:spPr>
        </xdr:cxnSp>
        <xdr:sp macro="" textlink="">
          <xdr:nvSpPr>
            <xdr:cNvPr id="420" name="Shape 420" descr="Many people type formulas to find amounts that are above average, or greater than a certain amount. But there's no need to type formulas when special filters are available">
              <a:extLst>
                <a:ext uri="{FF2B5EF4-FFF2-40B4-BE49-F238E27FC236}">
                  <a16:creationId xmlns:a16="http://schemas.microsoft.com/office/drawing/2014/main" id="{00000000-0008-0000-0400-0000A4010000}"/>
                </a:ext>
              </a:extLst>
            </xdr:cNvPr>
            <xdr:cNvSpPr txBox="1"/>
          </xdr:nvSpPr>
          <xdr:spPr>
            <a:xfrm>
              <a:off x="619125" y="9681795"/>
              <a:ext cx="5300938" cy="491169"/>
            </a:xfrm>
            <a:prstGeom prst="rect">
              <a:avLst/>
            </a:prstGeom>
            <a:noFill/>
            <a:ln>
              <a:noFill/>
            </a:ln>
          </xdr:spPr>
          <xdr:txBody>
            <a:bodyPr spcFirstLastPara="1" wrap="square" lIns="0" tIns="45700" rIns="0" bIns="45700" anchor="t" anchorCtr="0">
              <a:noAutofit/>
            </a:bodyPr>
            <a:lstStyle/>
            <a:p>
              <a:pPr marL="0" lvl="0" indent="0" algn="l" rtl="0">
                <a:spcBef>
                  <a:spcPts val="0"/>
                </a:spcBef>
                <a:spcAft>
                  <a:spcPts val="0"/>
                </a:spcAft>
                <a:buNone/>
              </a:pPr>
              <a:r>
                <a:rPr lang="en-US" sz="1050">
                  <a:solidFill>
                    <a:srgbClr val="3F3F3F"/>
                  </a:solidFill>
                  <a:latin typeface="Quattrocento Sans"/>
                  <a:ea typeface="Quattrocento Sans"/>
                  <a:cs typeface="Quattrocento Sans"/>
                  <a:sym typeface="Quattrocento Sans"/>
                </a:rPr>
                <a:t>Many people type formulas to find amounts that are above average, or greater than a certain amount. But there's no need to type formulas when special filters are available.</a:t>
              </a:r>
              <a:endParaRPr sz="1050">
                <a:solidFill>
                  <a:srgbClr val="3F3F3F"/>
                </a:solidFill>
                <a:latin typeface="Quattrocento Sans"/>
                <a:ea typeface="Quattrocento Sans"/>
                <a:cs typeface="Quattrocento Sans"/>
                <a:sym typeface="Quattrocento Sans"/>
              </a:endParaRPr>
            </a:p>
          </xdr:txBody>
        </xdr:sp>
        <xdr:sp macro="" textlink="">
          <xdr:nvSpPr>
            <xdr:cNvPr id="421" name="Shape 421" descr="On the Hotel cell, click the filter button and then click &#10;Number Filters &gt; Above Average. Excel calculates the average amount of the Hotel column, and then shows only rows with amounts greater than that average">
              <a:extLst>
                <a:ext uri="{FF2B5EF4-FFF2-40B4-BE49-F238E27FC236}">
                  <a16:creationId xmlns:a16="http://schemas.microsoft.com/office/drawing/2014/main" id="{00000000-0008-0000-0400-0000A5010000}"/>
                </a:ext>
              </a:extLst>
            </xdr:cNvPr>
            <xdr:cNvSpPr txBox="1"/>
          </xdr:nvSpPr>
          <xdr:spPr>
            <a:xfrm>
              <a:off x="1029308" y="10184270"/>
              <a:ext cx="4809516" cy="818246"/>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050">
                  <a:solidFill>
                    <a:schemeClr val="dk1"/>
                  </a:solidFill>
                  <a:latin typeface="Quattrocento Sans"/>
                  <a:ea typeface="Quattrocento Sans"/>
                  <a:cs typeface="Quattrocento Sans"/>
                  <a:sym typeface="Quattrocento Sans"/>
                </a:rPr>
                <a:t>On the </a:t>
              </a:r>
              <a:r>
                <a:rPr lang="en-US" sz="1050" b="1">
                  <a:solidFill>
                    <a:schemeClr val="dk1"/>
                  </a:solidFill>
                  <a:latin typeface="Quattrocento Sans"/>
                  <a:ea typeface="Quattrocento Sans"/>
                  <a:cs typeface="Quattrocento Sans"/>
                  <a:sym typeface="Quattrocento Sans"/>
                </a:rPr>
                <a:t>Hotel</a:t>
              </a:r>
              <a:r>
                <a:rPr lang="en-US" sz="1050">
                  <a:solidFill>
                    <a:schemeClr val="dk1"/>
                  </a:solidFill>
                  <a:latin typeface="Quattrocento Sans"/>
                  <a:ea typeface="Quattrocento Sans"/>
                  <a:cs typeface="Quattrocento Sans"/>
                  <a:sym typeface="Quattrocento Sans"/>
                </a:rPr>
                <a:t> cell, click the filter button        and then click </a:t>
              </a:r>
              <a:br>
                <a:rPr lang="en-US" sz="1050">
                  <a:solidFill>
                    <a:schemeClr val="dk1"/>
                  </a:solidFill>
                  <a:latin typeface="Quattrocento Sans"/>
                  <a:ea typeface="Quattrocento Sans"/>
                  <a:cs typeface="Quattrocento Sans"/>
                  <a:sym typeface="Quattrocento Sans"/>
                </a:rPr>
              </a:br>
              <a:r>
                <a:rPr lang="en-US" sz="1050" b="1">
                  <a:solidFill>
                    <a:schemeClr val="dk1"/>
                  </a:solidFill>
                  <a:latin typeface="Quattrocento Sans"/>
                  <a:ea typeface="Quattrocento Sans"/>
                  <a:cs typeface="Quattrocento Sans"/>
                  <a:sym typeface="Quattrocento Sans"/>
                </a:rPr>
                <a:t>Number Filters</a:t>
              </a:r>
              <a:r>
                <a:rPr lang="en-US" sz="1050">
                  <a:solidFill>
                    <a:schemeClr val="dk1"/>
                  </a:solidFill>
                  <a:latin typeface="Quattrocento Sans"/>
                  <a:ea typeface="Quattrocento Sans"/>
                  <a:cs typeface="Quattrocento Sans"/>
                  <a:sym typeface="Quattrocento Sans"/>
                </a:rPr>
                <a:t> &gt; </a:t>
              </a:r>
              <a:r>
                <a:rPr lang="en-US" sz="1050" b="1">
                  <a:solidFill>
                    <a:schemeClr val="dk1"/>
                  </a:solidFill>
                  <a:latin typeface="Quattrocento Sans"/>
                  <a:ea typeface="Quattrocento Sans"/>
                  <a:cs typeface="Quattrocento Sans"/>
                  <a:sym typeface="Quattrocento Sans"/>
                </a:rPr>
                <a:t>Above Average</a:t>
              </a:r>
              <a:r>
                <a:rPr lang="en-US" sz="1050">
                  <a:solidFill>
                    <a:schemeClr val="dk1"/>
                  </a:solidFill>
                  <a:latin typeface="Quattrocento Sans"/>
                  <a:ea typeface="Quattrocento Sans"/>
                  <a:cs typeface="Quattrocento Sans"/>
                  <a:sym typeface="Quattrocento Sans"/>
                </a:rPr>
                <a:t>. Excel calculates the average amount of the Hotel column, and then shows only rows with amounts greater than that average. </a:t>
              </a:r>
              <a:endParaRPr sz="1400"/>
            </a:p>
          </xdr:txBody>
        </xdr:sp>
        <xdr:sp macro="" textlink="">
          <xdr:nvSpPr>
            <xdr:cNvPr id="422" name="Shape 422" descr="1">
              <a:extLst>
                <a:ext uri="{FF2B5EF4-FFF2-40B4-BE49-F238E27FC236}">
                  <a16:creationId xmlns:a16="http://schemas.microsoft.com/office/drawing/2014/main" id="{00000000-0008-0000-0400-0000A6010000}"/>
                </a:ext>
              </a:extLst>
            </xdr:cNvPr>
            <xdr:cNvSpPr/>
          </xdr:nvSpPr>
          <xdr:spPr>
            <a:xfrm>
              <a:off x="622274" y="10141773"/>
              <a:ext cx="371587"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1</a:t>
              </a:r>
              <a:endParaRPr sz="1400"/>
            </a:p>
          </xdr:txBody>
        </xdr:sp>
        <xdr:sp macro="" textlink="">
          <xdr:nvSpPr>
            <xdr:cNvPr id="423" name="Shape 423" descr="Now add a second filter. On the Food cell, click the filter button      and then click Number Filters &gt; Greater than..., and then type 25. Click OK.&#10;Of the three rows that were filtered for above average, Excel shows two rows with Food amounts greater than 25">
              <a:extLst>
                <a:ext uri="{FF2B5EF4-FFF2-40B4-BE49-F238E27FC236}">
                  <a16:creationId xmlns:a16="http://schemas.microsoft.com/office/drawing/2014/main" id="{00000000-0008-0000-0400-0000A7010000}"/>
                </a:ext>
              </a:extLst>
            </xdr:cNvPr>
            <xdr:cNvSpPr txBox="1"/>
          </xdr:nvSpPr>
          <xdr:spPr>
            <a:xfrm>
              <a:off x="1029307" y="11005772"/>
              <a:ext cx="4809517" cy="795702"/>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050">
                  <a:solidFill>
                    <a:schemeClr val="dk1"/>
                  </a:solidFill>
                  <a:latin typeface="Quattrocento Sans"/>
                  <a:ea typeface="Quattrocento Sans"/>
                  <a:cs typeface="Quattrocento Sans"/>
                  <a:sym typeface="Quattrocento Sans"/>
                </a:rPr>
                <a:t>Now add a second filter. On the </a:t>
              </a:r>
              <a:r>
                <a:rPr lang="en-US" sz="1050" b="1">
                  <a:solidFill>
                    <a:schemeClr val="dk1"/>
                  </a:solidFill>
                  <a:latin typeface="Quattrocento Sans"/>
                  <a:ea typeface="Quattrocento Sans"/>
                  <a:cs typeface="Quattrocento Sans"/>
                  <a:sym typeface="Quattrocento Sans"/>
                </a:rPr>
                <a:t>Food</a:t>
              </a:r>
              <a:r>
                <a:rPr lang="en-US" sz="1050">
                  <a:solidFill>
                    <a:schemeClr val="dk1"/>
                  </a:solidFill>
                  <a:latin typeface="Quattrocento Sans"/>
                  <a:ea typeface="Quattrocento Sans"/>
                  <a:cs typeface="Quattrocento Sans"/>
                  <a:sym typeface="Quattrocento Sans"/>
                </a:rPr>
                <a:t> cell, click the filter button      and then click </a:t>
              </a:r>
              <a:r>
                <a:rPr lang="en-US" sz="1050" b="1">
                  <a:solidFill>
                    <a:schemeClr val="dk1"/>
                  </a:solidFill>
                  <a:latin typeface="Quattrocento Sans"/>
                  <a:ea typeface="Quattrocento Sans"/>
                  <a:cs typeface="Quattrocento Sans"/>
                  <a:sym typeface="Quattrocento Sans"/>
                </a:rPr>
                <a:t>Number Filters </a:t>
              </a:r>
              <a:r>
                <a:rPr lang="en-US" sz="1050">
                  <a:solidFill>
                    <a:schemeClr val="dk1"/>
                  </a:solidFill>
                  <a:latin typeface="Quattrocento Sans"/>
                  <a:ea typeface="Quattrocento Sans"/>
                  <a:cs typeface="Quattrocento Sans"/>
                  <a:sym typeface="Quattrocento Sans"/>
                </a:rPr>
                <a:t>&gt; </a:t>
              </a:r>
              <a:r>
                <a:rPr lang="en-US" sz="1050" b="1">
                  <a:solidFill>
                    <a:schemeClr val="dk1"/>
                  </a:solidFill>
                  <a:latin typeface="Quattrocento Sans"/>
                  <a:ea typeface="Quattrocento Sans"/>
                  <a:cs typeface="Quattrocento Sans"/>
                  <a:sym typeface="Quattrocento Sans"/>
                </a:rPr>
                <a:t>Greater than...</a:t>
              </a:r>
              <a:r>
                <a:rPr lang="en-US" sz="1050">
                  <a:solidFill>
                    <a:schemeClr val="dk1"/>
                  </a:solidFill>
                  <a:latin typeface="Quattrocento Sans"/>
                  <a:ea typeface="Quattrocento Sans"/>
                  <a:cs typeface="Quattrocento Sans"/>
                  <a:sym typeface="Quattrocento Sans"/>
                </a:rPr>
                <a:t>, and then type </a:t>
              </a:r>
              <a:r>
                <a:rPr lang="en-US" sz="1050" b="1">
                  <a:solidFill>
                    <a:schemeClr val="dk1"/>
                  </a:solidFill>
                  <a:latin typeface="Quattrocento Sans"/>
                  <a:ea typeface="Quattrocento Sans"/>
                  <a:cs typeface="Quattrocento Sans"/>
                  <a:sym typeface="Quattrocento Sans"/>
                </a:rPr>
                <a:t>25</a:t>
              </a:r>
              <a:r>
                <a:rPr lang="en-US" sz="1050">
                  <a:solidFill>
                    <a:schemeClr val="dk1"/>
                  </a:solidFill>
                  <a:latin typeface="Quattrocento Sans"/>
                  <a:ea typeface="Quattrocento Sans"/>
                  <a:cs typeface="Quattrocento Sans"/>
                  <a:sym typeface="Quattrocento Sans"/>
                </a:rPr>
                <a:t>.</a:t>
              </a:r>
              <a:r>
                <a:rPr lang="en-US" sz="1050" b="1">
                  <a:solidFill>
                    <a:schemeClr val="dk1"/>
                  </a:solidFill>
                  <a:latin typeface="Quattrocento Sans"/>
                  <a:ea typeface="Quattrocento Sans"/>
                  <a:cs typeface="Quattrocento Sans"/>
                  <a:sym typeface="Quattrocento Sans"/>
                </a:rPr>
                <a:t> </a:t>
              </a:r>
              <a:r>
                <a:rPr lang="en-US" sz="1050">
                  <a:solidFill>
                    <a:schemeClr val="dk1"/>
                  </a:solidFill>
                  <a:latin typeface="Quattrocento Sans"/>
                  <a:ea typeface="Quattrocento Sans"/>
                  <a:cs typeface="Quattrocento Sans"/>
                  <a:sym typeface="Quattrocento Sans"/>
                </a:rPr>
                <a:t>Click </a:t>
              </a:r>
              <a:r>
                <a:rPr lang="en-US" sz="1050" b="1">
                  <a:solidFill>
                    <a:schemeClr val="dk1"/>
                  </a:solidFill>
                  <a:latin typeface="Quattrocento Sans"/>
                  <a:ea typeface="Quattrocento Sans"/>
                  <a:cs typeface="Quattrocento Sans"/>
                  <a:sym typeface="Quattrocento Sans"/>
                </a:rPr>
                <a:t>OK</a:t>
              </a:r>
              <a:r>
                <a:rPr lang="en-US" sz="1050">
                  <a:solidFill>
                    <a:schemeClr val="dk1"/>
                  </a:solidFill>
                  <a:latin typeface="Quattrocento Sans"/>
                  <a:ea typeface="Quattrocento Sans"/>
                  <a:cs typeface="Quattrocento Sans"/>
                  <a:sym typeface="Quattrocento Sans"/>
                </a:rPr>
                <a:t>.</a:t>
              </a:r>
              <a:br>
                <a:rPr lang="en-US" sz="1050">
                  <a:solidFill>
                    <a:schemeClr val="dk1"/>
                  </a:solidFill>
                  <a:latin typeface="Quattrocento Sans"/>
                  <a:ea typeface="Quattrocento Sans"/>
                  <a:cs typeface="Quattrocento Sans"/>
                  <a:sym typeface="Quattrocento Sans"/>
                </a:rPr>
              </a:br>
              <a:r>
                <a:rPr lang="en-US" sz="1050">
                  <a:solidFill>
                    <a:schemeClr val="dk1"/>
                  </a:solidFill>
                  <a:latin typeface="Quattrocento Sans"/>
                  <a:ea typeface="Quattrocento Sans"/>
                  <a:cs typeface="Quattrocento Sans"/>
                  <a:sym typeface="Quattrocento Sans"/>
                </a:rPr>
                <a:t>Of the three rows that were filtered for above average, Excel shows two rows with Food amounts greater than 25.</a:t>
              </a:r>
              <a:endParaRPr sz="1400"/>
            </a:p>
          </xdr:txBody>
        </xdr:sp>
        <xdr:sp macro="" textlink="">
          <xdr:nvSpPr>
            <xdr:cNvPr id="424" name="Shape 424" descr="2">
              <a:extLst>
                <a:ext uri="{FF2B5EF4-FFF2-40B4-BE49-F238E27FC236}">
                  <a16:creationId xmlns:a16="http://schemas.microsoft.com/office/drawing/2014/main" id="{00000000-0008-0000-0400-0000A8010000}"/>
                </a:ext>
              </a:extLst>
            </xdr:cNvPr>
            <xdr:cNvSpPr/>
          </xdr:nvSpPr>
          <xdr:spPr>
            <a:xfrm>
              <a:off x="622274" y="10963274"/>
              <a:ext cx="371587"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2</a:t>
              </a:r>
              <a:endParaRPr sz="1400"/>
            </a:p>
          </xdr:txBody>
        </xdr:sp>
        <xdr:pic>
          <xdr:nvPicPr>
            <xdr:cNvPr id="425" name="Shape 425" descr="Filter button">
              <a:extLst>
                <a:ext uri="{FF2B5EF4-FFF2-40B4-BE49-F238E27FC236}">
                  <a16:creationId xmlns:a16="http://schemas.microsoft.com/office/drawing/2014/main" id="{00000000-0008-0000-0400-0000A9010000}"/>
                </a:ext>
              </a:extLst>
            </xdr:cNvPr>
            <xdr:cNvPicPr preferRelativeResize="0"/>
          </xdr:nvPicPr>
          <xdr:blipFill rotWithShape="1">
            <a:blip xmlns:r="http://schemas.openxmlformats.org/officeDocument/2006/relationships" r:embed="rId3">
              <a:alphaModFix/>
            </a:blip>
            <a:srcRect l="16000" t="17242" r="14999" b="24136"/>
            <a:stretch/>
          </xdr:blipFill>
          <xdr:spPr>
            <a:xfrm>
              <a:off x="3491076" y="10239196"/>
              <a:ext cx="140102" cy="138072"/>
            </a:xfrm>
            <a:prstGeom prst="rect">
              <a:avLst/>
            </a:prstGeom>
            <a:noFill/>
            <a:ln>
              <a:noFill/>
            </a:ln>
          </xdr:spPr>
        </xdr:pic>
        <xdr:pic>
          <xdr:nvPicPr>
            <xdr:cNvPr id="426" name="Shape 426" descr="Filter button">
              <a:extLst>
                <a:ext uri="{FF2B5EF4-FFF2-40B4-BE49-F238E27FC236}">
                  <a16:creationId xmlns:a16="http://schemas.microsoft.com/office/drawing/2014/main" id="{00000000-0008-0000-0400-0000AA010000}"/>
                </a:ext>
              </a:extLst>
            </xdr:cNvPr>
            <xdr:cNvPicPr preferRelativeResize="0"/>
          </xdr:nvPicPr>
          <xdr:blipFill rotWithShape="1">
            <a:blip xmlns:r="http://schemas.openxmlformats.org/officeDocument/2006/relationships" r:embed="rId3">
              <a:alphaModFix/>
            </a:blip>
            <a:srcRect l="16000" t="17242" r="14999" b="24136"/>
            <a:stretch/>
          </xdr:blipFill>
          <xdr:spPr>
            <a:xfrm>
              <a:off x="4905553" y="11059349"/>
              <a:ext cx="140102" cy="138072"/>
            </a:xfrm>
            <a:prstGeom prst="rect">
              <a:avLst/>
            </a:prstGeom>
            <a:noFill/>
            <a:ln>
              <a:noFill/>
            </a:ln>
          </xdr:spPr>
        </xdr:pic>
      </xdr:grpSp>
    </xdr:grpSp>
    <xdr:clientData fLocksWithSheet="0"/>
  </xdr:oneCellAnchor>
  <xdr:oneCellAnchor>
    <xdr:from>
      <xdr:col>0</xdr:col>
      <xdr:colOff>381000</xdr:colOff>
      <xdr:row>58</xdr:row>
      <xdr:rowOff>161925</xdr:rowOff>
    </xdr:from>
    <xdr:ext cx="5695950" cy="3067050"/>
    <xdr:grpSp>
      <xdr:nvGrpSpPr>
        <xdr:cNvPr id="12" name="Shape 2">
          <a:extLst>
            <a:ext uri="{FF2B5EF4-FFF2-40B4-BE49-F238E27FC236}">
              <a16:creationId xmlns:a16="http://schemas.microsoft.com/office/drawing/2014/main" id="{00000000-0008-0000-0400-00000C000000}"/>
            </a:ext>
          </a:extLst>
        </xdr:cNvPr>
        <xdr:cNvGrpSpPr/>
      </xdr:nvGrpSpPr>
      <xdr:grpSpPr>
        <a:xfrm>
          <a:off x="381000" y="11039475"/>
          <a:ext cx="5695950" cy="3067050"/>
          <a:chOff x="2498025" y="2246475"/>
          <a:chExt cx="5695950" cy="3067050"/>
        </a:xfrm>
      </xdr:grpSpPr>
      <xdr:grpSp>
        <xdr:nvGrpSpPr>
          <xdr:cNvPr id="427" name="Shape 427" descr="More information on the web, contains links to the web&#10;Back to top&#10;Next step">
            <a:extLst>
              <a:ext uri="{FF2B5EF4-FFF2-40B4-BE49-F238E27FC236}">
                <a16:creationId xmlns:a16="http://schemas.microsoft.com/office/drawing/2014/main" id="{00000000-0008-0000-0400-0000AB010000}"/>
              </a:ext>
            </a:extLst>
          </xdr:cNvPr>
          <xdr:cNvGrpSpPr/>
        </xdr:nvGrpSpPr>
        <xdr:grpSpPr>
          <a:xfrm>
            <a:off x="2498025" y="2246475"/>
            <a:ext cx="5695950" cy="3067050"/>
            <a:chOff x="389826" y="12352299"/>
            <a:chExt cx="5695950" cy="2806700"/>
          </a:xfrm>
        </xdr:grpSpPr>
        <xdr:sp macro="" textlink="">
          <xdr:nvSpPr>
            <xdr:cNvPr id="13" name="Shape 4">
              <a:extLst>
                <a:ext uri="{FF2B5EF4-FFF2-40B4-BE49-F238E27FC236}">
                  <a16:creationId xmlns:a16="http://schemas.microsoft.com/office/drawing/2014/main" id="{00000000-0008-0000-0400-00000D000000}"/>
                </a:ext>
              </a:extLst>
            </xdr:cNvPr>
            <xdr:cNvSpPr/>
          </xdr:nvSpPr>
          <xdr:spPr>
            <a:xfrm>
              <a:off x="389826" y="12352299"/>
              <a:ext cx="5695950" cy="28067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428" name="Shape 428" descr="Background">
              <a:extLst>
                <a:ext uri="{FF2B5EF4-FFF2-40B4-BE49-F238E27FC236}">
                  <a16:creationId xmlns:a16="http://schemas.microsoft.com/office/drawing/2014/main" id="{00000000-0008-0000-0400-0000AC010000}"/>
                </a:ext>
              </a:extLst>
            </xdr:cNvPr>
            <xdr:cNvSpPr/>
          </xdr:nvSpPr>
          <xdr:spPr>
            <a:xfrm>
              <a:off x="389826" y="12352299"/>
              <a:ext cx="5695950" cy="2806700"/>
            </a:xfrm>
            <a:prstGeom prst="rect">
              <a:avLst/>
            </a:prstGeom>
            <a:solidFill>
              <a:srgbClr val="F5F5F5"/>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429" name="Shape 429" descr="More information on the web">
              <a:extLst>
                <a:ext uri="{FF2B5EF4-FFF2-40B4-BE49-F238E27FC236}">
                  <a16:creationId xmlns:a16="http://schemas.microsoft.com/office/drawing/2014/main" id="{00000000-0008-0000-0400-0000AD010000}"/>
                </a:ext>
              </a:extLst>
            </xdr:cNvPr>
            <xdr:cNvSpPr txBox="1"/>
          </xdr:nvSpPr>
          <xdr:spPr>
            <a:xfrm>
              <a:off x="621574" y="12470996"/>
              <a:ext cx="5216551" cy="490903"/>
            </a:xfrm>
            <a:prstGeom prst="rect">
              <a:avLst/>
            </a:prstGeom>
            <a:noFill/>
            <a:ln>
              <a:noFill/>
            </a:ln>
          </xdr:spPr>
          <xdr:txBody>
            <a:bodyPr spcFirstLastPara="1" wrap="square" lIns="0" tIns="45700" rIns="0" bIns="45700" anchor="t" anchorCtr="0">
              <a:noAutofit/>
            </a:bodyPr>
            <a:lstStyle/>
            <a:p>
              <a:pPr marL="0" marR="0" lvl="0" indent="0" algn="l" rtl="0">
                <a:lnSpc>
                  <a:spcPct val="100000"/>
                </a:lnSpc>
                <a:spcBef>
                  <a:spcPts val="0"/>
                </a:spcBef>
                <a:spcAft>
                  <a:spcPts val="0"/>
                </a:spcAft>
                <a:buClr>
                  <a:srgbClr val="3A3838"/>
                </a:buClr>
                <a:buSzPts val="2200"/>
                <a:buFont typeface="Quattrocento Sans"/>
                <a:buNone/>
              </a:pPr>
              <a:r>
                <a:rPr lang="en-US" sz="2200" b="0" i="0" u="none" strike="noStrike" cap="none">
                  <a:solidFill>
                    <a:srgbClr val="3A3838"/>
                  </a:solidFill>
                  <a:latin typeface="Quattrocento Sans"/>
                  <a:ea typeface="Quattrocento Sans"/>
                  <a:cs typeface="Quattrocento Sans"/>
                  <a:sym typeface="Quattrocento Sans"/>
                </a:rPr>
                <a:t>More information on the web</a:t>
              </a:r>
              <a:endParaRPr sz="2200" b="0">
                <a:solidFill>
                  <a:srgbClr val="3A3838"/>
                </a:solidFill>
                <a:latin typeface="Quattrocento Sans"/>
                <a:ea typeface="Quattrocento Sans"/>
                <a:cs typeface="Quattrocento Sans"/>
                <a:sym typeface="Quattrocento Sans"/>
              </a:endParaRPr>
            </a:p>
          </xdr:txBody>
        </xdr:sp>
        <xdr:cxnSp macro="">
          <xdr:nvCxnSpPr>
            <xdr:cNvPr id="430" name="Shape 430" descr="Decorative line">
              <a:extLst>
                <a:ext uri="{FF2B5EF4-FFF2-40B4-BE49-F238E27FC236}">
                  <a16:creationId xmlns:a16="http://schemas.microsoft.com/office/drawing/2014/main" id="{00000000-0008-0000-0400-0000AE010000}"/>
                </a:ext>
              </a:extLst>
            </xdr:cNvPr>
            <xdr:cNvCxnSpPr/>
          </xdr:nvCxnSpPr>
          <xdr:spPr>
            <a:xfrm>
              <a:off x="624750" y="12978409"/>
              <a:ext cx="5213376" cy="0"/>
            </a:xfrm>
            <a:prstGeom prst="straightConnector1">
              <a:avLst/>
            </a:prstGeom>
            <a:noFill/>
            <a:ln w="25400" cap="flat" cmpd="sng">
              <a:solidFill>
                <a:srgbClr val="217346"/>
              </a:solidFill>
              <a:prstDash val="solid"/>
              <a:round/>
              <a:headEnd type="none" w="sm" len="sm"/>
              <a:tailEnd type="none" w="sm" len="sm"/>
            </a:ln>
          </xdr:spPr>
        </xdr:cxnSp>
        <xdr:sp macro="" textlink="">
          <xdr:nvSpPr>
            <xdr:cNvPr id="431" name="Shape 431" descr="Back to top, hyperlinked to cell A1">
              <a:hlinkClick xmlns:r="http://schemas.openxmlformats.org/officeDocument/2006/relationships" r:id="rId5"/>
              <a:extLst>
                <a:ext uri="{FF2B5EF4-FFF2-40B4-BE49-F238E27FC236}">
                  <a16:creationId xmlns:a16="http://schemas.microsoft.com/office/drawing/2014/main" id="{00000000-0008-0000-0400-0000AF010000}"/>
                </a:ext>
              </a:extLst>
            </xdr:cNvPr>
            <xdr:cNvSpPr/>
          </xdr:nvSpPr>
          <xdr:spPr>
            <a:xfrm>
              <a:off x="624750" y="14382711"/>
              <a:ext cx="2723067" cy="536454"/>
            </a:xfrm>
            <a:prstGeom prst="upArrowCallout">
              <a:avLst>
                <a:gd name="adj1" fmla="val 25000"/>
                <a:gd name="adj2" fmla="val 25000"/>
                <a:gd name="adj3" fmla="val 25000"/>
                <a:gd name="adj4" fmla="val 64977"/>
              </a:avLst>
            </a:prstGeom>
            <a:solidFill>
              <a:srgbClr val="D8D8D8"/>
            </a:solidFill>
            <a:ln w="12700" cap="flat" cmpd="sng">
              <a:solidFill>
                <a:srgbClr val="0B744D">
                  <a:alpha val="49803"/>
                </a:srgb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a:solidFill>
                    <a:srgbClr val="0B744D"/>
                  </a:solidFill>
                  <a:latin typeface="Quattrocento Sans"/>
                  <a:ea typeface="Quattrocento Sans"/>
                  <a:cs typeface="Quattrocento Sans"/>
                  <a:sym typeface="Quattrocento Sans"/>
                </a:rPr>
                <a:t>Back to top</a:t>
              </a:r>
              <a:endParaRPr sz="1400"/>
            </a:p>
          </xdr:txBody>
        </xdr:sp>
        <xdr:cxnSp macro="">
          <xdr:nvCxnSpPr>
            <xdr:cNvPr id="432" name="Shape 432" descr="Decorative line">
              <a:extLst>
                <a:ext uri="{FF2B5EF4-FFF2-40B4-BE49-F238E27FC236}">
                  <a16:creationId xmlns:a16="http://schemas.microsoft.com/office/drawing/2014/main" id="{00000000-0008-0000-0400-0000B0010000}"/>
                </a:ext>
              </a:extLst>
            </xdr:cNvPr>
            <xdr:cNvCxnSpPr/>
          </xdr:nvCxnSpPr>
          <xdr:spPr>
            <a:xfrm>
              <a:off x="624750" y="14142998"/>
              <a:ext cx="5213376" cy="0"/>
            </a:xfrm>
            <a:prstGeom prst="straightConnector1">
              <a:avLst/>
            </a:prstGeom>
            <a:noFill/>
            <a:ln w="25400" cap="flat" cmpd="sng">
              <a:solidFill>
                <a:srgbClr val="217346"/>
              </a:solidFill>
              <a:prstDash val="solid"/>
              <a:round/>
              <a:headEnd type="none" w="sm" len="sm"/>
              <a:tailEnd type="none" w="sm" len="sm"/>
            </a:ln>
          </xdr:spPr>
        </xdr:cxnSp>
        <xdr:sp macro="" textlink="">
          <xdr:nvSpPr>
            <xdr:cNvPr id="433" name="Shape 433" descr="Next step button, hyperlinked to next sheet">
              <a:hlinkClick xmlns:r="http://schemas.openxmlformats.org/officeDocument/2006/relationships" r:id="rId2"/>
              <a:extLst>
                <a:ext uri="{FF2B5EF4-FFF2-40B4-BE49-F238E27FC236}">
                  <a16:creationId xmlns:a16="http://schemas.microsoft.com/office/drawing/2014/main" id="{00000000-0008-0000-0400-0000B1010000}"/>
                </a:ext>
              </a:extLst>
            </xdr:cNvPr>
            <xdr:cNvSpPr/>
          </xdr:nvSpPr>
          <xdr:spPr>
            <a:xfrm>
              <a:off x="4683696" y="14573213"/>
              <a:ext cx="1154430" cy="348492"/>
            </a:xfrm>
            <a:prstGeom prst="rightArrowCallout">
              <a:avLst>
                <a:gd name="adj1" fmla="val 32829"/>
                <a:gd name="adj2" fmla="val 31524"/>
                <a:gd name="adj3" fmla="val 25000"/>
                <a:gd name="adj4" fmla="val 86357"/>
              </a:avLst>
            </a:prstGeom>
            <a:solidFill>
              <a:schemeClr val="lt1"/>
            </a:solidFill>
            <a:ln w="12700" cap="flat" cmpd="sng">
              <a:solidFill>
                <a:srgbClr val="0B744D"/>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a:solidFill>
                    <a:srgbClr val="0B744D"/>
                  </a:solidFill>
                  <a:latin typeface="Quattrocento Sans"/>
                  <a:ea typeface="Quattrocento Sans"/>
                  <a:cs typeface="Quattrocento Sans"/>
                  <a:sym typeface="Quattrocento Sans"/>
                </a:rPr>
                <a:t>Next step</a:t>
              </a:r>
              <a:endParaRPr sz="1400"/>
            </a:p>
          </xdr:txBody>
        </xdr:sp>
        <xdr:sp macro="" textlink="">
          <xdr:nvSpPr>
            <xdr:cNvPr id="434" name="Shape 434" descr="Sort data in a range or table, hyperlinked to web">
              <a:hlinkClick xmlns:r="http://schemas.openxmlformats.org/officeDocument/2006/relationships" r:id="rId6"/>
              <a:extLst>
                <a:ext uri="{FF2B5EF4-FFF2-40B4-BE49-F238E27FC236}">
                  <a16:creationId xmlns:a16="http://schemas.microsoft.com/office/drawing/2014/main" id="{00000000-0008-0000-0400-0000B2010000}"/>
                </a:ext>
              </a:extLst>
            </xdr:cNvPr>
            <xdr:cNvSpPr txBox="1"/>
          </xdr:nvSpPr>
          <xdr:spPr>
            <a:xfrm>
              <a:off x="1028609" y="13147147"/>
              <a:ext cx="1866991" cy="310052"/>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050" u="sng">
                  <a:solidFill>
                    <a:srgbClr val="3F3F3F"/>
                  </a:solidFill>
                  <a:latin typeface="Quattrocento Sans"/>
                  <a:ea typeface="Quattrocento Sans"/>
                  <a:cs typeface="Quattrocento Sans"/>
                  <a:sym typeface="Quattrocento Sans"/>
                </a:rPr>
                <a:t>Sort data in a range or table</a:t>
              </a:r>
              <a:endParaRPr sz="1400"/>
            </a:p>
          </xdr:txBody>
        </xdr:sp>
        <xdr:pic>
          <xdr:nvPicPr>
            <xdr:cNvPr id="435" name="Shape 435" descr="Arrow">
              <a:hlinkClick xmlns:r="http://schemas.openxmlformats.org/officeDocument/2006/relationships" r:id="rId6"/>
              <a:extLst>
                <a:ext uri="{FF2B5EF4-FFF2-40B4-BE49-F238E27FC236}">
                  <a16:creationId xmlns:a16="http://schemas.microsoft.com/office/drawing/2014/main" id="{00000000-0008-0000-0400-0000B3010000}"/>
                </a:ext>
              </a:extLst>
            </xdr:cNvPr>
            <xdr:cNvPicPr preferRelativeResize="0"/>
          </xdr:nvPicPr>
          <xdr:blipFill rotWithShape="1">
            <a:blip xmlns:r="http://schemas.openxmlformats.org/officeDocument/2006/relationships" r:embed="rId7">
              <a:alphaModFix/>
            </a:blip>
            <a:srcRect/>
            <a:stretch/>
          </xdr:blipFill>
          <xdr:spPr>
            <a:xfrm>
              <a:off x="601329" y="13051870"/>
              <a:ext cx="454554" cy="448472"/>
            </a:xfrm>
            <a:prstGeom prst="rect">
              <a:avLst/>
            </a:prstGeom>
            <a:noFill/>
            <a:ln>
              <a:noFill/>
            </a:ln>
          </xdr:spPr>
        </xdr:pic>
        <xdr:sp macro="" textlink="">
          <xdr:nvSpPr>
            <xdr:cNvPr id="436" name="Shape 436" descr="Filter data in a range or table, hyperlinked to web">
              <a:hlinkClick xmlns:r="http://schemas.openxmlformats.org/officeDocument/2006/relationships" r:id="rId8"/>
              <a:extLst>
                <a:ext uri="{FF2B5EF4-FFF2-40B4-BE49-F238E27FC236}">
                  <a16:creationId xmlns:a16="http://schemas.microsoft.com/office/drawing/2014/main" id="{00000000-0008-0000-0400-0000B4010000}"/>
                </a:ext>
              </a:extLst>
            </xdr:cNvPr>
            <xdr:cNvSpPr txBox="1"/>
          </xdr:nvSpPr>
          <xdr:spPr>
            <a:xfrm>
              <a:off x="1028609" y="13611755"/>
              <a:ext cx="1981291" cy="290453"/>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050" u="sng">
                  <a:solidFill>
                    <a:srgbClr val="3F3F3F"/>
                  </a:solidFill>
                  <a:latin typeface="Quattrocento Sans"/>
                  <a:ea typeface="Quattrocento Sans"/>
                  <a:cs typeface="Quattrocento Sans"/>
                  <a:sym typeface="Quattrocento Sans"/>
                </a:rPr>
                <a:t>Filter data in a range or table</a:t>
              </a:r>
              <a:endParaRPr sz="1400"/>
            </a:p>
          </xdr:txBody>
        </xdr:sp>
        <xdr:pic>
          <xdr:nvPicPr>
            <xdr:cNvPr id="437" name="Shape 437" descr="Arrow">
              <a:hlinkClick xmlns:r="http://schemas.openxmlformats.org/officeDocument/2006/relationships" r:id="rId8"/>
              <a:extLst>
                <a:ext uri="{FF2B5EF4-FFF2-40B4-BE49-F238E27FC236}">
                  <a16:creationId xmlns:a16="http://schemas.microsoft.com/office/drawing/2014/main" id="{00000000-0008-0000-0400-0000B5010000}"/>
                </a:ext>
              </a:extLst>
            </xdr:cNvPr>
            <xdr:cNvPicPr preferRelativeResize="0"/>
          </xdr:nvPicPr>
          <xdr:blipFill rotWithShape="1">
            <a:blip xmlns:r="http://schemas.openxmlformats.org/officeDocument/2006/relationships" r:embed="rId7">
              <a:alphaModFix/>
            </a:blip>
            <a:srcRect/>
            <a:stretch/>
          </xdr:blipFill>
          <xdr:spPr>
            <a:xfrm>
              <a:off x="601329" y="13509723"/>
              <a:ext cx="454554" cy="448472"/>
            </a:xfrm>
            <a:prstGeom prst="rect">
              <a:avLst/>
            </a:prstGeom>
            <a:noFill/>
            <a:ln>
              <a:noFill/>
            </a:ln>
          </xdr:spPr>
        </xdr:pic>
      </xdr:grpSp>
    </xdr:grpSp>
    <xdr:clientData fLocksWithSheet="0"/>
  </xdr:oneCellAnchor>
</xdr:wsDr>
</file>

<file path=xl/drawings/drawing6.xml><?xml version="1.0" encoding="utf-8"?>
<xdr:wsDr xmlns:xdr="http://schemas.openxmlformats.org/drawingml/2006/spreadsheetDrawing" xmlns:a="http://schemas.openxmlformats.org/drawingml/2006/main">
  <xdr:oneCellAnchor>
    <xdr:from>
      <xdr:col>0</xdr:col>
      <xdr:colOff>333375</xdr:colOff>
      <xdr:row>0</xdr:row>
      <xdr:rowOff>266700</xdr:rowOff>
    </xdr:from>
    <xdr:ext cx="5695950" cy="4619625"/>
    <xdr:grpSp>
      <xdr:nvGrpSpPr>
        <xdr:cNvPr id="2" name="Shape 2">
          <a:extLst>
            <a:ext uri="{FF2B5EF4-FFF2-40B4-BE49-F238E27FC236}">
              <a16:creationId xmlns:a16="http://schemas.microsoft.com/office/drawing/2014/main" id="{00000000-0008-0000-0500-000002000000}"/>
            </a:ext>
          </a:extLst>
        </xdr:cNvPr>
        <xdr:cNvGrpSpPr/>
      </xdr:nvGrpSpPr>
      <xdr:grpSpPr>
        <a:xfrm>
          <a:off x="333375" y="266700"/>
          <a:ext cx="5695950" cy="4619625"/>
          <a:chOff x="2498025" y="1470188"/>
          <a:chExt cx="5695950" cy="4619625"/>
        </a:xfrm>
      </xdr:grpSpPr>
      <xdr:grpSp>
        <xdr:nvGrpSpPr>
          <xdr:cNvPr id="438" name="Shape 438" descr="Tables make things a lot easier&#10;A table gives you special features and conveniences. Here’s how to create one:&#10;Click inside the data to the right, and then click Insert &gt; Table &gt; OK.&#10;Now you have a table, which is a collection of cells that has special features. For starters: A table gives you banded rows for easier reading.&#10;You can also create new rows easily. In the empty cell under Meat, type some text and then press Enter. A new row for the table appears.&#10;You can also create columns easily: In the lower-right corner of the table, click the resize handle    and drag it to the right 2 columns.&#10;Notice how the two columns are created, formatted, and the text Jan and Feb are filled for you.&#10;Dive down for more detail &#10;Next step">
            <a:extLst>
              <a:ext uri="{FF2B5EF4-FFF2-40B4-BE49-F238E27FC236}">
                <a16:creationId xmlns:a16="http://schemas.microsoft.com/office/drawing/2014/main" id="{00000000-0008-0000-0500-0000B6010000}"/>
              </a:ext>
            </a:extLst>
          </xdr:cNvPr>
          <xdr:cNvGrpSpPr/>
        </xdr:nvGrpSpPr>
        <xdr:grpSpPr>
          <a:xfrm>
            <a:off x="2498025" y="1470188"/>
            <a:ext cx="5695950" cy="4619625"/>
            <a:chOff x="333375" y="266700"/>
            <a:chExt cx="5695950" cy="4619625"/>
          </a:xfrm>
        </xdr:grpSpPr>
        <xdr:sp macro="" textlink="">
          <xdr:nvSpPr>
            <xdr:cNvPr id="4" name="Shape 4">
              <a:extLst>
                <a:ext uri="{FF2B5EF4-FFF2-40B4-BE49-F238E27FC236}">
                  <a16:creationId xmlns:a16="http://schemas.microsoft.com/office/drawing/2014/main" id="{00000000-0008-0000-0500-000004000000}"/>
                </a:ext>
              </a:extLst>
            </xdr:cNvPr>
            <xdr:cNvSpPr/>
          </xdr:nvSpPr>
          <xdr:spPr>
            <a:xfrm>
              <a:off x="333375" y="266700"/>
              <a:ext cx="5695950" cy="4619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439" name="Shape 439" descr="Background">
              <a:extLst>
                <a:ext uri="{FF2B5EF4-FFF2-40B4-BE49-F238E27FC236}">
                  <a16:creationId xmlns:a16="http://schemas.microsoft.com/office/drawing/2014/main" id="{00000000-0008-0000-0500-0000B7010000}"/>
                </a:ext>
              </a:extLst>
            </xdr:cNvPr>
            <xdr:cNvSpPr/>
          </xdr:nvSpPr>
          <xdr:spPr>
            <a:xfrm>
              <a:off x="333375" y="266700"/>
              <a:ext cx="5695950" cy="4619625"/>
            </a:xfrm>
            <a:prstGeom prst="rect">
              <a:avLst/>
            </a:prstGeom>
            <a:solidFill>
              <a:srgbClr val="F5F5F5"/>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440" name="Shape 440" descr="Tables make things a lot easier">
              <a:extLst>
                <a:ext uri="{FF2B5EF4-FFF2-40B4-BE49-F238E27FC236}">
                  <a16:creationId xmlns:a16="http://schemas.microsoft.com/office/drawing/2014/main" id="{00000000-0008-0000-0500-0000B8010000}"/>
                </a:ext>
              </a:extLst>
            </xdr:cNvPr>
            <xdr:cNvSpPr txBox="1"/>
          </xdr:nvSpPr>
          <xdr:spPr>
            <a:xfrm>
              <a:off x="565123" y="385398"/>
              <a:ext cx="5216551" cy="490903"/>
            </a:xfrm>
            <a:prstGeom prst="rect">
              <a:avLst/>
            </a:prstGeom>
            <a:noFill/>
            <a:ln>
              <a:noFill/>
            </a:ln>
          </xdr:spPr>
          <xdr:txBody>
            <a:bodyPr spcFirstLastPara="1" wrap="square" lIns="0" tIns="45700" rIns="0" bIns="45700" anchor="t" anchorCtr="0">
              <a:noAutofit/>
            </a:bodyPr>
            <a:lstStyle/>
            <a:p>
              <a:pPr marL="0" lvl="0" indent="0" algn="l" rtl="0">
                <a:spcBef>
                  <a:spcPts val="0"/>
                </a:spcBef>
                <a:spcAft>
                  <a:spcPts val="0"/>
                </a:spcAft>
                <a:buNone/>
              </a:pPr>
              <a:r>
                <a:rPr lang="en-US" sz="2400">
                  <a:solidFill>
                    <a:srgbClr val="3A3838"/>
                  </a:solidFill>
                  <a:latin typeface="Quattrocento Sans"/>
                  <a:ea typeface="Quattrocento Sans"/>
                  <a:cs typeface="Quattrocento Sans"/>
                  <a:sym typeface="Quattrocento Sans"/>
                </a:rPr>
                <a:t>Tables make things a lot easier</a:t>
              </a:r>
              <a:endParaRPr sz="2400">
                <a:solidFill>
                  <a:srgbClr val="3A3838"/>
                </a:solidFill>
                <a:latin typeface="Quattrocento Sans"/>
                <a:ea typeface="Quattrocento Sans"/>
                <a:cs typeface="Quattrocento Sans"/>
                <a:sym typeface="Quattrocento Sans"/>
              </a:endParaRPr>
            </a:p>
          </xdr:txBody>
        </xdr:sp>
        <xdr:cxnSp macro="">
          <xdr:nvCxnSpPr>
            <xdr:cNvPr id="441" name="Shape 441" descr="Decorative line">
              <a:extLst>
                <a:ext uri="{FF2B5EF4-FFF2-40B4-BE49-F238E27FC236}">
                  <a16:creationId xmlns:a16="http://schemas.microsoft.com/office/drawing/2014/main" id="{00000000-0008-0000-0500-0000B9010000}"/>
                </a:ext>
              </a:extLst>
            </xdr:cNvPr>
            <xdr:cNvCxnSpPr/>
          </xdr:nvCxnSpPr>
          <xdr:spPr>
            <a:xfrm>
              <a:off x="568299" y="892811"/>
              <a:ext cx="5213376" cy="0"/>
            </a:xfrm>
            <a:prstGeom prst="straightConnector1">
              <a:avLst/>
            </a:prstGeom>
            <a:noFill/>
            <a:ln w="25400" cap="flat" cmpd="sng">
              <a:solidFill>
                <a:srgbClr val="217346"/>
              </a:solidFill>
              <a:prstDash val="solid"/>
              <a:round/>
              <a:headEnd type="none" w="sm" len="sm"/>
              <a:tailEnd type="none" w="sm" len="sm"/>
            </a:ln>
          </xdr:spPr>
        </xdr:cxnSp>
        <xdr:sp macro="" textlink="">
          <xdr:nvSpPr>
            <xdr:cNvPr id="442" name="Shape 442" descr="Dive down for more detail">
              <a:extLst>
                <a:ext uri="{FF2B5EF4-FFF2-40B4-BE49-F238E27FC236}">
                  <a16:creationId xmlns:a16="http://schemas.microsoft.com/office/drawing/2014/main" id="{00000000-0008-0000-0500-0000BA010000}"/>
                </a:ext>
              </a:extLst>
            </xdr:cNvPr>
            <xdr:cNvSpPr/>
          </xdr:nvSpPr>
          <xdr:spPr>
            <a:xfrm>
              <a:off x="568299" y="4109207"/>
              <a:ext cx="2723067" cy="536454"/>
            </a:xfrm>
            <a:prstGeom prst="downArrowCallout">
              <a:avLst>
                <a:gd name="adj1" fmla="val 25000"/>
                <a:gd name="adj2" fmla="val 25000"/>
                <a:gd name="adj3" fmla="val 25000"/>
                <a:gd name="adj4" fmla="val 64977"/>
              </a:avLst>
            </a:prstGeom>
            <a:solidFill>
              <a:srgbClr val="D8D8D8"/>
            </a:solidFill>
            <a:ln w="12700" cap="flat" cmpd="sng">
              <a:solidFill>
                <a:srgbClr val="0B744D">
                  <a:alpha val="49803"/>
                </a:srgb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a:solidFill>
                    <a:srgbClr val="0B744D"/>
                  </a:solidFill>
                  <a:latin typeface="Quattrocento Sans"/>
                  <a:ea typeface="Quattrocento Sans"/>
                  <a:cs typeface="Quattrocento Sans"/>
                  <a:sym typeface="Quattrocento Sans"/>
                </a:rPr>
                <a:t>Dive down for more detail</a:t>
              </a:r>
              <a:endParaRPr sz="1400"/>
            </a:p>
          </xdr:txBody>
        </xdr:sp>
        <xdr:cxnSp macro="">
          <xdr:nvCxnSpPr>
            <xdr:cNvPr id="443" name="Shape 443" descr="Decorative line">
              <a:extLst>
                <a:ext uri="{FF2B5EF4-FFF2-40B4-BE49-F238E27FC236}">
                  <a16:creationId xmlns:a16="http://schemas.microsoft.com/office/drawing/2014/main" id="{00000000-0008-0000-0500-0000BB010000}"/>
                </a:ext>
              </a:extLst>
            </xdr:cNvPr>
            <xdr:cNvCxnSpPr/>
          </xdr:nvCxnSpPr>
          <xdr:spPr>
            <a:xfrm>
              <a:off x="568299" y="3848100"/>
              <a:ext cx="5213376" cy="0"/>
            </a:xfrm>
            <a:prstGeom prst="straightConnector1">
              <a:avLst/>
            </a:prstGeom>
            <a:noFill/>
            <a:ln w="25400" cap="flat" cmpd="sng">
              <a:solidFill>
                <a:srgbClr val="217346"/>
              </a:solidFill>
              <a:prstDash val="solid"/>
              <a:round/>
              <a:headEnd type="none" w="sm" len="sm"/>
              <a:tailEnd type="none" w="sm" len="sm"/>
            </a:ln>
          </xdr:spPr>
        </xdr:cxnSp>
        <xdr:sp macro="" textlink="">
          <xdr:nvSpPr>
            <xdr:cNvPr id="444" name="Shape 444" descr="Next step button, hyperlinked to next sheet">
              <a:hlinkClick xmlns:r="http://schemas.openxmlformats.org/officeDocument/2006/relationships" r:id="rId1"/>
              <a:extLst>
                <a:ext uri="{FF2B5EF4-FFF2-40B4-BE49-F238E27FC236}">
                  <a16:creationId xmlns:a16="http://schemas.microsoft.com/office/drawing/2014/main" id="{00000000-0008-0000-0500-0000BC010000}"/>
                </a:ext>
              </a:extLst>
            </xdr:cNvPr>
            <xdr:cNvSpPr/>
          </xdr:nvSpPr>
          <xdr:spPr>
            <a:xfrm>
              <a:off x="4627245" y="4109207"/>
              <a:ext cx="1154430" cy="348492"/>
            </a:xfrm>
            <a:prstGeom prst="rightArrowCallout">
              <a:avLst>
                <a:gd name="adj1" fmla="val 32829"/>
                <a:gd name="adj2" fmla="val 31524"/>
                <a:gd name="adj3" fmla="val 25000"/>
                <a:gd name="adj4" fmla="val 86357"/>
              </a:avLst>
            </a:prstGeom>
            <a:solidFill>
              <a:schemeClr val="lt1"/>
            </a:solidFill>
            <a:ln w="12700" cap="flat" cmpd="sng">
              <a:solidFill>
                <a:srgbClr val="0B744D"/>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a:solidFill>
                    <a:srgbClr val="0B744D"/>
                  </a:solidFill>
                  <a:latin typeface="Quattrocento Sans"/>
                  <a:ea typeface="Quattrocento Sans"/>
                  <a:cs typeface="Quattrocento Sans"/>
                  <a:sym typeface="Quattrocento Sans"/>
                </a:rPr>
                <a:t>Next step</a:t>
              </a:r>
              <a:endParaRPr sz="1400"/>
            </a:p>
          </xdr:txBody>
        </xdr:sp>
        <xdr:sp macro="" textlink="">
          <xdr:nvSpPr>
            <xdr:cNvPr id="445" name="Shape 445" descr="A table gives you special features and conveniences. Here’s how to create one:">
              <a:extLst>
                <a:ext uri="{FF2B5EF4-FFF2-40B4-BE49-F238E27FC236}">
                  <a16:creationId xmlns:a16="http://schemas.microsoft.com/office/drawing/2014/main" id="{00000000-0008-0000-0500-0000BD010000}"/>
                </a:ext>
              </a:extLst>
            </xdr:cNvPr>
            <xdr:cNvSpPr txBox="1"/>
          </xdr:nvSpPr>
          <xdr:spPr>
            <a:xfrm>
              <a:off x="561975" y="966421"/>
              <a:ext cx="5300938" cy="252778"/>
            </a:xfrm>
            <a:prstGeom prst="rect">
              <a:avLst/>
            </a:prstGeom>
            <a:noFill/>
            <a:ln>
              <a:noFill/>
            </a:ln>
          </xdr:spPr>
          <xdr:txBody>
            <a:bodyPr spcFirstLastPara="1" wrap="square" lIns="0" tIns="45700" rIns="0" bIns="45700" anchor="t" anchorCtr="0">
              <a:noAutofit/>
            </a:bodyPr>
            <a:lstStyle/>
            <a:p>
              <a:pPr marL="0" marR="0" lvl="0" indent="0" algn="l" rtl="0">
                <a:lnSpc>
                  <a:spcPct val="100000"/>
                </a:lnSpc>
                <a:spcBef>
                  <a:spcPts val="0"/>
                </a:spcBef>
                <a:spcAft>
                  <a:spcPts val="0"/>
                </a:spcAft>
                <a:buClr>
                  <a:srgbClr val="3F3F3F"/>
                </a:buClr>
                <a:buSzPts val="1100"/>
                <a:buFont typeface="Quattrocento Sans"/>
                <a:buNone/>
              </a:pPr>
              <a:r>
                <a:rPr lang="en-US" sz="1100" b="0" i="0" u="none" strike="noStrike" cap="none">
                  <a:solidFill>
                    <a:srgbClr val="3F3F3F"/>
                  </a:solidFill>
                  <a:latin typeface="Quattrocento Sans"/>
                  <a:ea typeface="Quattrocento Sans"/>
                  <a:cs typeface="Quattrocento Sans"/>
                  <a:sym typeface="Quattrocento Sans"/>
                </a:rPr>
                <a:t>A table gives you special features and conveniences. Here’s how to create one:</a:t>
              </a:r>
              <a:endParaRPr sz="1400"/>
            </a:p>
          </xdr:txBody>
        </xdr:sp>
        <xdr:sp macro="" textlink="">
          <xdr:nvSpPr>
            <xdr:cNvPr id="446" name="Shape 446" descr="Click inside the data to the right, and then click Insert &gt; Table &gt; OK">
              <a:extLst>
                <a:ext uri="{FF2B5EF4-FFF2-40B4-BE49-F238E27FC236}">
                  <a16:creationId xmlns:a16="http://schemas.microsoft.com/office/drawing/2014/main" id="{00000000-0008-0000-0500-0000BE010000}"/>
                </a:ext>
              </a:extLst>
            </xdr:cNvPr>
            <xdr:cNvSpPr txBox="1"/>
          </xdr:nvSpPr>
          <xdr:spPr>
            <a:xfrm>
              <a:off x="972158" y="1312534"/>
              <a:ext cx="4809516" cy="411491"/>
            </a:xfrm>
            <a:prstGeom prst="rect">
              <a:avLst/>
            </a:prstGeom>
            <a:noFill/>
            <a:ln>
              <a:noFill/>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Clr>
                  <a:srgbClr val="3F3F3F"/>
                </a:buClr>
                <a:buSzPts val="1100"/>
                <a:buFont typeface="Quattrocento Sans"/>
                <a:buNone/>
              </a:pPr>
              <a:r>
                <a:rPr lang="en-US" sz="1100" b="0" i="0" u="none" strike="noStrike" cap="none">
                  <a:solidFill>
                    <a:srgbClr val="3F3F3F"/>
                  </a:solidFill>
                  <a:latin typeface="Quattrocento Sans"/>
                  <a:ea typeface="Quattrocento Sans"/>
                  <a:cs typeface="Quattrocento Sans"/>
                  <a:sym typeface="Quattrocento Sans"/>
                </a:rPr>
                <a:t>Click inside the dat</a:t>
              </a:r>
              <a:r>
                <a:rPr lang="en-US" sz="1100">
                  <a:solidFill>
                    <a:srgbClr val="3F3F3F"/>
                  </a:solidFill>
                  <a:latin typeface="Quattrocento Sans"/>
                  <a:ea typeface="Quattrocento Sans"/>
                  <a:cs typeface="Quattrocento Sans"/>
                  <a:sym typeface="Quattrocento Sans"/>
                </a:rPr>
                <a:t>a to the right, and then click </a:t>
              </a:r>
              <a:r>
                <a:rPr lang="en-US" sz="1100" b="1">
                  <a:solidFill>
                    <a:srgbClr val="3F3F3F"/>
                  </a:solidFill>
                  <a:latin typeface="Quattrocento Sans"/>
                  <a:ea typeface="Quattrocento Sans"/>
                  <a:cs typeface="Quattrocento Sans"/>
                  <a:sym typeface="Quattrocento Sans"/>
                </a:rPr>
                <a:t>Insert </a:t>
              </a:r>
              <a:r>
                <a:rPr lang="en-US" sz="1100">
                  <a:solidFill>
                    <a:srgbClr val="3F3F3F"/>
                  </a:solidFill>
                  <a:latin typeface="Quattrocento Sans"/>
                  <a:ea typeface="Quattrocento Sans"/>
                  <a:cs typeface="Quattrocento Sans"/>
                  <a:sym typeface="Quattrocento Sans"/>
                </a:rPr>
                <a:t>&gt; </a:t>
              </a:r>
              <a:r>
                <a:rPr lang="en-US" sz="1100" b="1">
                  <a:solidFill>
                    <a:srgbClr val="3F3F3F"/>
                  </a:solidFill>
                  <a:latin typeface="Quattrocento Sans"/>
                  <a:ea typeface="Quattrocento Sans"/>
                  <a:cs typeface="Quattrocento Sans"/>
                  <a:sym typeface="Quattrocento Sans"/>
                </a:rPr>
                <a:t>Table </a:t>
              </a:r>
              <a:r>
                <a:rPr lang="en-US" sz="1100">
                  <a:solidFill>
                    <a:srgbClr val="3F3F3F"/>
                  </a:solidFill>
                  <a:latin typeface="Quattrocento Sans"/>
                  <a:ea typeface="Quattrocento Sans"/>
                  <a:cs typeface="Quattrocento Sans"/>
                  <a:sym typeface="Quattrocento Sans"/>
                </a:rPr>
                <a:t>&gt; </a:t>
              </a:r>
              <a:r>
                <a:rPr lang="en-US" sz="1100" b="1">
                  <a:solidFill>
                    <a:srgbClr val="3F3F3F"/>
                  </a:solidFill>
                  <a:latin typeface="Quattrocento Sans"/>
                  <a:ea typeface="Quattrocento Sans"/>
                  <a:cs typeface="Quattrocento Sans"/>
                  <a:sym typeface="Quattrocento Sans"/>
                </a:rPr>
                <a:t>OK</a:t>
              </a:r>
              <a:r>
                <a:rPr lang="en-US" sz="1100">
                  <a:solidFill>
                    <a:srgbClr val="3F3F3F"/>
                  </a:solidFill>
                  <a:latin typeface="Quattrocento Sans"/>
                  <a:ea typeface="Quattrocento Sans"/>
                  <a:cs typeface="Quattrocento Sans"/>
                  <a:sym typeface="Quattrocento Sans"/>
                </a:rPr>
                <a:t>.</a:t>
              </a:r>
              <a:endParaRPr sz="1100" b="0" i="0" u="none" strike="noStrike" cap="none">
                <a:solidFill>
                  <a:srgbClr val="3F3F3F"/>
                </a:solidFill>
                <a:latin typeface="Quattrocento Sans"/>
                <a:ea typeface="Quattrocento Sans"/>
                <a:cs typeface="Quattrocento Sans"/>
                <a:sym typeface="Quattrocento Sans"/>
              </a:endParaRPr>
            </a:p>
          </xdr:txBody>
        </xdr:sp>
        <xdr:sp macro="" textlink="">
          <xdr:nvSpPr>
            <xdr:cNvPr id="447" name="Shape 447" descr="1">
              <a:extLst>
                <a:ext uri="{FF2B5EF4-FFF2-40B4-BE49-F238E27FC236}">
                  <a16:creationId xmlns:a16="http://schemas.microsoft.com/office/drawing/2014/main" id="{00000000-0008-0000-0500-0000BF010000}"/>
                </a:ext>
              </a:extLst>
            </xdr:cNvPr>
            <xdr:cNvSpPr/>
          </xdr:nvSpPr>
          <xdr:spPr>
            <a:xfrm>
              <a:off x="565124" y="1270036"/>
              <a:ext cx="371587"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1</a:t>
              </a:r>
              <a:endParaRPr sz="1400"/>
            </a:p>
          </xdr:txBody>
        </xdr:sp>
        <xdr:sp macro="" textlink="">
          <xdr:nvSpPr>
            <xdr:cNvPr id="448" name="Shape 448" descr="Now you have a table, which is a collection of cells that has special features. For starters: A table gives you banded rows for easier reading">
              <a:extLst>
                <a:ext uri="{FF2B5EF4-FFF2-40B4-BE49-F238E27FC236}">
                  <a16:creationId xmlns:a16="http://schemas.microsoft.com/office/drawing/2014/main" id="{00000000-0008-0000-0500-0000C0010000}"/>
                </a:ext>
              </a:extLst>
            </xdr:cNvPr>
            <xdr:cNvSpPr txBox="1"/>
          </xdr:nvSpPr>
          <xdr:spPr>
            <a:xfrm>
              <a:off x="972157" y="1799455"/>
              <a:ext cx="4809517" cy="543696"/>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rgbClr val="3F3F3F"/>
                  </a:solidFill>
                  <a:latin typeface="Quattrocento Sans"/>
                  <a:ea typeface="Quattrocento Sans"/>
                  <a:cs typeface="Quattrocento Sans"/>
                  <a:sym typeface="Quattrocento Sans"/>
                </a:rPr>
                <a:t>Now you have a table, which is a collection of cells that has special features. For starters: A table gives you banded rows for easier reading.</a:t>
              </a:r>
              <a:endParaRPr sz="1400"/>
            </a:p>
          </xdr:txBody>
        </xdr:sp>
        <xdr:sp macro="" textlink="">
          <xdr:nvSpPr>
            <xdr:cNvPr id="449" name="Shape 449" descr="2">
              <a:extLst>
                <a:ext uri="{FF2B5EF4-FFF2-40B4-BE49-F238E27FC236}">
                  <a16:creationId xmlns:a16="http://schemas.microsoft.com/office/drawing/2014/main" id="{00000000-0008-0000-0500-0000C1010000}"/>
                </a:ext>
              </a:extLst>
            </xdr:cNvPr>
            <xdr:cNvSpPr/>
          </xdr:nvSpPr>
          <xdr:spPr>
            <a:xfrm>
              <a:off x="565124" y="1756956"/>
              <a:ext cx="371587"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2</a:t>
              </a:r>
              <a:endParaRPr sz="1400"/>
            </a:p>
          </xdr:txBody>
        </xdr:sp>
        <xdr:sp macro="" textlink="">
          <xdr:nvSpPr>
            <xdr:cNvPr id="450" name="Shape 450" descr="You can also create new rows easily. In the empty cell under Meat, type some text and then press Enter. A new row for the table appears">
              <a:extLst>
                <a:ext uri="{FF2B5EF4-FFF2-40B4-BE49-F238E27FC236}">
                  <a16:creationId xmlns:a16="http://schemas.microsoft.com/office/drawing/2014/main" id="{00000000-0008-0000-0500-0000C2010000}"/>
                </a:ext>
              </a:extLst>
            </xdr:cNvPr>
            <xdr:cNvSpPr txBox="1"/>
          </xdr:nvSpPr>
          <xdr:spPr>
            <a:xfrm>
              <a:off x="972158" y="2303571"/>
              <a:ext cx="4809516" cy="47773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rgbClr val="3F3F3F"/>
                  </a:solidFill>
                  <a:latin typeface="Quattrocento Sans"/>
                  <a:ea typeface="Quattrocento Sans"/>
                  <a:cs typeface="Quattrocento Sans"/>
                  <a:sym typeface="Quattrocento Sans"/>
                </a:rPr>
                <a:t>You can also create new rows easily. In the empty cell under </a:t>
              </a:r>
              <a:r>
                <a:rPr lang="en-US" sz="1100" b="1">
                  <a:solidFill>
                    <a:srgbClr val="3F3F3F"/>
                  </a:solidFill>
                  <a:latin typeface="Quattrocento Sans"/>
                  <a:ea typeface="Quattrocento Sans"/>
                  <a:cs typeface="Quattrocento Sans"/>
                  <a:sym typeface="Quattrocento Sans"/>
                </a:rPr>
                <a:t>Meat</a:t>
              </a:r>
              <a:r>
                <a:rPr lang="en-US" sz="1100">
                  <a:solidFill>
                    <a:srgbClr val="3F3F3F"/>
                  </a:solidFill>
                  <a:latin typeface="Quattrocento Sans"/>
                  <a:ea typeface="Quattrocento Sans"/>
                  <a:cs typeface="Quattrocento Sans"/>
                  <a:sym typeface="Quattrocento Sans"/>
                </a:rPr>
                <a:t>, type some text and then press Enter. A new row for the table appears.</a:t>
              </a:r>
              <a:endParaRPr sz="1400"/>
            </a:p>
          </xdr:txBody>
        </xdr:sp>
        <xdr:sp macro="" textlink="">
          <xdr:nvSpPr>
            <xdr:cNvPr id="451" name="Shape 451" descr="3">
              <a:extLst>
                <a:ext uri="{FF2B5EF4-FFF2-40B4-BE49-F238E27FC236}">
                  <a16:creationId xmlns:a16="http://schemas.microsoft.com/office/drawing/2014/main" id="{00000000-0008-0000-0500-0000C3010000}"/>
                </a:ext>
              </a:extLst>
            </xdr:cNvPr>
            <xdr:cNvSpPr/>
          </xdr:nvSpPr>
          <xdr:spPr>
            <a:xfrm>
              <a:off x="565124" y="2261072"/>
              <a:ext cx="371587"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3</a:t>
              </a:r>
              <a:endParaRPr sz="1400"/>
            </a:p>
          </xdr:txBody>
        </xdr:sp>
        <xdr:sp macro="" textlink="">
          <xdr:nvSpPr>
            <xdr:cNvPr id="452" name="Shape 452" descr="You can also create columns easily: In the lower-right corner of the table, click the resize handle    and drag it to the right 2 columns">
              <a:extLst>
                <a:ext uri="{FF2B5EF4-FFF2-40B4-BE49-F238E27FC236}">
                  <a16:creationId xmlns:a16="http://schemas.microsoft.com/office/drawing/2014/main" id="{00000000-0008-0000-0500-0000C4010000}"/>
                </a:ext>
              </a:extLst>
            </xdr:cNvPr>
            <xdr:cNvSpPr txBox="1"/>
          </xdr:nvSpPr>
          <xdr:spPr>
            <a:xfrm>
              <a:off x="972158" y="2792794"/>
              <a:ext cx="4809516" cy="474282"/>
            </a:xfrm>
            <a:prstGeom prst="rect">
              <a:avLst/>
            </a:prstGeom>
            <a:noFill/>
            <a:ln>
              <a:noFill/>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Clr>
                  <a:srgbClr val="3F3F3F"/>
                </a:buClr>
                <a:buSzPts val="1100"/>
                <a:buFont typeface="Quattrocento Sans"/>
                <a:buNone/>
              </a:pPr>
              <a:r>
                <a:rPr lang="en-US" sz="1100">
                  <a:solidFill>
                    <a:srgbClr val="3F3F3F"/>
                  </a:solidFill>
                  <a:latin typeface="Quattrocento Sans"/>
                  <a:ea typeface="Quattrocento Sans"/>
                  <a:cs typeface="Quattrocento Sans"/>
                  <a:sym typeface="Quattrocento Sans"/>
                </a:rPr>
                <a:t>You can also create columns easily</a:t>
              </a:r>
              <a:r>
                <a:rPr lang="en-US" sz="1100" b="0" i="0" u="none" strike="noStrike" cap="none">
                  <a:solidFill>
                    <a:srgbClr val="3F3F3F"/>
                  </a:solidFill>
                  <a:latin typeface="Quattrocento Sans"/>
                  <a:ea typeface="Quattrocento Sans"/>
                  <a:cs typeface="Quattrocento Sans"/>
                  <a:sym typeface="Quattrocento Sans"/>
                </a:rPr>
                <a:t>: In the lower-</a:t>
              </a:r>
              <a:r>
                <a:rPr lang="en-US" sz="1100">
                  <a:solidFill>
                    <a:srgbClr val="3F3F3F"/>
                  </a:solidFill>
                  <a:latin typeface="Quattrocento Sans"/>
                  <a:ea typeface="Quattrocento Sans"/>
                  <a:cs typeface="Quattrocento Sans"/>
                  <a:sym typeface="Quattrocento Sans"/>
                </a:rPr>
                <a:t>right corner of the table, click</a:t>
              </a:r>
              <a:r>
                <a:rPr lang="en-US" sz="1100" b="0" i="0" u="none" strike="noStrike" cap="none">
                  <a:solidFill>
                    <a:srgbClr val="3F3F3F"/>
                  </a:solidFill>
                  <a:latin typeface="Quattrocento Sans"/>
                  <a:ea typeface="Quattrocento Sans"/>
                  <a:cs typeface="Quattrocento Sans"/>
                  <a:sym typeface="Quattrocento Sans"/>
                </a:rPr>
                <a:t> the resize handle    and drag it to the right 2 columns.</a:t>
              </a:r>
              <a:endParaRPr sz="1400"/>
            </a:p>
          </xdr:txBody>
        </xdr:sp>
        <xdr:sp macro="" textlink="">
          <xdr:nvSpPr>
            <xdr:cNvPr id="453" name="Shape 453" descr="4">
              <a:extLst>
                <a:ext uri="{FF2B5EF4-FFF2-40B4-BE49-F238E27FC236}">
                  <a16:creationId xmlns:a16="http://schemas.microsoft.com/office/drawing/2014/main" id="{00000000-0008-0000-0500-0000C5010000}"/>
                </a:ext>
              </a:extLst>
            </xdr:cNvPr>
            <xdr:cNvSpPr/>
          </xdr:nvSpPr>
          <xdr:spPr>
            <a:xfrm>
              <a:off x="565124" y="2750295"/>
              <a:ext cx="371587"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4</a:t>
              </a:r>
              <a:endParaRPr sz="1400"/>
            </a:p>
          </xdr:txBody>
        </xdr:sp>
        <xdr:sp macro="" textlink="">
          <xdr:nvSpPr>
            <xdr:cNvPr id="454" name="Shape 454" descr="Notice how the two columns are created, formatted, and the text Jan and Feb are filled for you">
              <a:extLst>
                <a:ext uri="{FF2B5EF4-FFF2-40B4-BE49-F238E27FC236}">
                  <a16:creationId xmlns:a16="http://schemas.microsoft.com/office/drawing/2014/main" id="{00000000-0008-0000-0500-0000C6010000}"/>
                </a:ext>
              </a:extLst>
            </xdr:cNvPr>
            <xdr:cNvSpPr txBox="1"/>
          </xdr:nvSpPr>
          <xdr:spPr>
            <a:xfrm>
              <a:off x="972158" y="3272082"/>
              <a:ext cx="4809516" cy="490294"/>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rgbClr val="3F3F3F"/>
                  </a:solidFill>
                  <a:latin typeface="Quattrocento Sans"/>
                  <a:ea typeface="Quattrocento Sans"/>
                  <a:cs typeface="Quattrocento Sans"/>
                  <a:sym typeface="Quattrocento Sans"/>
                </a:rPr>
                <a:t>Notice how the two columns are created, formatted, and the text Jan and Feb are filled for you.</a:t>
              </a:r>
              <a:endParaRPr sz="1400"/>
            </a:p>
          </xdr:txBody>
        </xdr:sp>
        <xdr:sp macro="" textlink="">
          <xdr:nvSpPr>
            <xdr:cNvPr id="455" name="Shape 455" descr="5">
              <a:extLst>
                <a:ext uri="{FF2B5EF4-FFF2-40B4-BE49-F238E27FC236}">
                  <a16:creationId xmlns:a16="http://schemas.microsoft.com/office/drawing/2014/main" id="{00000000-0008-0000-0500-0000C7010000}"/>
                </a:ext>
              </a:extLst>
            </xdr:cNvPr>
            <xdr:cNvSpPr/>
          </xdr:nvSpPr>
          <xdr:spPr>
            <a:xfrm>
              <a:off x="565124" y="3229583"/>
              <a:ext cx="371587"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5</a:t>
              </a:r>
              <a:endParaRPr sz="1400"/>
            </a:p>
          </xdr:txBody>
        </xdr:sp>
        <xdr:pic>
          <xdr:nvPicPr>
            <xdr:cNvPr id="456" name="Shape 456" descr="Resize handle">
              <a:extLst>
                <a:ext uri="{FF2B5EF4-FFF2-40B4-BE49-F238E27FC236}">
                  <a16:creationId xmlns:a16="http://schemas.microsoft.com/office/drawing/2014/main" id="{00000000-0008-0000-0500-0000C8010000}"/>
                </a:ext>
              </a:extLst>
            </xdr:cNvPr>
            <xdr:cNvPicPr preferRelativeResize="0"/>
          </xdr:nvPicPr>
          <xdr:blipFill rotWithShape="1">
            <a:blip xmlns:r="http://schemas.openxmlformats.org/officeDocument/2006/relationships" r:embed="rId2">
              <a:alphaModFix/>
            </a:blip>
            <a:srcRect l="-9548" t="47706" r="-4"/>
            <a:stretch/>
          </xdr:blipFill>
          <xdr:spPr>
            <a:xfrm>
              <a:off x="2464252" y="3106683"/>
              <a:ext cx="73001" cy="79349"/>
            </a:xfrm>
            <a:prstGeom prst="rect">
              <a:avLst/>
            </a:prstGeom>
            <a:noFill/>
            <a:ln>
              <a:noFill/>
            </a:ln>
          </xdr:spPr>
        </xdr:pic>
      </xdr:grpSp>
    </xdr:grpSp>
    <xdr:clientData fLocksWithSheet="0"/>
  </xdr:oneCellAnchor>
  <xdr:oneCellAnchor>
    <xdr:from>
      <xdr:col>0</xdr:col>
      <xdr:colOff>390525</xdr:colOff>
      <xdr:row>26</xdr:row>
      <xdr:rowOff>0</xdr:rowOff>
    </xdr:from>
    <xdr:ext cx="5695950" cy="3629025"/>
    <xdr:grpSp>
      <xdr:nvGrpSpPr>
        <xdr:cNvPr id="3" name="Shape 2">
          <a:extLst>
            <a:ext uri="{FF2B5EF4-FFF2-40B4-BE49-F238E27FC236}">
              <a16:creationId xmlns:a16="http://schemas.microsoft.com/office/drawing/2014/main" id="{00000000-0008-0000-0500-000003000000}"/>
            </a:ext>
          </a:extLst>
        </xdr:cNvPr>
        <xdr:cNvGrpSpPr/>
      </xdr:nvGrpSpPr>
      <xdr:grpSpPr>
        <a:xfrm>
          <a:off x="390525" y="5543550"/>
          <a:ext cx="5695950" cy="3629025"/>
          <a:chOff x="2498025" y="1965488"/>
          <a:chExt cx="5695950" cy="3629025"/>
        </a:xfrm>
      </xdr:grpSpPr>
      <xdr:grpSp>
        <xdr:nvGrpSpPr>
          <xdr:cNvPr id="457" name="Shape 457" descr="Calculated columns in tables&#10;One example of a convenience that tables give you: calculated columns. You type a formula once, and it gets automatically filled down for you. Here’s how it works:&#10;Select the cell under Total.&#10;Press Alt and Equals key.&#10;Press Enter key.&#10;The SUM formula gets filled down for you so that you don’t have to do it yourself">
            <a:extLst>
              <a:ext uri="{FF2B5EF4-FFF2-40B4-BE49-F238E27FC236}">
                <a16:creationId xmlns:a16="http://schemas.microsoft.com/office/drawing/2014/main" id="{00000000-0008-0000-0500-0000C9010000}"/>
              </a:ext>
            </a:extLst>
          </xdr:cNvPr>
          <xdr:cNvGrpSpPr/>
        </xdr:nvGrpSpPr>
        <xdr:grpSpPr>
          <a:xfrm>
            <a:off x="2498025" y="1965488"/>
            <a:ext cx="5695950" cy="3629025"/>
            <a:chOff x="390525" y="5943600"/>
            <a:chExt cx="5695950" cy="3632199"/>
          </a:xfrm>
        </xdr:grpSpPr>
        <xdr:sp macro="" textlink="">
          <xdr:nvSpPr>
            <xdr:cNvPr id="5" name="Shape 4">
              <a:extLst>
                <a:ext uri="{FF2B5EF4-FFF2-40B4-BE49-F238E27FC236}">
                  <a16:creationId xmlns:a16="http://schemas.microsoft.com/office/drawing/2014/main" id="{00000000-0008-0000-0500-000005000000}"/>
                </a:ext>
              </a:extLst>
            </xdr:cNvPr>
            <xdr:cNvSpPr/>
          </xdr:nvSpPr>
          <xdr:spPr>
            <a:xfrm>
              <a:off x="390525" y="5943600"/>
              <a:ext cx="5695950" cy="3632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458" name="Shape 458" descr="Background">
              <a:extLst>
                <a:ext uri="{FF2B5EF4-FFF2-40B4-BE49-F238E27FC236}">
                  <a16:creationId xmlns:a16="http://schemas.microsoft.com/office/drawing/2014/main" id="{00000000-0008-0000-0500-0000CA010000}"/>
                </a:ext>
              </a:extLst>
            </xdr:cNvPr>
            <xdr:cNvSpPr/>
          </xdr:nvSpPr>
          <xdr:spPr>
            <a:xfrm>
              <a:off x="390525" y="5943600"/>
              <a:ext cx="5695950" cy="3632199"/>
            </a:xfrm>
            <a:prstGeom prst="rect">
              <a:avLst/>
            </a:prstGeom>
            <a:solidFill>
              <a:srgbClr val="F5F5F5"/>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459" name="Shape 459" descr="Calculated columns in tables">
              <a:extLst>
                <a:ext uri="{FF2B5EF4-FFF2-40B4-BE49-F238E27FC236}">
                  <a16:creationId xmlns:a16="http://schemas.microsoft.com/office/drawing/2014/main" id="{00000000-0008-0000-0500-0000CB010000}"/>
                </a:ext>
              </a:extLst>
            </xdr:cNvPr>
            <xdr:cNvSpPr txBox="1"/>
          </xdr:nvSpPr>
          <xdr:spPr>
            <a:xfrm>
              <a:off x="622273" y="6069511"/>
              <a:ext cx="5216551" cy="482054"/>
            </a:xfrm>
            <a:prstGeom prst="rect">
              <a:avLst/>
            </a:prstGeom>
            <a:noFill/>
            <a:ln>
              <a:noFill/>
            </a:ln>
          </xdr:spPr>
          <xdr:txBody>
            <a:bodyPr spcFirstLastPara="1" wrap="square" lIns="0" tIns="45700" rIns="0" bIns="45700" anchor="t" anchorCtr="0">
              <a:noAutofit/>
            </a:bodyPr>
            <a:lstStyle/>
            <a:p>
              <a:pPr marL="0" marR="0" lvl="0" indent="0" algn="l" rtl="0">
                <a:lnSpc>
                  <a:spcPct val="100000"/>
                </a:lnSpc>
                <a:spcBef>
                  <a:spcPts val="0"/>
                </a:spcBef>
                <a:spcAft>
                  <a:spcPts val="0"/>
                </a:spcAft>
                <a:buClr>
                  <a:srgbClr val="3A3838"/>
                </a:buClr>
                <a:buSzPts val="2200"/>
                <a:buFont typeface="Quattrocento Sans"/>
                <a:buNone/>
              </a:pPr>
              <a:r>
                <a:rPr lang="en-US" sz="2200" b="0" i="0" u="none" strike="noStrike" cap="none">
                  <a:solidFill>
                    <a:srgbClr val="3A3838"/>
                  </a:solidFill>
                  <a:latin typeface="Quattrocento Sans"/>
                  <a:ea typeface="Quattrocento Sans"/>
                  <a:cs typeface="Quattrocento Sans"/>
                  <a:sym typeface="Quattrocento Sans"/>
                </a:rPr>
                <a:t>Calculated columns in tables</a:t>
              </a:r>
              <a:endParaRPr sz="2200" b="0">
                <a:solidFill>
                  <a:srgbClr val="3A3838"/>
                </a:solidFill>
                <a:latin typeface="Quattrocento Sans"/>
                <a:ea typeface="Quattrocento Sans"/>
                <a:cs typeface="Quattrocento Sans"/>
                <a:sym typeface="Quattrocento Sans"/>
              </a:endParaRPr>
            </a:p>
          </xdr:txBody>
        </xdr:sp>
        <xdr:cxnSp macro="">
          <xdr:nvCxnSpPr>
            <xdr:cNvPr id="460" name="Shape 460" descr="Decorative line">
              <a:extLst>
                <a:ext uri="{FF2B5EF4-FFF2-40B4-BE49-F238E27FC236}">
                  <a16:creationId xmlns:a16="http://schemas.microsoft.com/office/drawing/2014/main" id="{00000000-0008-0000-0500-0000CC010000}"/>
                </a:ext>
              </a:extLst>
            </xdr:cNvPr>
            <xdr:cNvCxnSpPr/>
          </xdr:nvCxnSpPr>
          <xdr:spPr>
            <a:xfrm>
              <a:off x="625449" y="6567777"/>
              <a:ext cx="5213376" cy="0"/>
            </a:xfrm>
            <a:prstGeom prst="straightConnector1">
              <a:avLst/>
            </a:prstGeom>
            <a:noFill/>
            <a:ln w="25400" cap="flat" cmpd="sng">
              <a:solidFill>
                <a:srgbClr val="217346"/>
              </a:solidFill>
              <a:prstDash val="solid"/>
              <a:round/>
              <a:headEnd type="none" w="sm" len="sm"/>
              <a:tailEnd type="none" w="sm" len="sm"/>
            </a:ln>
          </xdr:spPr>
        </xdr:cxnSp>
        <xdr:cxnSp macro="">
          <xdr:nvCxnSpPr>
            <xdr:cNvPr id="461" name="Shape 461" descr="Decorative line">
              <a:extLst>
                <a:ext uri="{FF2B5EF4-FFF2-40B4-BE49-F238E27FC236}">
                  <a16:creationId xmlns:a16="http://schemas.microsoft.com/office/drawing/2014/main" id="{00000000-0008-0000-0500-0000CD010000}"/>
                </a:ext>
              </a:extLst>
            </xdr:cNvPr>
            <xdr:cNvCxnSpPr/>
          </xdr:nvCxnSpPr>
          <xdr:spPr>
            <a:xfrm>
              <a:off x="625449" y="9356723"/>
              <a:ext cx="5213376" cy="0"/>
            </a:xfrm>
            <a:prstGeom prst="straightConnector1">
              <a:avLst/>
            </a:prstGeom>
            <a:noFill/>
            <a:ln w="25400" cap="flat" cmpd="sng">
              <a:solidFill>
                <a:srgbClr val="217346"/>
              </a:solidFill>
              <a:prstDash val="solid"/>
              <a:round/>
              <a:headEnd type="none" w="sm" len="sm"/>
              <a:tailEnd type="none" w="sm" len="sm"/>
            </a:ln>
          </xdr:spPr>
        </xdr:cxnSp>
        <xdr:sp macro="" textlink="">
          <xdr:nvSpPr>
            <xdr:cNvPr id="462" name="Shape 462" descr="One example of a convenience that tables give you: calculated columns. You type a formula once, and it gets automatically filled down for you. Here’s how it works:">
              <a:extLst>
                <a:ext uri="{FF2B5EF4-FFF2-40B4-BE49-F238E27FC236}">
                  <a16:creationId xmlns:a16="http://schemas.microsoft.com/office/drawing/2014/main" id="{00000000-0008-0000-0500-0000CE010000}"/>
                </a:ext>
              </a:extLst>
            </xdr:cNvPr>
            <xdr:cNvSpPr txBox="1"/>
          </xdr:nvSpPr>
          <xdr:spPr>
            <a:xfrm>
              <a:off x="619125" y="6640060"/>
              <a:ext cx="5300938" cy="558422"/>
            </a:xfrm>
            <a:prstGeom prst="rect">
              <a:avLst/>
            </a:prstGeom>
            <a:noFill/>
            <a:ln>
              <a:noFill/>
            </a:ln>
          </xdr:spPr>
          <xdr:txBody>
            <a:bodyPr spcFirstLastPara="1" wrap="square" lIns="0" tIns="45700" rIns="0" bIns="45700" anchor="t" anchorCtr="0">
              <a:noAutofit/>
            </a:bodyPr>
            <a:lstStyle/>
            <a:p>
              <a:pPr marL="0" lvl="0" indent="0" algn="l" rtl="0">
                <a:spcBef>
                  <a:spcPts val="0"/>
                </a:spcBef>
                <a:spcAft>
                  <a:spcPts val="0"/>
                </a:spcAft>
                <a:buNone/>
              </a:pPr>
              <a:r>
                <a:rPr lang="en-US" sz="1100">
                  <a:solidFill>
                    <a:srgbClr val="3F3F3F"/>
                  </a:solidFill>
                  <a:latin typeface="Quattrocento Sans"/>
                  <a:ea typeface="Quattrocento Sans"/>
                  <a:cs typeface="Quattrocento Sans"/>
                  <a:sym typeface="Quattrocento Sans"/>
                </a:rPr>
                <a:t>One example of a convenience that tables give you: </a:t>
              </a:r>
              <a:r>
                <a:rPr lang="en-US" sz="1100" b="1">
                  <a:solidFill>
                    <a:srgbClr val="3F3F3F"/>
                  </a:solidFill>
                  <a:latin typeface="Quattrocento Sans"/>
                  <a:ea typeface="Quattrocento Sans"/>
                  <a:cs typeface="Quattrocento Sans"/>
                  <a:sym typeface="Quattrocento Sans"/>
                </a:rPr>
                <a:t>calculated columns</a:t>
              </a:r>
              <a:r>
                <a:rPr lang="en-US" sz="1100">
                  <a:solidFill>
                    <a:srgbClr val="3F3F3F"/>
                  </a:solidFill>
                  <a:latin typeface="Quattrocento Sans"/>
                  <a:ea typeface="Quattrocento Sans"/>
                  <a:cs typeface="Quattrocento Sans"/>
                  <a:sym typeface="Quattrocento Sans"/>
                </a:rPr>
                <a:t>. You type a formula once, and it gets automatically filled down for you. Here’s how it works:</a:t>
              </a:r>
              <a:endParaRPr sz="1400"/>
            </a:p>
          </xdr:txBody>
        </xdr:sp>
        <xdr:sp macro="" textlink="">
          <xdr:nvSpPr>
            <xdr:cNvPr id="463" name="Shape 463" descr="Select the cell under Total">
              <a:extLst>
                <a:ext uri="{FF2B5EF4-FFF2-40B4-BE49-F238E27FC236}">
                  <a16:creationId xmlns:a16="http://schemas.microsoft.com/office/drawing/2014/main" id="{00000000-0008-0000-0500-0000CF010000}"/>
                </a:ext>
              </a:extLst>
            </xdr:cNvPr>
            <xdr:cNvSpPr txBox="1"/>
          </xdr:nvSpPr>
          <xdr:spPr>
            <a:xfrm>
              <a:off x="1029308" y="7283132"/>
              <a:ext cx="4809516" cy="394018"/>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Quattrocento Sans"/>
                  <a:ea typeface="Quattrocento Sans"/>
                  <a:cs typeface="Quattrocento Sans"/>
                  <a:sym typeface="Quattrocento Sans"/>
                </a:rPr>
                <a:t>Select the cell under </a:t>
              </a:r>
              <a:r>
                <a:rPr lang="en-US" sz="1100" b="1">
                  <a:solidFill>
                    <a:schemeClr val="dk1"/>
                  </a:solidFill>
                  <a:latin typeface="Quattrocento Sans"/>
                  <a:ea typeface="Quattrocento Sans"/>
                  <a:cs typeface="Quattrocento Sans"/>
                  <a:sym typeface="Quattrocento Sans"/>
                </a:rPr>
                <a:t>Total</a:t>
              </a:r>
              <a:r>
                <a:rPr lang="en-US" sz="1100">
                  <a:solidFill>
                    <a:schemeClr val="dk1"/>
                  </a:solidFill>
                  <a:latin typeface="Quattrocento Sans"/>
                  <a:ea typeface="Quattrocento Sans"/>
                  <a:cs typeface="Quattrocento Sans"/>
                  <a:sym typeface="Quattrocento Sans"/>
                </a:rPr>
                <a:t>.</a:t>
              </a:r>
              <a:endParaRPr sz="1400"/>
            </a:p>
          </xdr:txBody>
        </xdr:sp>
        <xdr:sp macro="" textlink="">
          <xdr:nvSpPr>
            <xdr:cNvPr id="464" name="Shape 464" descr="1">
              <a:extLst>
                <a:ext uri="{FF2B5EF4-FFF2-40B4-BE49-F238E27FC236}">
                  <a16:creationId xmlns:a16="http://schemas.microsoft.com/office/drawing/2014/main" id="{00000000-0008-0000-0500-0000D0010000}"/>
                </a:ext>
              </a:extLst>
            </xdr:cNvPr>
            <xdr:cNvSpPr/>
          </xdr:nvSpPr>
          <xdr:spPr>
            <a:xfrm>
              <a:off x="622274" y="7241400"/>
              <a:ext cx="371587" cy="364889"/>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1</a:t>
              </a:r>
              <a:endParaRPr sz="1400"/>
            </a:p>
          </xdr:txBody>
        </xdr:sp>
        <xdr:sp macro="" textlink="">
          <xdr:nvSpPr>
            <xdr:cNvPr id="465" name="Shape 465" descr="Press Enter key">
              <a:extLst>
                <a:ext uri="{FF2B5EF4-FFF2-40B4-BE49-F238E27FC236}">
                  <a16:creationId xmlns:a16="http://schemas.microsoft.com/office/drawing/2014/main" id="{00000000-0008-0000-0500-0000D1010000}"/>
                </a:ext>
              </a:extLst>
            </xdr:cNvPr>
            <xdr:cNvSpPr txBox="1"/>
          </xdr:nvSpPr>
          <xdr:spPr>
            <a:xfrm>
              <a:off x="1029307" y="8302009"/>
              <a:ext cx="4809517" cy="627363"/>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Quattrocento Sans"/>
                  <a:ea typeface="Quattrocento Sans"/>
                  <a:cs typeface="Quattrocento Sans"/>
                  <a:sym typeface="Quattrocento Sans"/>
                </a:rPr>
                <a:t>Press</a:t>
              </a:r>
              <a:endParaRPr sz="1400"/>
            </a:p>
            <a:p>
              <a:pPr marL="0" lvl="0" indent="0" algn="l" rtl="0">
                <a:spcBef>
                  <a:spcPts val="0"/>
                </a:spcBef>
                <a:spcAft>
                  <a:spcPts val="0"/>
                </a:spcAft>
                <a:buNone/>
              </a:pPr>
              <a:endParaRPr sz="1100">
                <a:latin typeface="Quattrocento Sans"/>
                <a:ea typeface="Quattrocento Sans"/>
                <a:cs typeface="Quattrocento Sans"/>
                <a:sym typeface="Quattrocento Sans"/>
              </a:endParaRPr>
            </a:p>
          </xdr:txBody>
        </xdr:sp>
        <xdr:sp macro="" textlink="">
          <xdr:nvSpPr>
            <xdr:cNvPr id="466" name="Shape 466" descr="3">
              <a:extLst>
                <a:ext uri="{FF2B5EF4-FFF2-40B4-BE49-F238E27FC236}">
                  <a16:creationId xmlns:a16="http://schemas.microsoft.com/office/drawing/2014/main" id="{00000000-0008-0000-0500-0000D2010000}"/>
                </a:ext>
              </a:extLst>
            </xdr:cNvPr>
            <xdr:cNvSpPr/>
          </xdr:nvSpPr>
          <xdr:spPr>
            <a:xfrm>
              <a:off x="622274" y="8260277"/>
              <a:ext cx="371587" cy="364889"/>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3</a:t>
              </a:r>
              <a:endParaRPr sz="1400"/>
            </a:p>
          </xdr:txBody>
        </xdr:sp>
        <xdr:sp macro="" textlink="">
          <xdr:nvSpPr>
            <xdr:cNvPr id="467" name="Shape 467" descr="The SUM formula gets filled down for you so that you don’t have to do it yourself">
              <a:extLst>
                <a:ext uri="{FF2B5EF4-FFF2-40B4-BE49-F238E27FC236}">
                  <a16:creationId xmlns:a16="http://schemas.microsoft.com/office/drawing/2014/main" id="{00000000-0008-0000-0500-0000D3010000}"/>
                </a:ext>
              </a:extLst>
            </xdr:cNvPr>
            <xdr:cNvSpPr txBox="1"/>
          </xdr:nvSpPr>
          <xdr:spPr>
            <a:xfrm>
              <a:off x="1029307" y="8778541"/>
              <a:ext cx="4809517" cy="45088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Quattrocento Sans"/>
                  <a:ea typeface="Quattrocento Sans"/>
                  <a:cs typeface="Quattrocento Sans"/>
                  <a:sym typeface="Quattrocento Sans"/>
                </a:rPr>
                <a:t>The SUM formula gets filled down for you so that you don’t have to do it yourself. </a:t>
              </a:r>
              <a:endParaRPr sz="1400"/>
            </a:p>
          </xdr:txBody>
        </xdr:sp>
        <xdr:sp macro="" textlink="">
          <xdr:nvSpPr>
            <xdr:cNvPr id="468" name="Shape 468" descr="4">
              <a:extLst>
                <a:ext uri="{FF2B5EF4-FFF2-40B4-BE49-F238E27FC236}">
                  <a16:creationId xmlns:a16="http://schemas.microsoft.com/office/drawing/2014/main" id="{00000000-0008-0000-0500-0000D4010000}"/>
                </a:ext>
              </a:extLst>
            </xdr:cNvPr>
            <xdr:cNvSpPr/>
          </xdr:nvSpPr>
          <xdr:spPr>
            <a:xfrm>
              <a:off x="622274" y="8736808"/>
              <a:ext cx="371587" cy="364889"/>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4</a:t>
              </a:r>
              <a:endParaRPr sz="1400"/>
            </a:p>
          </xdr:txBody>
        </xdr:sp>
        <xdr:sp macro="" textlink="">
          <xdr:nvSpPr>
            <xdr:cNvPr id="469" name="Shape 469" descr="Press Alt and Equals key">
              <a:extLst>
                <a:ext uri="{FF2B5EF4-FFF2-40B4-BE49-F238E27FC236}">
                  <a16:creationId xmlns:a16="http://schemas.microsoft.com/office/drawing/2014/main" id="{00000000-0008-0000-0500-0000D5010000}"/>
                </a:ext>
              </a:extLst>
            </xdr:cNvPr>
            <xdr:cNvSpPr txBox="1"/>
          </xdr:nvSpPr>
          <xdr:spPr>
            <a:xfrm>
              <a:off x="1029307" y="7756081"/>
              <a:ext cx="4809517" cy="627363"/>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Quattrocento Sans"/>
                  <a:ea typeface="Quattrocento Sans"/>
                  <a:cs typeface="Quattrocento Sans"/>
                  <a:sym typeface="Quattrocento Sans"/>
                </a:rPr>
                <a:t>Press</a:t>
              </a:r>
              <a:endParaRPr sz="1400"/>
            </a:p>
            <a:p>
              <a:pPr marL="0" lvl="0" indent="0" algn="l" rtl="0">
                <a:spcBef>
                  <a:spcPts val="0"/>
                </a:spcBef>
                <a:spcAft>
                  <a:spcPts val="0"/>
                </a:spcAft>
                <a:buNone/>
              </a:pPr>
              <a:endParaRPr sz="1100">
                <a:latin typeface="Quattrocento Sans"/>
                <a:ea typeface="Quattrocento Sans"/>
                <a:cs typeface="Quattrocento Sans"/>
                <a:sym typeface="Quattrocento Sans"/>
              </a:endParaRPr>
            </a:p>
          </xdr:txBody>
        </xdr:sp>
        <xdr:sp macro="" textlink="">
          <xdr:nvSpPr>
            <xdr:cNvPr id="470" name="Shape 470" descr="2">
              <a:extLst>
                <a:ext uri="{FF2B5EF4-FFF2-40B4-BE49-F238E27FC236}">
                  <a16:creationId xmlns:a16="http://schemas.microsoft.com/office/drawing/2014/main" id="{00000000-0008-0000-0500-0000D6010000}"/>
                </a:ext>
              </a:extLst>
            </xdr:cNvPr>
            <xdr:cNvSpPr/>
          </xdr:nvSpPr>
          <xdr:spPr>
            <a:xfrm>
              <a:off x="622274" y="7714349"/>
              <a:ext cx="371587" cy="364889"/>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2</a:t>
              </a:r>
              <a:endParaRPr sz="1400"/>
            </a:p>
          </xdr:txBody>
        </xdr:sp>
        <xdr:sp macro="" textlink="">
          <xdr:nvSpPr>
            <xdr:cNvPr id="471" name="Shape 471" descr="Enter key">
              <a:extLst>
                <a:ext uri="{FF2B5EF4-FFF2-40B4-BE49-F238E27FC236}">
                  <a16:creationId xmlns:a16="http://schemas.microsoft.com/office/drawing/2014/main" id="{00000000-0008-0000-0500-0000D7010000}"/>
                </a:ext>
              </a:extLst>
            </xdr:cNvPr>
            <xdr:cNvSpPr/>
          </xdr:nvSpPr>
          <xdr:spPr>
            <a:xfrm>
              <a:off x="1490729" y="8305359"/>
              <a:ext cx="470468" cy="252539"/>
            </a:xfrm>
            <a:prstGeom prst="roundRect">
              <a:avLst>
                <a:gd name="adj" fmla="val 16667"/>
              </a:avLst>
            </a:prstGeom>
            <a:no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Quattrocento Sans"/>
                  <a:ea typeface="Quattrocento Sans"/>
                  <a:cs typeface="Quattrocento Sans"/>
                  <a:sym typeface="Quattrocento Sans"/>
                </a:rPr>
                <a:t>Enter</a:t>
              </a:r>
              <a:endParaRPr sz="1400"/>
            </a:p>
          </xdr:txBody>
        </xdr:sp>
        <xdr:sp macro="" textlink="">
          <xdr:nvSpPr>
            <xdr:cNvPr id="472" name="Shape 472" descr="Alt key">
              <a:extLst>
                <a:ext uri="{FF2B5EF4-FFF2-40B4-BE49-F238E27FC236}">
                  <a16:creationId xmlns:a16="http://schemas.microsoft.com/office/drawing/2014/main" id="{00000000-0008-0000-0500-0000D8010000}"/>
                </a:ext>
              </a:extLst>
            </xdr:cNvPr>
            <xdr:cNvSpPr/>
          </xdr:nvSpPr>
          <xdr:spPr>
            <a:xfrm>
              <a:off x="1490729" y="7759431"/>
              <a:ext cx="459442" cy="252539"/>
            </a:xfrm>
            <a:prstGeom prst="roundRect">
              <a:avLst>
                <a:gd name="adj" fmla="val 16667"/>
              </a:avLst>
            </a:prstGeom>
            <a:no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Quattrocento Sans"/>
                  <a:ea typeface="Quattrocento Sans"/>
                  <a:cs typeface="Quattrocento Sans"/>
                  <a:sym typeface="Quattrocento Sans"/>
                </a:rPr>
                <a:t>Alt</a:t>
              </a:r>
              <a:endParaRPr sz="800">
                <a:solidFill>
                  <a:schemeClr val="dk1"/>
                </a:solidFill>
                <a:latin typeface="Quattrocento Sans"/>
                <a:ea typeface="Quattrocento Sans"/>
                <a:cs typeface="Quattrocento Sans"/>
                <a:sym typeface="Quattrocento Sans"/>
              </a:endParaRPr>
            </a:p>
          </xdr:txBody>
        </xdr:sp>
        <xdr:sp macro="" textlink="">
          <xdr:nvSpPr>
            <xdr:cNvPr id="473" name="Shape 473" descr="Equals key">
              <a:extLst>
                <a:ext uri="{FF2B5EF4-FFF2-40B4-BE49-F238E27FC236}">
                  <a16:creationId xmlns:a16="http://schemas.microsoft.com/office/drawing/2014/main" id="{00000000-0008-0000-0500-0000D9010000}"/>
                </a:ext>
              </a:extLst>
            </xdr:cNvPr>
            <xdr:cNvSpPr/>
          </xdr:nvSpPr>
          <xdr:spPr>
            <a:xfrm>
              <a:off x="2035131" y="7759431"/>
              <a:ext cx="466658" cy="252539"/>
            </a:xfrm>
            <a:prstGeom prst="roundRect">
              <a:avLst>
                <a:gd name="adj" fmla="val 16667"/>
              </a:avLst>
            </a:prstGeom>
            <a:no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Quattrocento Sans"/>
                  <a:ea typeface="Quattrocento Sans"/>
                  <a:cs typeface="Quattrocento Sans"/>
                  <a:sym typeface="Quattrocento Sans"/>
                </a:rPr>
                <a:t>=</a:t>
              </a:r>
              <a:endParaRPr sz="1400"/>
            </a:p>
          </xdr:txBody>
        </xdr:sp>
      </xdr:grpSp>
    </xdr:grpSp>
    <xdr:clientData fLocksWithSheet="0"/>
  </xdr:oneCellAnchor>
  <xdr:oneCellAnchor>
    <xdr:from>
      <xdr:col>5</xdr:col>
      <xdr:colOff>171450</xdr:colOff>
      <xdr:row>57</xdr:row>
      <xdr:rowOff>85725</xdr:rowOff>
    </xdr:from>
    <xdr:ext cx="2162175" cy="1304925"/>
    <xdr:grpSp>
      <xdr:nvGrpSpPr>
        <xdr:cNvPr id="6" name="Shape 2">
          <a:extLst>
            <a:ext uri="{FF2B5EF4-FFF2-40B4-BE49-F238E27FC236}">
              <a16:creationId xmlns:a16="http://schemas.microsoft.com/office/drawing/2014/main" id="{00000000-0008-0000-0500-000006000000}"/>
            </a:ext>
          </a:extLst>
        </xdr:cNvPr>
        <xdr:cNvGrpSpPr/>
      </xdr:nvGrpSpPr>
      <xdr:grpSpPr>
        <a:xfrm>
          <a:off x="8820150" y="11534775"/>
          <a:ext cx="2162175" cy="1304925"/>
          <a:chOff x="4264913" y="3127539"/>
          <a:chExt cx="2162175" cy="1304925"/>
        </a:xfrm>
      </xdr:grpSpPr>
      <xdr:grpSp>
        <xdr:nvGrpSpPr>
          <xdr:cNvPr id="474" name="Shape 474" descr="GOOD TO KNOW&#10;There's a shortcut for showing and hiding the total row. Click inside the table, and then press CTRL+SHIFT+T&#10;">
            <a:extLst>
              <a:ext uri="{FF2B5EF4-FFF2-40B4-BE49-F238E27FC236}">
                <a16:creationId xmlns:a16="http://schemas.microsoft.com/office/drawing/2014/main" id="{00000000-0008-0000-0500-0000DA010000}"/>
              </a:ext>
            </a:extLst>
          </xdr:cNvPr>
          <xdr:cNvGrpSpPr/>
        </xdr:nvGrpSpPr>
        <xdr:grpSpPr>
          <a:xfrm>
            <a:off x="4264913" y="3127539"/>
            <a:ext cx="2162175" cy="1304925"/>
            <a:chOff x="8753475" y="11934825"/>
            <a:chExt cx="2162175" cy="1276350"/>
          </a:xfrm>
        </xdr:grpSpPr>
        <xdr:sp macro="" textlink="">
          <xdr:nvSpPr>
            <xdr:cNvPr id="7" name="Shape 4">
              <a:extLst>
                <a:ext uri="{FF2B5EF4-FFF2-40B4-BE49-F238E27FC236}">
                  <a16:creationId xmlns:a16="http://schemas.microsoft.com/office/drawing/2014/main" id="{00000000-0008-0000-0500-000007000000}"/>
                </a:ext>
              </a:extLst>
            </xdr:cNvPr>
            <xdr:cNvSpPr/>
          </xdr:nvSpPr>
          <xdr:spPr>
            <a:xfrm>
              <a:off x="8753475" y="11934825"/>
              <a:ext cx="2162175" cy="12763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475" name="Shape 475" descr="GOOD TO KNOW&#10;There's a shortcut for showing and hiding the total row. Click inside the table, and then press CTRL+SHIFT+T">
              <a:extLst>
                <a:ext uri="{FF2B5EF4-FFF2-40B4-BE49-F238E27FC236}">
                  <a16:creationId xmlns:a16="http://schemas.microsoft.com/office/drawing/2014/main" id="{00000000-0008-0000-0500-0000DB010000}"/>
                </a:ext>
              </a:extLst>
            </xdr:cNvPr>
            <xdr:cNvSpPr txBox="1"/>
          </xdr:nvSpPr>
          <xdr:spPr>
            <a:xfrm>
              <a:off x="9041105" y="11969833"/>
              <a:ext cx="1874545" cy="1241342"/>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200" b="1">
                  <a:solidFill>
                    <a:srgbClr val="F4B081"/>
                  </a:solidFill>
                  <a:latin typeface="Quattrocento Sans"/>
                  <a:ea typeface="Quattrocento Sans"/>
                  <a:cs typeface="Quattrocento Sans"/>
                  <a:sym typeface="Quattrocento Sans"/>
                </a:rPr>
                <a:t>GOOD TO KNOW</a:t>
              </a:r>
              <a:endParaRPr sz="1200" b="1">
                <a:solidFill>
                  <a:srgbClr val="F4B081"/>
                </a:solidFill>
                <a:latin typeface="Quattrocento Sans"/>
                <a:ea typeface="Quattrocento Sans"/>
                <a:cs typeface="Quattrocento Sans"/>
                <a:sym typeface="Quattrocento Sans"/>
              </a:endParaRPr>
            </a:p>
            <a:p>
              <a:pPr marL="0" lvl="0" indent="0" algn="l" rtl="0">
                <a:spcBef>
                  <a:spcPts val="0"/>
                </a:spcBef>
                <a:spcAft>
                  <a:spcPts val="0"/>
                </a:spcAft>
                <a:buNone/>
              </a:pPr>
              <a:r>
                <a:rPr lang="en-US" sz="1100">
                  <a:solidFill>
                    <a:srgbClr val="3A3838"/>
                  </a:solidFill>
                  <a:latin typeface="Calibri"/>
                  <a:ea typeface="Calibri"/>
                  <a:cs typeface="Calibri"/>
                  <a:sym typeface="Calibri"/>
                </a:rPr>
                <a:t>There's a shortcut for showing and hiding the total row. Click inside the table, and then press CTRL+SHIFT+T.</a:t>
              </a:r>
              <a:endParaRPr sz="1100">
                <a:solidFill>
                  <a:srgbClr val="3A3838"/>
                </a:solidFill>
              </a:endParaRPr>
            </a:p>
          </xdr:txBody>
        </xdr:sp>
        <xdr:pic>
          <xdr:nvPicPr>
            <xdr:cNvPr id="476" name="Shape 476" descr="Glasses">
              <a:extLst>
                <a:ext uri="{FF2B5EF4-FFF2-40B4-BE49-F238E27FC236}">
                  <a16:creationId xmlns:a16="http://schemas.microsoft.com/office/drawing/2014/main" id="{00000000-0008-0000-0500-0000DC010000}"/>
                </a:ext>
              </a:extLst>
            </xdr:cNvPr>
            <xdr:cNvPicPr preferRelativeResize="0"/>
          </xdr:nvPicPr>
          <xdr:blipFill rotWithShape="1">
            <a:blip xmlns:r="http://schemas.openxmlformats.org/officeDocument/2006/relationships" r:embed="rId3">
              <a:alphaModFix/>
            </a:blip>
            <a:srcRect/>
            <a:stretch/>
          </xdr:blipFill>
          <xdr:spPr>
            <a:xfrm>
              <a:off x="8753475" y="11934825"/>
              <a:ext cx="323347" cy="364990"/>
            </a:xfrm>
            <a:prstGeom prst="rect">
              <a:avLst/>
            </a:prstGeom>
            <a:noFill/>
            <a:ln>
              <a:noFill/>
            </a:ln>
          </xdr:spPr>
        </xdr:pic>
      </xdr:grpSp>
    </xdr:grpSp>
    <xdr:clientData fLocksWithSheet="0"/>
  </xdr:oneCellAnchor>
  <xdr:oneCellAnchor>
    <xdr:from>
      <xdr:col>3</xdr:col>
      <xdr:colOff>352425</xdr:colOff>
      <xdr:row>15</xdr:row>
      <xdr:rowOff>104775</xdr:rowOff>
    </xdr:from>
    <xdr:ext cx="2552700" cy="1228725"/>
    <xdr:grpSp>
      <xdr:nvGrpSpPr>
        <xdr:cNvPr id="8" name="Shape 2">
          <a:extLst>
            <a:ext uri="{FF2B5EF4-FFF2-40B4-BE49-F238E27FC236}">
              <a16:creationId xmlns:a16="http://schemas.microsoft.com/office/drawing/2014/main" id="{00000000-0008-0000-0500-000008000000}"/>
            </a:ext>
          </a:extLst>
        </xdr:cNvPr>
        <xdr:cNvGrpSpPr/>
      </xdr:nvGrpSpPr>
      <xdr:grpSpPr>
        <a:xfrm>
          <a:off x="7648575" y="3533775"/>
          <a:ext cx="2552700" cy="1228725"/>
          <a:chOff x="4069650" y="3165638"/>
          <a:chExt cx="2552700" cy="1228725"/>
        </a:xfrm>
      </xdr:grpSpPr>
      <xdr:grpSp>
        <xdr:nvGrpSpPr>
          <xdr:cNvPr id="477" name="Shape 477" descr="EXTRA CREDIT&#10;Try changing the table style. First click inside the table, and the Table Tools Design tab will appear at the top of Excel. Click that tab, and then pick a style you like">
            <a:extLst>
              <a:ext uri="{FF2B5EF4-FFF2-40B4-BE49-F238E27FC236}">
                <a16:creationId xmlns:a16="http://schemas.microsoft.com/office/drawing/2014/main" id="{00000000-0008-0000-0500-0000DD010000}"/>
              </a:ext>
            </a:extLst>
          </xdr:cNvPr>
          <xdr:cNvGrpSpPr/>
        </xdr:nvGrpSpPr>
        <xdr:grpSpPr>
          <a:xfrm>
            <a:off x="4069650" y="3165638"/>
            <a:ext cx="2552700" cy="1228725"/>
            <a:chOff x="7648575" y="3790949"/>
            <a:chExt cx="2486024" cy="1362075"/>
          </a:xfrm>
        </xdr:grpSpPr>
        <xdr:sp macro="" textlink="">
          <xdr:nvSpPr>
            <xdr:cNvPr id="9" name="Shape 4">
              <a:extLst>
                <a:ext uri="{FF2B5EF4-FFF2-40B4-BE49-F238E27FC236}">
                  <a16:creationId xmlns:a16="http://schemas.microsoft.com/office/drawing/2014/main" id="{00000000-0008-0000-0500-000009000000}"/>
                </a:ext>
              </a:extLst>
            </xdr:cNvPr>
            <xdr:cNvSpPr/>
          </xdr:nvSpPr>
          <xdr:spPr>
            <a:xfrm>
              <a:off x="7648575" y="3790949"/>
              <a:ext cx="2486000" cy="13620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478" name="Shape 478" descr="EXTRA CREDIT&#10;Try changing the table style. First click inside the table, and the Table Tools Design tab will appear at the top of Excel. Click that tab, and then pick a style you like">
              <a:extLst>
                <a:ext uri="{FF2B5EF4-FFF2-40B4-BE49-F238E27FC236}">
                  <a16:creationId xmlns:a16="http://schemas.microsoft.com/office/drawing/2014/main" id="{00000000-0008-0000-0500-0000DE010000}"/>
                </a:ext>
              </a:extLst>
            </xdr:cNvPr>
            <xdr:cNvSpPr txBox="1"/>
          </xdr:nvSpPr>
          <xdr:spPr>
            <a:xfrm>
              <a:off x="8008156" y="3790949"/>
              <a:ext cx="2126443" cy="136207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200" b="1">
                  <a:solidFill>
                    <a:srgbClr val="F4B081"/>
                  </a:solidFill>
                  <a:latin typeface="Quattrocento Sans"/>
                  <a:ea typeface="Quattrocento Sans"/>
                  <a:cs typeface="Quattrocento Sans"/>
                  <a:sym typeface="Quattrocento Sans"/>
                </a:rPr>
                <a:t>EXTRA CREDIT</a:t>
              </a:r>
              <a:endParaRPr sz="1200" b="1">
                <a:solidFill>
                  <a:srgbClr val="F4B081"/>
                </a:solidFill>
                <a:latin typeface="Quattrocento Sans"/>
                <a:ea typeface="Quattrocento Sans"/>
                <a:cs typeface="Quattrocento Sans"/>
                <a:sym typeface="Quattrocento Sans"/>
              </a:endParaRPr>
            </a:p>
            <a:p>
              <a:pPr marL="0" lvl="0" indent="0" algn="l" rtl="0">
                <a:spcBef>
                  <a:spcPts val="0"/>
                </a:spcBef>
                <a:spcAft>
                  <a:spcPts val="0"/>
                </a:spcAft>
                <a:buNone/>
              </a:pPr>
              <a:r>
                <a:rPr lang="en-US" sz="1100">
                  <a:solidFill>
                    <a:srgbClr val="3A3838"/>
                  </a:solidFill>
                  <a:latin typeface="Calibri"/>
                  <a:ea typeface="Calibri"/>
                  <a:cs typeface="Calibri"/>
                  <a:sym typeface="Calibri"/>
                </a:rPr>
                <a:t>Try changing the table style. First click inside the table, and the </a:t>
              </a:r>
              <a:r>
                <a:rPr lang="en-US" sz="1100" b="1">
                  <a:solidFill>
                    <a:srgbClr val="3A3838"/>
                  </a:solidFill>
                  <a:latin typeface="Calibri"/>
                  <a:ea typeface="Calibri"/>
                  <a:cs typeface="Calibri"/>
                  <a:sym typeface="Calibri"/>
                </a:rPr>
                <a:t>Table Tools Design </a:t>
              </a:r>
              <a:r>
                <a:rPr lang="en-US" sz="1100">
                  <a:solidFill>
                    <a:srgbClr val="3A3838"/>
                  </a:solidFill>
                  <a:latin typeface="Calibri"/>
                  <a:ea typeface="Calibri"/>
                  <a:cs typeface="Calibri"/>
                  <a:sym typeface="Calibri"/>
                </a:rPr>
                <a:t>tab will appear at the top of Excel. Click that tab, and then pick a style you like.</a:t>
              </a:r>
              <a:endParaRPr sz="1100" b="0" i="0">
                <a:solidFill>
                  <a:srgbClr val="3A3838"/>
                </a:solidFill>
                <a:latin typeface="Calibri"/>
                <a:ea typeface="Calibri"/>
                <a:cs typeface="Calibri"/>
                <a:sym typeface="Calibri"/>
              </a:endParaRPr>
            </a:p>
          </xdr:txBody>
        </xdr:sp>
        <xdr:pic>
          <xdr:nvPicPr>
            <xdr:cNvPr id="479" name="Shape 479" descr="Ribbon">
              <a:extLst>
                <a:ext uri="{FF2B5EF4-FFF2-40B4-BE49-F238E27FC236}">
                  <a16:creationId xmlns:a16="http://schemas.microsoft.com/office/drawing/2014/main" id="{00000000-0008-0000-0500-0000DF010000}"/>
                </a:ext>
              </a:extLst>
            </xdr:cNvPr>
            <xdr:cNvPicPr preferRelativeResize="0"/>
          </xdr:nvPicPr>
          <xdr:blipFill rotWithShape="1">
            <a:blip xmlns:r="http://schemas.openxmlformats.org/officeDocument/2006/relationships" r:embed="rId4">
              <a:alphaModFix/>
            </a:blip>
            <a:srcRect/>
            <a:stretch/>
          </xdr:blipFill>
          <xdr:spPr>
            <a:xfrm>
              <a:off x="7648575" y="3845776"/>
              <a:ext cx="471716" cy="439736"/>
            </a:xfrm>
            <a:prstGeom prst="rect">
              <a:avLst/>
            </a:prstGeom>
            <a:noFill/>
            <a:ln>
              <a:noFill/>
            </a:ln>
          </xdr:spPr>
        </xdr:pic>
      </xdr:grpSp>
    </xdr:grpSp>
    <xdr:clientData fLocksWithSheet="0"/>
  </xdr:oneCellAnchor>
  <xdr:oneCellAnchor>
    <xdr:from>
      <xdr:col>2</xdr:col>
      <xdr:colOff>428625</xdr:colOff>
      <xdr:row>41</xdr:row>
      <xdr:rowOff>104775</xdr:rowOff>
    </xdr:from>
    <xdr:ext cx="4000500" cy="952500"/>
    <xdr:grpSp>
      <xdr:nvGrpSpPr>
        <xdr:cNvPr id="10" name="Shape 2">
          <a:extLst>
            <a:ext uri="{FF2B5EF4-FFF2-40B4-BE49-F238E27FC236}">
              <a16:creationId xmlns:a16="http://schemas.microsoft.com/office/drawing/2014/main" id="{00000000-0008-0000-0500-00000A000000}"/>
            </a:ext>
          </a:extLst>
        </xdr:cNvPr>
        <xdr:cNvGrpSpPr/>
      </xdr:nvGrpSpPr>
      <xdr:grpSpPr>
        <a:xfrm>
          <a:off x="6800850" y="8505825"/>
          <a:ext cx="4000500" cy="952500"/>
          <a:chOff x="3345750" y="3303750"/>
          <a:chExt cx="4000500" cy="952500"/>
        </a:xfrm>
      </xdr:grpSpPr>
      <xdr:grpSp>
        <xdr:nvGrpSpPr>
          <xdr:cNvPr id="480" name="Shape 480" descr="EXPERIMENT: After putting in the calculated column, try typing over one of the cells in the column. What happens? If you see a green triangle, click it and then click the exclamation mark. You'll see that Excel's watchin' out for ya...">
            <a:extLst>
              <a:ext uri="{FF2B5EF4-FFF2-40B4-BE49-F238E27FC236}">
                <a16:creationId xmlns:a16="http://schemas.microsoft.com/office/drawing/2014/main" id="{00000000-0008-0000-0500-0000E0010000}"/>
              </a:ext>
            </a:extLst>
          </xdr:cNvPr>
          <xdr:cNvGrpSpPr/>
        </xdr:nvGrpSpPr>
        <xdr:grpSpPr>
          <a:xfrm>
            <a:off x="3345750" y="3303750"/>
            <a:ext cx="4000500" cy="952500"/>
            <a:chOff x="6800850" y="8905875"/>
            <a:chExt cx="4000500" cy="948102"/>
          </a:xfrm>
        </xdr:grpSpPr>
        <xdr:sp macro="" textlink="">
          <xdr:nvSpPr>
            <xdr:cNvPr id="11" name="Shape 4">
              <a:extLst>
                <a:ext uri="{FF2B5EF4-FFF2-40B4-BE49-F238E27FC236}">
                  <a16:creationId xmlns:a16="http://schemas.microsoft.com/office/drawing/2014/main" id="{00000000-0008-0000-0500-00000B000000}"/>
                </a:ext>
              </a:extLst>
            </xdr:cNvPr>
            <xdr:cNvSpPr/>
          </xdr:nvSpPr>
          <xdr:spPr>
            <a:xfrm>
              <a:off x="6800850" y="8905875"/>
              <a:ext cx="4000500" cy="94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pic>
          <xdr:nvPicPr>
            <xdr:cNvPr id="481" name="Shape 481" descr="Flask">
              <a:extLst>
                <a:ext uri="{FF2B5EF4-FFF2-40B4-BE49-F238E27FC236}">
                  <a16:creationId xmlns:a16="http://schemas.microsoft.com/office/drawing/2014/main" id="{00000000-0008-0000-0500-0000E1010000}"/>
                </a:ext>
              </a:extLst>
            </xdr:cNvPr>
            <xdr:cNvPicPr preferRelativeResize="0"/>
          </xdr:nvPicPr>
          <xdr:blipFill rotWithShape="1">
            <a:blip xmlns:r="http://schemas.openxmlformats.org/officeDocument/2006/relationships" r:embed="rId5">
              <a:alphaModFix/>
            </a:blip>
            <a:srcRect/>
            <a:stretch/>
          </xdr:blipFill>
          <xdr:spPr>
            <a:xfrm>
              <a:off x="6800850" y="8969959"/>
              <a:ext cx="483787" cy="361950"/>
            </a:xfrm>
            <a:prstGeom prst="rect">
              <a:avLst/>
            </a:prstGeom>
            <a:noFill/>
            <a:ln>
              <a:noFill/>
            </a:ln>
          </xdr:spPr>
        </xdr:pic>
        <xdr:sp macro="" textlink="">
          <xdr:nvSpPr>
            <xdr:cNvPr id="482" name="Shape 482" descr="EXPERIMENT&#10;After putting in the calculated column, try typing over one of the cells in the column. What happens? If you see a green triangle, click it and then click the exclamation mark. You'll see that Excel's watchin' out for ya...">
              <a:extLst>
                <a:ext uri="{FF2B5EF4-FFF2-40B4-BE49-F238E27FC236}">
                  <a16:creationId xmlns:a16="http://schemas.microsoft.com/office/drawing/2014/main" id="{00000000-0008-0000-0500-0000E2010000}"/>
                </a:ext>
              </a:extLst>
            </xdr:cNvPr>
            <xdr:cNvSpPr txBox="1"/>
          </xdr:nvSpPr>
          <xdr:spPr>
            <a:xfrm>
              <a:off x="7150906" y="8905875"/>
              <a:ext cx="3650444" cy="948102"/>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200" b="1">
                  <a:solidFill>
                    <a:srgbClr val="F4B081"/>
                  </a:solidFill>
                  <a:latin typeface="Quattrocento Sans"/>
                  <a:ea typeface="Quattrocento Sans"/>
                  <a:cs typeface="Quattrocento Sans"/>
                  <a:sym typeface="Quattrocento Sans"/>
                </a:rPr>
                <a:t>EXPERIMENT</a:t>
              </a:r>
              <a:endParaRPr sz="1200" b="1">
                <a:solidFill>
                  <a:srgbClr val="F4B081"/>
                </a:solidFill>
                <a:latin typeface="Quattrocento Sans"/>
                <a:ea typeface="Quattrocento Sans"/>
                <a:cs typeface="Quattrocento Sans"/>
                <a:sym typeface="Quattrocento Sans"/>
              </a:endParaRPr>
            </a:p>
            <a:p>
              <a:pPr marL="0" lvl="0" indent="0" algn="l" rtl="0">
                <a:spcBef>
                  <a:spcPts val="0"/>
                </a:spcBef>
                <a:spcAft>
                  <a:spcPts val="0"/>
                </a:spcAft>
                <a:buNone/>
              </a:pPr>
              <a:r>
                <a:rPr lang="en-US" sz="1100">
                  <a:solidFill>
                    <a:srgbClr val="3A3838"/>
                  </a:solidFill>
                  <a:latin typeface="Calibri"/>
                  <a:ea typeface="Calibri"/>
                  <a:cs typeface="Calibri"/>
                  <a:sym typeface="Calibri"/>
                </a:rPr>
                <a:t>After putting in the calculated column, try typing over one of the cells in the column. What happens? If you see a green triangle, click it and then click the exclamation mark. You'll see that Excel's watchin' out for ya...</a:t>
              </a:r>
              <a:endParaRPr sz="1100">
                <a:solidFill>
                  <a:srgbClr val="3A3838"/>
                </a:solidFill>
              </a:endParaRPr>
            </a:p>
          </xdr:txBody>
        </xdr:sp>
      </xdr:grpSp>
    </xdr:grpSp>
    <xdr:clientData fLocksWithSheet="0"/>
  </xdr:oneCellAnchor>
  <xdr:oneCellAnchor>
    <xdr:from>
      <xdr:col>0</xdr:col>
      <xdr:colOff>390525</xdr:colOff>
      <xdr:row>45</xdr:row>
      <xdr:rowOff>161925</xdr:rowOff>
    </xdr:from>
    <xdr:ext cx="5695950" cy="4686300"/>
    <xdr:grpSp>
      <xdr:nvGrpSpPr>
        <xdr:cNvPr id="12" name="Shape 2">
          <a:extLst>
            <a:ext uri="{FF2B5EF4-FFF2-40B4-BE49-F238E27FC236}">
              <a16:creationId xmlns:a16="http://schemas.microsoft.com/office/drawing/2014/main" id="{00000000-0008-0000-0500-00000C000000}"/>
            </a:ext>
          </a:extLst>
        </xdr:cNvPr>
        <xdr:cNvGrpSpPr/>
      </xdr:nvGrpSpPr>
      <xdr:grpSpPr>
        <a:xfrm>
          <a:off x="390525" y="9324975"/>
          <a:ext cx="5695950" cy="4686300"/>
          <a:chOff x="2498025" y="1436850"/>
          <a:chExt cx="5695950" cy="4686300"/>
        </a:xfrm>
      </xdr:grpSpPr>
      <xdr:grpSp>
        <xdr:nvGrpSpPr>
          <xdr:cNvPr id="483" name="Shape 483" descr="Total rows in tables&#10;Another convenience in tables are total rows. Instead of typing a SUM formula, Excel can make that total for you with a flip of a switch. And the same goes for the AVERAGE formula, and many others. Here’s how it works:&#10;Select any cell within the table on the right.&#10;At the top of the Excel window, the Table Tools Design tab will appear. &#10;On that tab, click Total Row.&#10;The total of $24,000 is added to the bottom of the table.&#10;But what if you wanted to know the average? Click the cell with $24,000.&#10;Click the down arrow and then click Average. The average amount of $3,000 appears">
            <a:extLst>
              <a:ext uri="{FF2B5EF4-FFF2-40B4-BE49-F238E27FC236}">
                <a16:creationId xmlns:a16="http://schemas.microsoft.com/office/drawing/2014/main" id="{00000000-0008-0000-0500-0000E3010000}"/>
              </a:ext>
            </a:extLst>
          </xdr:cNvPr>
          <xdr:cNvGrpSpPr/>
        </xdr:nvGrpSpPr>
        <xdr:grpSpPr>
          <a:xfrm>
            <a:off x="2498025" y="1436850"/>
            <a:ext cx="5695950" cy="4686300"/>
            <a:chOff x="390525" y="9801226"/>
            <a:chExt cx="5695950" cy="4591050"/>
          </a:xfrm>
        </xdr:grpSpPr>
        <xdr:sp macro="" textlink="">
          <xdr:nvSpPr>
            <xdr:cNvPr id="13" name="Shape 4">
              <a:extLst>
                <a:ext uri="{FF2B5EF4-FFF2-40B4-BE49-F238E27FC236}">
                  <a16:creationId xmlns:a16="http://schemas.microsoft.com/office/drawing/2014/main" id="{00000000-0008-0000-0500-00000D000000}"/>
                </a:ext>
              </a:extLst>
            </xdr:cNvPr>
            <xdr:cNvSpPr/>
          </xdr:nvSpPr>
          <xdr:spPr>
            <a:xfrm>
              <a:off x="390525" y="9801226"/>
              <a:ext cx="5695950" cy="4591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484" name="Shape 484" descr="Background">
              <a:extLst>
                <a:ext uri="{FF2B5EF4-FFF2-40B4-BE49-F238E27FC236}">
                  <a16:creationId xmlns:a16="http://schemas.microsoft.com/office/drawing/2014/main" id="{00000000-0008-0000-0500-0000E4010000}"/>
                </a:ext>
              </a:extLst>
            </xdr:cNvPr>
            <xdr:cNvSpPr/>
          </xdr:nvSpPr>
          <xdr:spPr>
            <a:xfrm>
              <a:off x="390525" y="9801226"/>
              <a:ext cx="5695950" cy="4591050"/>
            </a:xfrm>
            <a:prstGeom prst="rect">
              <a:avLst/>
            </a:prstGeom>
            <a:solidFill>
              <a:srgbClr val="F5F5F5"/>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485" name="Shape 485" descr="Total rows in tables">
              <a:extLst>
                <a:ext uri="{FF2B5EF4-FFF2-40B4-BE49-F238E27FC236}">
                  <a16:creationId xmlns:a16="http://schemas.microsoft.com/office/drawing/2014/main" id="{00000000-0008-0000-0500-0000E5010000}"/>
                </a:ext>
              </a:extLst>
            </xdr:cNvPr>
            <xdr:cNvSpPr txBox="1"/>
          </xdr:nvSpPr>
          <xdr:spPr>
            <a:xfrm>
              <a:off x="622273" y="9929448"/>
              <a:ext cx="5216551" cy="490903"/>
            </a:xfrm>
            <a:prstGeom prst="rect">
              <a:avLst/>
            </a:prstGeom>
            <a:noFill/>
            <a:ln>
              <a:noFill/>
            </a:ln>
          </xdr:spPr>
          <xdr:txBody>
            <a:bodyPr spcFirstLastPara="1" wrap="square" lIns="0" tIns="45700" rIns="0" bIns="45700" anchor="t" anchorCtr="0">
              <a:noAutofit/>
            </a:bodyPr>
            <a:lstStyle/>
            <a:p>
              <a:pPr marL="0" marR="0" lvl="0" indent="0" algn="l" rtl="0">
                <a:lnSpc>
                  <a:spcPct val="100000"/>
                </a:lnSpc>
                <a:spcBef>
                  <a:spcPts val="0"/>
                </a:spcBef>
                <a:spcAft>
                  <a:spcPts val="0"/>
                </a:spcAft>
                <a:buClr>
                  <a:srgbClr val="3A3838"/>
                </a:buClr>
                <a:buSzPts val="2200"/>
                <a:buFont typeface="Quattrocento Sans"/>
                <a:buNone/>
              </a:pPr>
              <a:r>
                <a:rPr lang="en-US" sz="2200" b="0" i="0" u="none" strike="noStrike" cap="none">
                  <a:solidFill>
                    <a:srgbClr val="3A3838"/>
                  </a:solidFill>
                  <a:latin typeface="Quattrocento Sans"/>
                  <a:ea typeface="Quattrocento Sans"/>
                  <a:cs typeface="Quattrocento Sans"/>
                  <a:sym typeface="Quattrocento Sans"/>
                </a:rPr>
                <a:t>Total rows in tables</a:t>
              </a:r>
              <a:endParaRPr sz="2200" b="0">
                <a:solidFill>
                  <a:srgbClr val="3A3838"/>
                </a:solidFill>
                <a:latin typeface="Quattrocento Sans"/>
                <a:ea typeface="Quattrocento Sans"/>
                <a:cs typeface="Quattrocento Sans"/>
                <a:sym typeface="Quattrocento Sans"/>
              </a:endParaRPr>
            </a:p>
          </xdr:txBody>
        </xdr:sp>
        <xdr:cxnSp macro="">
          <xdr:nvCxnSpPr>
            <xdr:cNvPr id="486" name="Shape 486" descr="Decorative line">
              <a:extLst>
                <a:ext uri="{FF2B5EF4-FFF2-40B4-BE49-F238E27FC236}">
                  <a16:creationId xmlns:a16="http://schemas.microsoft.com/office/drawing/2014/main" id="{00000000-0008-0000-0500-0000E6010000}"/>
                </a:ext>
              </a:extLst>
            </xdr:cNvPr>
            <xdr:cNvCxnSpPr/>
          </xdr:nvCxnSpPr>
          <xdr:spPr>
            <a:xfrm>
              <a:off x="625449" y="10436861"/>
              <a:ext cx="5213376" cy="0"/>
            </a:xfrm>
            <a:prstGeom prst="straightConnector1">
              <a:avLst/>
            </a:prstGeom>
            <a:noFill/>
            <a:ln w="25400" cap="flat" cmpd="sng">
              <a:solidFill>
                <a:srgbClr val="217346"/>
              </a:solidFill>
              <a:prstDash val="solid"/>
              <a:round/>
              <a:headEnd type="none" w="sm" len="sm"/>
              <a:tailEnd type="none" w="sm" len="sm"/>
            </a:ln>
          </xdr:spPr>
        </xdr:cxnSp>
        <xdr:sp macro="" textlink="">
          <xdr:nvSpPr>
            <xdr:cNvPr id="487" name="Shape 487" descr="Another convenience in tables are total rows. Instead of typing a SUM formula, Excel can make that total for you with a flip of a switch. And the same goes for the AVERAGE formula, and many others. Here’s how it works:">
              <a:extLst>
                <a:ext uri="{FF2B5EF4-FFF2-40B4-BE49-F238E27FC236}">
                  <a16:creationId xmlns:a16="http://schemas.microsoft.com/office/drawing/2014/main" id="{00000000-0008-0000-0500-0000E7010000}"/>
                </a:ext>
              </a:extLst>
            </xdr:cNvPr>
            <xdr:cNvSpPr txBox="1"/>
          </xdr:nvSpPr>
          <xdr:spPr>
            <a:xfrm>
              <a:off x="619125" y="10510470"/>
              <a:ext cx="5300938" cy="653871"/>
            </a:xfrm>
            <a:prstGeom prst="rect">
              <a:avLst/>
            </a:prstGeom>
            <a:noFill/>
            <a:ln>
              <a:noFill/>
            </a:ln>
          </xdr:spPr>
          <xdr:txBody>
            <a:bodyPr spcFirstLastPara="1" wrap="square" lIns="0" tIns="45700" rIns="0" bIns="45700" anchor="t" anchorCtr="0">
              <a:noAutofit/>
            </a:bodyPr>
            <a:lstStyle/>
            <a:p>
              <a:pPr marL="0" lvl="0" indent="0" algn="l" rtl="0">
                <a:spcBef>
                  <a:spcPts val="0"/>
                </a:spcBef>
                <a:spcAft>
                  <a:spcPts val="0"/>
                </a:spcAft>
                <a:buNone/>
              </a:pPr>
              <a:r>
                <a:rPr lang="en-US" sz="1050">
                  <a:solidFill>
                    <a:srgbClr val="3F3F3F"/>
                  </a:solidFill>
                  <a:latin typeface="Quattrocento Sans"/>
                  <a:ea typeface="Quattrocento Sans"/>
                  <a:cs typeface="Quattrocento Sans"/>
                  <a:sym typeface="Quattrocento Sans"/>
                </a:rPr>
                <a:t>Another convenience in tables are </a:t>
              </a:r>
              <a:r>
                <a:rPr lang="en-US" sz="1050" b="1">
                  <a:solidFill>
                    <a:srgbClr val="3F3F3F"/>
                  </a:solidFill>
                  <a:latin typeface="Quattrocento Sans"/>
                  <a:ea typeface="Quattrocento Sans"/>
                  <a:cs typeface="Quattrocento Sans"/>
                  <a:sym typeface="Quattrocento Sans"/>
                </a:rPr>
                <a:t>total rows</a:t>
              </a:r>
              <a:r>
                <a:rPr lang="en-US" sz="1050">
                  <a:solidFill>
                    <a:srgbClr val="3F3F3F"/>
                  </a:solidFill>
                  <a:latin typeface="Quattrocento Sans"/>
                  <a:ea typeface="Quattrocento Sans"/>
                  <a:cs typeface="Quattrocento Sans"/>
                  <a:sym typeface="Quattrocento Sans"/>
                </a:rPr>
                <a:t>. Instead of typing a SUM formula, Excel can make that total for you with a flip of a switch. And the same goes for the AVERAGE formula, and many others. Here’s how it works:</a:t>
              </a:r>
              <a:endParaRPr sz="1400"/>
            </a:p>
          </xdr:txBody>
        </xdr:sp>
        <xdr:sp macro="" textlink="">
          <xdr:nvSpPr>
            <xdr:cNvPr id="488" name="Shape 488" descr="Select any cell within the table on the right">
              <a:extLst>
                <a:ext uri="{FF2B5EF4-FFF2-40B4-BE49-F238E27FC236}">
                  <a16:creationId xmlns:a16="http://schemas.microsoft.com/office/drawing/2014/main" id="{00000000-0008-0000-0500-0000E8010000}"/>
                </a:ext>
              </a:extLst>
            </xdr:cNvPr>
            <xdr:cNvSpPr txBox="1"/>
          </xdr:nvSpPr>
          <xdr:spPr>
            <a:xfrm>
              <a:off x="1029308" y="11165348"/>
              <a:ext cx="4809516" cy="406037"/>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050">
                  <a:solidFill>
                    <a:schemeClr val="dk1"/>
                  </a:solidFill>
                  <a:latin typeface="Quattrocento Sans"/>
                  <a:ea typeface="Quattrocento Sans"/>
                  <a:cs typeface="Quattrocento Sans"/>
                  <a:sym typeface="Quattrocento Sans"/>
                </a:rPr>
                <a:t>Select any cell within the table on the right.</a:t>
              </a:r>
              <a:endParaRPr sz="1400"/>
            </a:p>
          </xdr:txBody>
        </xdr:sp>
        <xdr:sp macro="" textlink="">
          <xdr:nvSpPr>
            <xdr:cNvPr id="489" name="Shape 489" descr="1">
              <a:extLst>
                <a:ext uri="{FF2B5EF4-FFF2-40B4-BE49-F238E27FC236}">
                  <a16:creationId xmlns:a16="http://schemas.microsoft.com/office/drawing/2014/main" id="{00000000-0008-0000-0500-0000E9010000}"/>
                </a:ext>
              </a:extLst>
            </xdr:cNvPr>
            <xdr:cNvSpPr/>
          </xdr:nvSpPr>
          <xdr:spPr>
            <a:xfrm>
              <a:off x="622274" y="11122849"/>
              <a:ext cx="371587"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1</a:t>
              </a:r>
              <a:endParaRPr sz="1400"/>
            </a:p>
          </xdr:txBody>
        </xdr:sp>
        <xdr:sp macro="" textlink="">
          <xdr:nvSpPr>
            <xdr:cNvPr id="490" name="Shape 490" descr="On that tab, click Total Row">
              <a:extLst>
                <a:ext uri="{FF2B5EF4-FFF2-40B4-BE49-F238E27FC236}">
                  <a16:creationId xmlns:a16="http://schemas.microsoft.com/office/drawing/2014/main" id="{00000000-0008-0000-0500-0000EA010000}"/>
                </a:ext>
              </a:extLst>
            </xdr:cNvPr>
            <xdr:cNvSpPr txBox="1"/>
          </xdr:nvSpPr>
          <xdr:spPr>
            <a:xfrm>
              <a:off x="1029307" y="12134183"/>
              <a:ext cx="4809517" cy="310139"/>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Quattrocento Sans"/>
                  <a:ea typeface="Quattrocento Sans"/>
                  <a:cs typeface="Quattrocento Sans"/>
                  <a:sym typeface="Quattrocento Sans"/>
                </a:rPr>
                <a:t>On that tab, click </a:t>
              </a:r>
              <a:r>
                <a:rPr lang="en-US" sz="1100" b="1">
                  <a:solidFill>
                    <a:schemeClr val="dk1"/>
                  </a:solidFill>
                  <a:latin typeface="Quattrocento Sans"/>
                  <a:ea typeface="Quattrocento Sans"/>
                  <a:cs typeface="Quattrocento Sans"/>
                  <a:sym typeface="Quattrocento Sans"/>
                </a:rPr>
                <a:t>Total Row</a:t>
              </a:r>
              <a:r>
                <a:rPr lang="en-US" sz="1100">
                  <a:solidFill>
                    <a:schemeClr val="dk1"/>
                  </a:solidFill>
                  <a:latin typeface="Quattrocento Sans"/>
                  <a:ea typeface="Quattrocento Sans"/>
                  <a:cs typeface="Quattrocento Sans"/>
                  <a:sym typeface="Quattrocento Sans"/>
                </a:rPr>
                <a:t>.</a:t>
              </a:r>
              <a:endParaRPr sz="1400"/>
            </a:p>
            <a:p>
              <a:pPr marL="0" lvl="0" indent="0" algn="l" rtl="0">
                <a:spcBef>
                  <a:spcPts val="0"/>
                </a:spcBef>
                <a:spcAft>
                  <a:spcPts val="0"/>
                </a:spcAft>
                <a:buNone/>
              </a:pPr>
              <a:endParaRPr sz="1100">
                <a:latin typeface="Quattrocento Sans"/>
                <a:ea typeface="Quattrocento Sans"/>
                <a:cs typeface="Quattrocento Sans"/>
                <a:sym typeface="Quattrocento Sans"/>
              </a:endParaRPr>
            </a:p>
          </xdr:txBody>
        </xdr:sp>
        <xdr:sp macro="" textlink="">
          <xdr:nvSpPr>
            <xdr:cNvPr id="491" name="Shape 491" descr="3">
              <a:extLst>
                <a:ext uri="{FF2B5EF4-FFF2-40B4-BE49-F238E27FC236}">
                  <a16:creationId xmlns:a16="http://schemas.microsoft.com/office/drawing/2014/main" id="{00000000-0008-0000-0500-0000EB010000}"/>
                </a:ext>
              </a:extLst>
            </xdr:cNvPr>
            <xdr:cNvSpPr/>
          </xdr:nvSpPr>
          <xdr:spPr>
            <a:xfrm>
              <a:off x="622274" y="12091685"/>
              <a:ext cx="371587"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3</a:t>
              </a:r>
              <a:endParaRPr sz="1400"/>
            </a:p>
          </xdr:txBody>
        </xdr:sp>
        <xdr:sp macro="" textlink="">
          <xdr:nvSpPr>
            <xdr:cNvPr id="492" name="Shape 492" descr="The total of $24,000 is added to the bottom of the table">
              <a:extLst>
                <a:ext uri="{FF2B5EF4-FFF2-40B4-BE49-F238E27FC236}">
                  <a16:creationId xmlns:a16="http://schemas.microsoft.com/office/drawing/2014/main" id="{00000000-0008-0000-0500-0000EC010000}"/>
                </a:ext>
              </a:extLst>
            </xdr:cNvPr>
            <xdr:cNvSpPr txBox="1"/>
          </xdr:nvSpPr>
          <xdr:spPr>
            <a:xfrm>
              <a:off x="1029307" y="12616948"/>
              <a:ext cx="4809517" cy="459162"/>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050">
                  <a:solidFill>
                    <a:schemeClr val="dk1"/>
                  </a:solidFill>
                  <a:latin typeface="Quattrocento Sans"/>
                  <a:ea typeface="Quattrocento Sans"/>
                  <a:cs typeface="Quattrocento Sans"/>
                  <a:sym typeface="Quattrocento Sans"/>
                </a:rPr>
                <a:t>The total of </a:t>
              </a:r>
              <a:r>
                <a:rPr lang="en-US" sz="1050" b="1">
                  <a:solidFill>
                    <a:schemeClr val="dk1"/>
                  </a:solidFill>
                  <a:latin typeface="Quattrocento Sans"/>
                  <a:ea typeface="Quattrocento Sans"/>
                  <a:cs typeface="Quattrocento Sans"/>
                  <a:sym typeface="Quattrocento Sans"/>
                </a:rPr>
                <a:t>$24,000 </a:t>
              </a:r>
              <a:r>
                <a:rPr lang="en-US" sz="1050">
                  <a:solidFill>
                    <a:schemeClr val="dk1"/>
                  </a:solidFill>
                  <a:latin typeface="Quattrocento Sans"/>
                  <a:ea typeface="Quattrocento Sans"/>
                  <a:cs typeface="Quattrocento Sans"/>
                  <a:sym typeface="Quattrocento Sans"/>
                </a:rPr>
                <a:t>is added to the bottom of the table. </a:t>
              </a:r>
              <a:endParaRPr sz="1400"/>
            </a:p>
          </xdr:txBody>
        </xdr:sp>
        <xdr:sp macro="" textlink="">
          <xdr:nvSpPr>
            <xdr:cNvPr id="493" name="Shape 493" descr="4">
              <a:extLst>
                <a:ext uri="{FF2B5EF4-FFF2-40B4-BE49-F238E27FC236}">
                  <a16:creationId xmlns:a16="http://schemas.microsoft.com/office/drawing/2014/main" id="{00000000-0008-0000-0500-0000ED010000}"/>
                </a:ext>
              </a:extLst>
            </xdr:cNvPr>
            <xdr:cNvSpPr/>
          </xdr:nvSpPr>
          <xdr:spPr>
            <a:xfrm>
              <a:off x="622274" y="12574449"/>
              <a:ext cx="371587"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4</a:t>
              </a:r>
              <a:endParaRPr sz="1400"/>
            </a:p>
          </xdr:txBody>
        </xdr:sp>
        <xdr:sp macro="" textlink="">
          <xdr:nvSpPr>
            <xdr:cNvPr id="494" name="Shape 494" descr="At the top of the Excel window, the Table Tools Design tab will appear">
              <a:extLst>
                <a:ext uri="{FF2B5EF4-FFF2-40B4-BE49-F238E27FC236}">
                  <a16:creationId xmlns:a16="http://schemas.microsoft.com/office/drawing/2014/main" id="{00000000-0008-0000-0500-0000EE010000}"/>
                </a:ext>
              </a:extLst>
            </xdr:cNvPr>
            <xdr:cNvSpPr txBox="1"/>
          </xdr:nvSpPr>
          <xdr:spPr>
            <a:xfrm>
              <a:off x="1029307" y="11646978"/>
              <a:ext cx="4809517" cy="323641"/>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050">
                  <a:solidFill>
                    <a:schemeClr val="dk1"/>
                  </a:solidFill>
                  <a:latin typeface="Quattrocento Sans"/>
                  <a:ea typeface="Quattrocento Sans"/>
                  <a:cs typeface="Quattrocento Sans"/>
                  <a:sym typeface="Quattrocento Sans"/>
                </a:rPr>
                <a:t>At the top of the Excel window, the </a:t>
              </a:r>
              <a:r>
                <a:rPr lang="en-US" sz="1050" b="1">
                  <a:solidFill>
                    <a:schemeClr val="dk1"/>
                  </a:solidFill>
                  <a:latin typeface="Quattrocento Sans"/>
                  <a:ea typeface="Quattrocento Sans"/>
                  <a:cs typeface="Quattrocento Sans"/>
                  <a:sym typeface="Quattrocento Sans"/>
                </a:rPr>
                <a:t>Table Tools Design </a:t>
              </a:r>
              <a:r>
                <a:rPr lang="en-US" sz="1050">
                  <a:solidFill>
                    <a:schemeClr val="dk1"/>
                  </a:solidFill>
                  <a:latin typeface="Quattrocento Sans"/>
                  <a:ea typeface="Quattrocento Sans"/>
                  <a:cs typeface="Quattrocento Sans"/>
                  <a:sym typeface="Quattrocento Sans"/>
                </a:rPr>
                <a:t>tab will appear. </a:t>
              </a:r>
              <a:endParaRPr sz="1400"/>
            </a:p>
            <a:p>
              <a:pPr marL="0" lvl="0" indent="0" algn="l" rtl="0">
                <a:spcBef>
                  <a:spcPts val="0"/>
                </a:spcBef>
                <a:spcAft>
                  <a:spcPts val="0"/>
                </a:spcAft>
                <a:buNone/>
              </a:pPr>
              <a:endParaRPr sz="1050">
                <a:latin typeface="Quattrocento Sans"/>
                <a:ea typeface="Quattrocento Sans"/>
                <a:cs typeface="Quattrocento Sans"/>
                <a:sym typeface="Quattrocento Sans"/>
              </a:endParaRPr>
            </a:p>
          </xdr:txBody>
        </xdr:sp>
        <xdr:sp macro="" textlink="">
          <xdr:nvSpPr>
            <xdr:cNvPr id="495" name="Shape 495" descr="2">
              <a:extLst>
                <a:ext uri="{FF2B5EF4-FFF2-40B4-BE49-F238E27FC236}">
                  <a16:creationId xmlns:a16="http://schemas.microsoft.com/office/drawing/2014/main" id="{00000000-0008-0000-0500-0000EF010000}"/>
                </a:ext>
              </a:extLst>
            </xdr:cNvPr>
            <xdr:cNvSpPr/>
          </xdr:nvSpPr>
          <xdr:spPr>
            <a:xfrm>
              <a:off x="622274" y="11604480"/>
              <a:ext cx="371587"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2</a:t>
              </a:r>
              <a:endParaRPr sz="1400"/>
            </a:p>
          </xdr:txBody>
        </xdr:sp>
        <xdr:sp macro="" textlink="">
          <xdr:nvSpPr>
            <xdr:cNvPr id="496" name="Shape 496" descr="But what if you wanted to know the average? Click the cell with $24,000">
              <a:extLst>
                <a:ext uri="{FF2B5EF4-FFF2-40B4-BE49-F238E27FC236}">
                  <a16:creationId xmlns:a16="http://schemas.microsoft.com/office/drawing/2014/main" id="{00000000-0008-0000-0500-0000F0010000}"/>
                </a:ext>
              </a:extLst>
            </xdr:cNvPr>
            <xdr:cNvSpPr txBox="1"/>
          </xdr:nvSpPr>
          <xdr:spPr>
            <a:xfrm>
              <a:off x="1029307" y="13105179"/>
              <a:ext cx="4809517" cy="3557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050">
                  <a:solidFill>
                    <a:schemeClr val="dk1"/>
                  </a:solidFill>
                  <a:latin typeface="Quattrocento Sans"/>
                  <a:ea typeface="Quattrocento Sans"/>
                  <a:cs typeface="Quattrocento Sans"/>
                  <a:sym typeface="Quattrocento Sans"/>
                </a:rPr>
                <a:t>But what if you wanted to know the average? Click the cell with </a:t>
              </a:r>
              <a:r>
                <a:rPr lang="en-US" sz="1050" b="1">
                  <a:solidFill>
                    <a:schemeClr val="dk1"/>
                  </a:solidFill>
                  <a:latin typeface="Quattrocento Sans"/>
                  <a:ea typeface="Quattrocento Sans"/>
                  <a:cs typeface="Quattrocento Sans"/>
                  <a:sym typeface="Quattrocento Sans"/>
                </a:rPr>
                <a:t>$24,000</a:t>
              </a:r>
              <a:r>
                <a:rPr lang="en-US" sz="1050">
                  <a:solidFill>
                    <a:schemeClr val="dk1"/>
                  </a:solidFill>
                  <a:latin typeface="Quattrocento Sans"/>
                  <a:ea typeface="Quattrocento Sans"/>
                  <a:cs typeface="Quattrocento Sans"/>
                  <a:sym typeface="Quattrocento Sans"/>
                </a:rPr>
                <a:t>.</a:t>
              </a:r>
              <a:endParaRPr sz="1400"/>
            </a:p>
          </xdr:txBody>
        </xdr:sp>
        <xdr:sp macro="" textlink="">
          <xdr:nvSpPr>
            <xdr:cNvPr id="497" name="Shape 497" descr="5">
              <a:extLst>
                <a:ext uri="{FF2B5EF4-FFF2-40B4-BE49-F238E27FC236}">
                  <a16:creationId xmlns:a16="http://schemas.microsoft.com/office/drawing/2014/main" id="{00000000-0008-0000-0500-0000F1010000}"/>
                </a:ext>
              </a:extLst>
            </xdr:cNvPr>
            <xdr:cNvSpPr/>
          </xdr:nvSpPr>
          <xdr:spPr>
            <a:xfrm>
              <a:off x="622274" y="13062680"/>
              <a:ext cx="371587"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5</a:t>
              </a:r>
              <a:endParaRPr sz="1400"/>
            </a:p>
          </xdr:txBody>
        </xdr:sp>
        <xdr:sp macro="" textlink="">
          <xdr:nvSpPr>
            <xdr:cNvPr id="498" name="Shape 498" descr="Click the down arrow and then click Average. The average amount of $3,000 appears">
              <a:extLst>
                <a:ext uri="{FF2B5EF4-FFF2-40B4-BE49-F238E27FC236}">
                  <a16:creationId xmlns:a16="http://schemas.microsoft.com/office/drawing/2014/main" id="{00000000-0008-0000-0500-0000F2010000}"/>
                </a:ext>
              </a:extLst>
            </xdr:cNvPr>
            <xdr:cNvSpPr txBox="1"/>
          </xdr:nvSpPr>
          <xdr:spPr>
            <a:xfrm>
              <a:off x="1029307" y="13587048"/>
              <a:ext cx="4809517" cy="459162"/>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050">
                  <a:solidFill>
                    <a:schemeClr val="dk1"/>
                  </a:solidFill>
                  <a:latin typeface="Quattrocento Sans"/>
                  <a:ea typeface="Quattrocento Sans"/>
                  <a:cs typeface="Quattrocento Sans"/>
                  <a:sym typeface="Quattrocento Sans"/>
                </a:rPr>
                <a:t>Click the down arrow       and then click </a:t>
              </a:r>
              <a:r>
                <a:rPr lang="en-US" sz="1050" b="1">
                  <a:solidFill>
                    <a:schemeClr val="dk1"/>
                  </a:solidFill>
                  <a:latin typeface="Quattrocento Sans"/>
                  <a:ea typeface="Quattrocento Sans"/>
                  <a:cs typeface="Quattrocento Sans"/>
                  <a:sym typeface="Quattrocento Sans"/>
                </a:rPr>
                <a:t>Average</a:t>
              </a:r>
              <a:r>
                <a:rPr lang="en-US" sz="1050">
                  <a:solidFill>
                    <a:schemeClr val="dk1"/>
                  </a:solidFill>
                  <a:latin typeface="Quattrocento Sans"/>
                  <a:ea typeface="Quattrocento Sans"/>
                  <a:cs typeface="Quattrocento Sans"/>
                  <a:sym typeface="Quattrocento Sans"/>
                </a:rPr>
                <a:t>. The average amount of </a:t>
              </a:r>
              <a:r>
                <a:rPr lang="en-US" sz="1050" b="1">
                  <a:solidFill>
                    <a:schemeClr val="dk1"/>
                  </a:solidFill>
                  <a:latin typeface="Quattrocento Sans"/>
                  <a:ea typeface="Quattrocento Sans"/>
                  <a:cs typeface="Quattrocento Sans"/>
                  <a:sym typeface="Quattrocento Sans"/>
                </a:rPr>
                <a:t>$3,000 </a:t>
              </a:r>
              <a:r>
                <a:rPr lang="en-US" sz="1050">
                  <a:solidFill>
                    <a:schemeClr val="dk1"/>
                  </a:solidFill>
                  <a:latin typeface="Quattrocento Sans"/>
                  <a:ea typeface="Quattrocento Sans"/>
                  <a:cs typeface="Quattrocento Sans"/>
                  <a:sym typeface="Quattrocento Sans"/>
                </a:rPr>
                <a:t>appears.</a:t>
              </a:r>
              <a:endParaRPr sz="1400"/>
            </a:p>
          </xdr:txBody>
        </xdr:sp>
        <xdr:sp macro="" textlink="">
          <xdr:nvSpPr>
            <xdr:cNvPr id="499" name="Shape 499" descr="6">
              <a:extLst>
                <a:ext uri="{FF2B5EF4-FFF2-40B4-BE49-F238E27FC236}">
                  <a16:creationId xmlns:a16="http://schemas.microsoft.com/office/drawing/2014/main" id="{00000000-0008-0000-0500-0000F3010000}"/>
                </a:ext>
              </a:extLst>
            </xdr:cNvPr>
            <xdr:cNvSpPr/>
          </xdr:nvSpPr>
          <xdr:spPr>
            <a:xfrm>
              <a:off x="622274" y="13544550"/>
              <a:ext cx="371587"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6</a:t>
              </a:r>
              <a:endParaRPr sz="1400"/>
            </a:p>
          </xdr:txBody>
        </xdr:sp>
        <xdr:cxnSp macro="">
          <xdr:nvCxnSpPr>
            <xdr:cNvPr id="500" name="Shape 500" descr="Decorative line">
              <a:extLst>
                <a:ext uri="{FF2B5EF4-FFF2-40B4-BE49-F238E27FC236}">
                  <a16:creationId xmlns:a16="http://schemas.microsoft.com/office/drawing/2014/main" id="{00000000-0008-0000-0500-0000F4010000}"/>
                </a:ext>
              </a:extLst>
            </xdr:cNvPr>
            <xdr:cNvCxnSpPr/>
          </xdr:nvCxnSpPr>
          <xdr:spPr>
            <a:xfrm>
              <a:off x="625449" y="14161136"/>
              <a:ext cx="5213376" cy="0"/>
            </a:xfrm>
            <a:prstGeom prst="straightConnector1">
              <a:avLst/>
            </a:prstGeom>
            <a:noFill/>
            <a:ln w="25400" cap="flat" cmpd="sng">
              <a:solidFill>
                <a:srgbClr val="217346"/>
              </a:solidFill>
              <a:prstDash val="solid"/>
              <a:round/>
              <a:headEnd type="none" w="sm" len="sm"/>
              <a:tailEnd type="none" w="sm" len="sm"/>
            </a:ln>
          </xdr:spPr>
        </xdr:cxnSp>
        <xdr:pic>
          <xdr:nvPicPr>
            <xdr:cNvPr id="501" name="Shape 501" descr="Down arrow">
              <a:extLst>
                <a:ext uri="{FF2B5EF4-FFF2-40B4-BE49-F238E27FC236}">
                  <a16:creationId xmlns:a16="http://schemas.microsoft.com/office/drawing/2014/main" id="{00000000-0008-0000-0500-0000F5010000}"/>
                </a:ext>
              </a:extLst>
            </xdr:cNvPr>
            <xdr:cNvPicPr preferRelativeResize="0"/>
          </xdr:nvPicPr>
          <xdr:blipFill rotWithShape="1">
            <a:blip xmlns:r="http://schemas.openxmlformats.org/officeDocument/2006/relationships" r:embed="rId6">
              <a:alphaModFix/>
            </a:blip>
            <a:srcRect l="50576" t="24115" r="25368" b="21976"/>
            <a:stretch/>
          </xdr:blipFill>
          <xdr:spPr>
            <a:xfrm>
              <a:off x="2399286" y="13632505"/>
              <a:ext cx="158075" cy="154021"/>
            </a:xfrm>
            <a:prstGeom prst="rect">
              <a:avLst/>
            </a:prstGeom>
            <a:noFill/>
            <a:ln>
              <a:noFill/>
            </a:ln>
          </xdr:spPr>
        </xdr:pic>
      </xdr:grpSp>
    </xdr:grpSp>
    <xdr:clientData fLocksWithSheet="0"/>
  </xdr:oneCellAnchor>
  <xdr:oneCellAnchor>
    <xdr:from>
      <xdr:col>0</xdr:col>
      <xdr:colOff>381000</xdr:colOff>
      <xdr:row>70</xdr:row>
      <xdr:rowOff>180975</xdr:rowOff>
    </xdr:from>
    <xdr:ext cx="5695950" cy="3467100"/>
    <xdr:grpSp>
      <xdr:nvGrpSpPr>
        <xdr:cNvPr id="14" name="Shape 2">
          <a:extLst>
            <a:ext uri="{FF2B5EF4-FFF2-40B4-BE49-F238E27FC236}">
              <a16:creationId xmlns:a16="http://schemas.microsoft.com/office/drawing/2014/main" id="{00000000-0008-0000-0500-00000E000000}"/>
            </a:ext>
          </a:extLst>
        </xdr:cNvPr>
        <xdr:cNvGrpSpPr/>
      </xdr:nvGrpSpPr>
      <xdr:grpSpPr>
        <a:xfrm>
          <a:off x="381000" y="14173200"/>
          <a:ext cx="5695950" cy="3467100"/>
          <a:chOff x="2498025" y="2046449"/>
          <a:chExt cx="5695950" cy="3467100"/>
        </a:xfrm>
      </xdr:grpSpPr>
      <xdr:grpSp>
        <xdr:nvGrpSpPr>
          <xdr:cNvPr id="502" name="Shape 502" descr="More information on the web, contains links to the web&#10;Back to top&#10;Next step">
            <a:extLst>
              <a:ext uri="{FF2B5EF4-FFF2-40B4-BE49-F238E27FC236}">
                <a16:creationId xmlns:a16="http://schemas.microsoft.com/office/drawing/2014/main" id="{00000000-0008-0000-0500-0000F6010000}"/>
              </a:ext>
            </a:extLst>
          </xdr:cNvPr>
          <xdr:cNvGrpSpPr/>
        </xdr:nvGrpSpPr>
        <xdr:grpSpPr>
          <a:xfrm>
            <a:off x="2498025" y="2046449"/>
            <a:ext cx="5695950" cy="3467100"/>
            <a:chOff x="385765" y="14586347"/>
            <a:chExt cx="5695950" cy="3267075"/>
          </a:xfrm>
        </xdr:grpSpPr>
        <xdr:sp macro="" textlink="">
          <xdr:nvSpPr>
            <xdr:cNvPr id="15" name="Shape 4">
              <a:extLst>
                <a:ext uri="{FF2B5EF4-FFF2-40B4-BE49-F238E27FC236}">
                  <a16:creationId xmlns:a16="http://schemas.microsoft.com/office/drawing/2014/main" id="{00000000-0008-0000-0500-00000F000000}"/>
                </a:ext>
              </a:extLst>
            </xdr:cNvPr>
            <xdr:cNvSpPr/>
          </xdr:nvSpPr>
          <xdr:spPr>
            <a:xfrm>
              <a:off x="385765" y="14586347"/>
              <a:ext cx="5695950" cy="32670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03" name="Shape 503" descr="Background">
              <a:extLst>
                <a:ext uri="{FF2B5EF4-FFF2-40B4-BE49-F238E27FC236}">
                  <a16:creationId xmlns:a16="http://schemas.microsoft.com/office/drawing/2014/main" id="{00000000-0008-0000-0500-0000F7010000}"/>
                </a:ext>
              </a:extLst>
            </xdr:cNvPr>
            <xdr:cNvSpPr/>
          </xdr:nvSpPr>
          <xdr:spPr>
            <a:xfrm>
              <a:off x="385765" y="14586347"/>
              <a:ext cx="5695950" cy="3267075"/>
            </a:xfrm>
            <a:prstGeom prst="rect">
              <a:avLst/>
            </a:prstGeom>
            <a:solidFill>
              <a:srgbClr val="F5F5F5"/>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504" name="Shape 504" descr="More information on the web">
              <a:extLst>
                <a:ext uri="{FF2B5EF4-FFF2-40B4-BE49-F238E27FC236}">
                  <a16:creationId xmlns:a16="http://schemas.microsoft.com/office/drawing/2014/main" id="{00000000-0008-0000-0500-0000F8010000}"/>
                </a:ext>
              </a:extLst>
            </xdr:cNvPr>
            <xdr:cNvSpPr txBox="1"/>
          </xdr:nvSpPr>
          <xdr:spPr>
            <a:xfrm>
              <a:off x="617513" y="14705045"/>
              <a:ext cx="5216551" cy="490903"/>
            </a:xfrm>
            <a:prstGeom prst="rect">
              <a:avLst/>
            </a:prstGeom>
            <a:noFill/>
            <a:ln>
              <a:noFill/>
            </a:ln>
          </xdr:spPr>
          <xdr:txBody>
            <a:bodyPr spcFirstLastPara="1" wrap="square" lIns="0" tIns="45700" rIns="0" bIns="45700" anchor="t" anchorCtr="0">
              <a:noAutofit/>
            </a:bodyPr>
            <a:lstStyle/>
            <a:p>
              <a:pPr marL="0" marR="0" lvl="0" indent="0" algn="l" rtl="0">
                <a:lnSpc>
                  <a:spcPct val="100000"/>
                </a:lnSpc>
                <a:spcBef>
                  <a:spcPts val="0"/>
                </a:spcBef>
                <a:spcAft>
                  <a:spcPts val="0"/>
                </a:spcAft>
                <a:buClr>
                  <a:srgbClr val="3A3838"/>
                </a:buClr>
                <a:buSzPts val="2200"/>
                <a:buFont typeface="Quattrocento Sans"/>
                <a:buNone/>
              </a:pPr>
              <a:r>
                <a:rPr lang="en-US" sz="2200" b="0" i="0" u="none" strike="noStrike" cap="none">
                  <a:solidFill>
                    <a:srgbClr val="3A3838"/>
                  </a:solidFill>
                  <a:latin typeface="Quattrocento Sans"/>
                  <a:ea typeface="Quattrocento Sans"/>
                  <a:cs typeface="Quattrocento Sans"/>
                  <a:sym typeface="Quattrocento Sans"/>
                </a:rPr>
                <a:t>More information on the web</a:t>
              </a:r>
              <a:endParaRPr sz="2200" b="0">
                <a:solidFill>
                  <a:srgbClr val="3A3838"/>
                </a:solidFill>
                <a:latin typeface="Quattrocento Sans"/>
                <a:ea typeface="Quattrocento Sans"/>
                <a:cs typeface="Quattrocento Sans"/>
                <a:sym typeface="Quattrocento Sans"/>
              </a:endParaRPr>
            </a:p>
          </xdr:txBody>
        </xdr:sp>
        <xdr:cxnSp macro="">
          <xdr:nvCxnSpPr>
            <xdr:cNvPr id="505" name="Shape 505" descr="Decorative line">
              <a:extLst>
                <a:ext uri="{FF2B5EF4-FFF2-40B4-BE49-F238E27FC236}">
                  <a16:creationId xmlns:a16="http://schemas.microsoft.com/office/drawing/2014/main" id="{00000000-0008-0000-0500-0000F9010000}"/>
                </a:ext>
              </a:extLst>
            </xdr:cNvPr>
            <xdr:cNvCxnSpPr/>
          </xdr:nvCxnSpPr>
          <xdr:spPr>
            <a:xfrm>
              <a:off x="620689" y="15212458"/>
              <a:ext cx="5213376" cy="0"/>
            </a:xfrm>
            <a:prstGeom prst="straightConnector1">
              <a:avLst/>
            </a:prstGeom>
            <a:noFill/>
            <a:ln w="25400" cap="flat" cmpd="sng">
              <a:solidFill>
                <a:srgbClr val="217346"/>
              </a:solidFill>
              <a:prstDash val="solid"/>
              <a:round/>
              <a:headEnd type="none" w="sm" len="sm"/>
              <a:tailEnd type="none" w="sm" len="sm"/>
            </a:ln>
          </xdr:spPr>
        </xdr:cxnSp>
        <xdr:sp macro="" textlink="">
          <xdr:nvSpPr>
            <xdr:cNvPr id="506" name="Shape 506" descr="Back to top, hyperlinked to cell A1">
              <a:hlinkClick xmlns:r="http://schemas.openxmlformats.org/officeDocument/2006/relationships" r:id="rId7"/>
              <a:extLst>
                <a:ext uri="{FF2B5EF4-FFF2-40B4-BE49-F238E27FC236}">
                  <a16:creationId xmlns:a16="http://schemas.microsoft.com/office/drawing/2014/main" id="{00000000-0008-0000-0500-0000FA010000}"/>
                </a:ext>
              </a:extLst>
            </xdr:cNvPr>
            <xdr:cNvSpPr/>
          </xdr:nvSpPr>
          <xdr:spPr>
            <a:xfrm>
              <a:off x="620689" y="17089123"/>
              <a:ext cx="2723067" cy="536454"/>
            </a:xfrm>
            <a:prstGeom prst="upArrowCallout">
              <a:avLst>
                <a:gd name="adj1" fmla="val 25000"/>
                <a:gd name="adj2" fmla="val 25000"/>
                <a:gd name="adj3" fmla="val 25000"/>
                <a:gd name="adj4" fmla="val 64977"/>
              </a:avLst>
            </a:prstGeom>
            <a:solidFill>
              <a:srgbClr val="D8D8D8"/>
            </a:solidFill>
            <a:ln w="12700" cap="flat" cmpd="sng">
              <a:solidFill>
                <a:srgbClr val="0B744D">
                  <a:alpha val="49803"/>
                </a:srgb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a:solidFill>
                    <a:srgbClr val="0B744D"/>
                  </a:solidFill>
                  <a:latin typeface="Quattrocento Sans"/>
                  <a:ea typeface="Quattrocento Sans"/>
                  <a:cs typeface="Quattrocento Sans"/>
                  <a:sym typeface="Quattrocento Sans"/>
                </a:rPr>
                <a:t>Back to top</a:t>
              </a:r>
              <a:endParaRPr sz="1400"/>
            </a:p>
          </xdr:txBody>
        </xdr:sp>
        <xdr:cxnSp macro="">
          <xdr:nvCxnSpPr>
            <xdr:cNvPr id="507" name="Shape 507" descr="Decorative line">
              <a:extLst>
                <a:ext uri="{FF2B5EF4-FFF2-40B4-BE49-F238E27FC236}">
                  <a16:creationId xmlns:a16="http://schemas.microsoft.com/office/drawing/2014/main" id="{00000000-0008-0000-0500-0000FB010000}"/>
                </a:ext>
              </a:extLst>
            </xdr:cNvPr>
            <xdr:cNvCxnSpPr/>
          </xdr:nvCxnSpPr>
          <xdr:spPr>
            <a:xfrm>
              <a:off x="620689" y="16843772"/>
              <a:ext cx="5213376" cy="0"/>
            </a:xfrm>
            <a:prstGeom prst="straightConnector1">
              <a:avLst/>
            </a:prstGeom>
            <a:noFill/>
            <a:ln w="25400" cap="flat" cmpd="sng">
              <a:solidFill>
                <a:srgbClr val="217346"/>
              </a:solidFill>
              <a:prstDash val="solid"/>
              <a:round/>
              <a:headEnd type="none" w="sm" len="sm"/>
              <a:tailEnd type="none" w="sm" len="sm"/>
            </a:ln>
          </xdr:spPr>
        </xdr:cxnSp>
        <xdr:sp macro="" textlink="">
          <xdr:nvSpPr>
            <xdr:cNvPr id="508" name="Shape 508" descr="Next step button, hyperlinked to next sheet">
              <a:hlinkClick xmlns:r="http://schemas.openxmlformats.org/officeDocument/2006/relationships" r:id="rId1"/>
              <a:extLst>
                <a:ext uri="{FF2B5EF4-FFF2-40B4-BE49-F238E27FC236}">
                  <a16:creationId xmlns:a16="http://schemas.microsoft.com/office/drawing/2014/main" id="{00000000-0008-0000-0500-0000FC010000}"/>
                </a:ext>
              </a:extLst>
            </xdr:cNvPr>
            <xdr:cNvSpPr/>
          </xdr:nvSpPr>
          <xdr:spPr>
            <a:xfrm>
              <a:off x="4679635" y="17279623"/>
              <a:ext cx="1154430" cy="348492"/>
            </a:xfrm>
            <a:prstGeom prst="rightArrowCallout">
              <a:avLst>
                <a:gd name="adj1" fmla="val 32829"/>
                <a:gd name="adj2" fmla="val 31524"/>
                <a:gd name="adj3" fmla="val 25000"/>
                <a:gd name="adj4" fmla="val 86357"/>
              </a:avLst>
            </a:prstGeom>
            <a:solidFill>
              <a:schemeClr val="lt1"/>
            </a:solidFill>
            <a:ln w="12700" cap="flat" cmpd="sng">
              <a:solidFill>
                <a:srgbClr val="0B744D"/>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a:solidFill>
                    <a:srgbClr val="0B744D"/>
                  </a:solidFill>
                  <a:latin typeface="Quattrocento Sans"/>
                  <a:ea typeface="Quattrocento Sans"/>
                  <a:cs typeface="Quattrocento Sans"/>
                  <a:sym typeface="Quattrocento Sans"/>
                </a:rPr>
                <a:t>Next step</a:t>
              </a:r>
              <a:endParaRPr sz="1400"/>
            </a:p>
          </xdr:txBody>
        </xdr:sp>
        <xdr:sp macro="" textlink="">
          <xdr:nvSpPr>
            <xdr:cNvPr id="509" name="Shape 509" descr="Overview of Excel tables, hyperlinked to web">
              <a:hlinkClick xmlns:r="http://schemas.openxmlformats.org/officeDocument/2006/relationships" r:id="rId8"/>
              <a:extLst>
                <a:ext uri="{FF2B5EF4-FFF2-40B4-BE49-F238E27FC236}">
                  <a16:creationId xmlns:a16="http://schemas.microsoft.com/office/drawing/2014/main" id="{00000000-0008-0000-0500-0000FD010000}"/>
                </a:ext>
              </a:extLst>
            </xdr:cNvPr>
            <xdr:cNvSpPr txBox="1"/>
          </xdr:nvSpPr>
          <xdr:spPr>
            <a:xfrm>
              <a:off x="1024548" y="15381195"/>
              <a:ext cx="1737702" cy="310052"/>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u="sng">
                  <a:solidFill>
                    <a:srgbClr val="3F3F3F"/>
                  </a:solidFill>
                  <a:latin typeface="Quattrocento Sans"/>
                  <a:ea typeface="Quattrocento Sans"/>
                  <a:cs typeface="Quattrocento Sans"/>
                  <a:sym typeface="Quattrocento Sans"/>
                </a:rPr>
                <a:t>Overview of Excel tables</a:t>
              </a:r>
              <a:endParaRPr sz="1400"/>
            </a:p>
          </xdr:txBody>
        </xdr:sp>
        <xdr:pic>
          <xdr:nvPicPr>
            <xdr:cNvPr id="510" name="Shape 510" descr="Arrow">
              <a:hlinkClick xmlns:r="http://schemas.openxmlformats.org/officeDocument/2006/relationships" r:id="rId8"/>
              <a:extLst>
                <a:ext uri="{FF2B5EF4-FFF2-40B4-BE49-F238E27FC236}">
                  <a16:creationId xmlns:a16="http://schemas.microsoft.com/office/drawing/2014/main" id="{00000000-0008-0000-0500-0000FE010000}"/>
                </a:ext>
              </a:extLst>
            </xdr:cNvPr>
            <xdr:cNvPicPr preferRelativeResize="0"/>
          </xdr:nvPicPr>
          <xdr:blipFill rotWithShape="1">
            <a:blip xmlns:r="http://schemas.openxmlformats.org/officeDocument/2006/relationships" r:embed="rId9">
              <a:alphaModFix/>
            </a:blip>
            <a:srcRect/>
            <a:stretch/>
          </xdr:blipFill>
          <xdr:spPr>
            <a:xfrm>
              <a:off x="597268" y="15285919"/>
              <a:ext cx="454554" cy="448472"/>
            </a:xfrm>
            <a:prstGeom prst="rect">
              <a:avLst/>
            </a:prstGeom>
            <a:noFill/>
            <a:ln>
              <a:noFill/>
            </a:ln>
          </xdr:spPr>
        </xdr:pic>
        <xdr:sp macro="" textlink="">
          <xdr:nvSpPr>
            <xdr:cNvPr id="511" name="Shape 511" descr="Total the data in an Excel table, hyperlinked to web">
              <a:hlinkClick xmlns:r="http://schemas.openxmlformats.org/officeDocument/2006/relationships" r:id="rId10"/>
              <a:extLst>
                <a:ext uri="{FF2B5EF4-FFF2-40B4-BE49-F238E27FC236}">
                  <a16:creationId xmlns:a16="http://schemas.microsoft.com/office/drawing/2014/main" id="{00000000-0008-0000-0500-0000FF010000}"/>
                </a:ext>
              </a:extLst>
            </xdr:cNvPr>
            <xdr:cNvSpPr txBox="1"/>
          </xdr:nvSpPr>
          <xdr:spPr>
            <a:xfrm>
              <a:off x="1024548" y="15845803"/>
              <a:ext cx="2080602" cy="290453"/>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u="sng">
                  <a:solidFill>
                    <a:srgbClr val="3F3F3F"/>
                  </a:solidFill>
                  <a:latin typeface="Quattrocento Sans"/>
                  <a:ea typeface="Quattrocento Sans"/>
                  <a:cs typeface="Quattrocento Sans"/>
                  <a:sym typeface="Quattrocento Sans"/>
                </a:rPr>
                <a:t>Total the data in an Excel table</a:t>
              </a:r>
              <a:endParaRPr sz="1400"/>
            </a:p>
          </xdr:txBody>
        </xdr:sp>
        <xdr:pic>
          <xdr:nvPicPr>
            <xdr:cNvPr id="512" name="Shape 512" descr="Arrow">
              <a:hlinkClick xmlns:r="http://schemas.openxmlformats.org/officeDocument/2006/relationships" r:id="rId10"/>
              <a:extLst>
                <a:ext uri="{FF2B5EF4-FFF2-40B4-BE49-F238E27FC236}">
                  <a16:creationId xmlns:a16="http://schemas.microsoft.com/office/drawing/2014/main" id="{00000000-0008-0000-0500-000000020000}"/>
                </a:ext>
              </a:extLst>
            </xdr:cNvPr>
            <xdr:cNvPicPr preferRelativeResize="0"/>
          </xdr:nvPicPr>
          <xdr:blipFill rotWithShape="1">
            <a:blip xmlns:r="http://schemas.openxmlformats.org/officeDocument/2006/relationships" r:embed="rId9">
              <a:alphaModFix/>
            </a:blip>
            <a:srcRect/>
            <a:stretch/>
          </xdr:blipFill>
          <xdr:spPr>
            <a:xfrm>
              <a:off x="597268" y="15743773"/>
              <a:ext cx="454554" cy="448472"/>
            </a:xfrm>
            <a:prstGeom prst="rect">
              <a:avLst/>
            </a:prstGeom>
            <a:noFill/>
            <a:ln>
              <a:noFill/>
            </a:ln>
          </xdr:spPr>
        </xdr:pic>
        <xdr:sp macro="" textlink="">
          <xdr:nvSpPr>
            <xdr:cNvPr id="513" name="Shape 513" descr="Use calculated columns in an Excel table, hyperlinked to web">
              <a:hlinkClick xmlns:r="http://schemas.openxmlformats.org/officeDocument/2006/relationships" r:id="rId11"/>
              <a:extLst>
                <a:ext uri="{FF2B5EF4-FFF2-40B4-BE49-F238E27FC236}">
                  <a16:creationId xmlns:a16="http://schemas.microsoft.com/office/drawing/2014/main" id="{00000000-0008-0000-0500-000001020000}"/>
                </a:ext>
              </a:extLst>
            </xdr:cNvPr>
            <xdr:cNvSpPr txBox="1"/>
          </xdr:nvSpPr>
          <xdr:spPr>
            <a:xfrm>
              <a:off x="1024548" y="16312969"/>
              <a:ext cx="2775927" cy="290453"/>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u="sng">
                  <a:solidFill>
                    <a:srgbClr val="3F3F3F"/>
                  </a:solidFill>
                  <a:latin typeface="Quattrocento Sans"/>
                  <a:ea typeface="Quattrocento Sans"/>
                  <a:cs typeface="Quattrocento Sans"/>
                  <a:sym typeface="Quattrocento Sans"/>
                </a:rPr>
                <a:t>Use calculated columns in an Excel table</a:t>
              </a:r>
              <a:endParaRPr sz="1400"/>
            </a:p>
          </xdr:txBody>
        </xdr:sp>
        <xdr:pic>
          <xdr:nvPicPr>
            <xdr:cNvPr id="514" name="Shape 514" descr="Arrow">
              <a:hlinkClick xmlns:r="http://schemas.openxmlformats.org/officeDocument/2006/relationships" r:id="rId11"/>
              <a:extLst>
                <a:ext uri="{FF2B5EF4-FFF2-40B4-BE49-F238E27FC236}">
                  <a16:creationId xmlns:a16="http://schemas.microsoft.com/office/drawing/2014/main" id="{00000000-0008-0000-0500-000002020000}"/>
                </a:ext>
              </a:extLst>
            </xdr:cNvPr>
            <xdr:cNvPicPr preferRelativeResize="0"/>
          </xdr:nvPicPr>
          <xdr:blipFill rotWithShape="1">
            <a:blip xmlns:r="http://schemas.openxmlformats.org/officeDocument/2006/relationships" r:embed="rId9">
              <a:alphaModFix/>
            </a:blip>
            <a:srcRect/>
            <a:stretch/>
          </xdr:blipFill>
          <xdr:spPr>
            <a:xfrm>
              <a:off x="597268" y="16210939"/>
              <a:ext cx="454554" cy="448472"/>
            </a:xfrm>
            <a:prstGeom prst="rect">
              <a:avLst/>
            </a:prstGeom>
            <a:noFill/>
            <a:ln>
              <a:noFill/>
            </a:ln>
          </xdr:spPr>
        </xdr:pic>
      </xdr:grpSp>
    </xdr:grpSp>
    <xdr:clientData fLocksWithSheet="0"/>
  </xdr:oneCellAnchor>
</xdr:wsDr>
</file>

<file path=xl/drawings/drawing7.xml><?xml version="1.0" encoding="utf-8"?>
<xdr:wsDr xmlns:xdr="http://schemas.openxmlformats.org/drawingml/2006/spreadsheetDrawing" xmlns:a="http://schemas.openxmlformats.org/drawingml/2006/main">
  <xdr:oneCellAnchor>
    <xdr:from>
      <xdr:col>0</xdr:col>
      <xdr:colOff>333375</xdr:colOff>
      <xdr:row>0</xdr:row>
      <xdr:rowOff>276225</xdr:rowOff>
    </xdr:from>
    <xdr:ext cx="5695950" cy="4562475"/>
    <xdr:grpSp>
      <xdr:nvGrpSpPr>
        <xdr:cNvPr id="2" name="Shape 2">
          <a:extLst>
            <a:ext uri="{FF2B5EF4-FFF2-40B4-BE49-F238E27FC236}">
              <a16:creationId xmlns:a16="http://schemas.microsoft.com/office/drawing/2014/main" id="{00000000-0008-0000-0600-000002000000}"/>
            </a:ext>
          </a:extLst>
        </xdr:cNvPr>
        <xdr:cNvGrpSpPr/>
      </xdr:nvGrpSpPr>
      <xdr:grpSpPr>
        <a:xfrm>
          <a:off x="333375" y="276225"/>
          <a:ext cx="5695950" cy="4562475"/>
          <a:chOff x="2498025" y="1498763"/>
          <a:chExt cx="5695950" cy="4562475"/>
        </a:xfrm>
      </xdr:grpSpPr>
      <xdr:grpSp>
        <xdr:nvGrpSpPr>
          <xdr:cNvPr id="515" name="Shape 515" descr="Insert a drop-down list&#10;Drop-down lists make data entry easier for people. Here's how to do one:&#10;We want only three department names to be valid entries for each of the foods on the right. Those departments are Produce, Meat and Bakery.&#10;Click and drag to select the yellow cells under Department.&#10;On the Data tab, click Data Validation. Under Allow, click List.&#10;In the Source box, type Produce, Meat, Bakery. Make sure to put commas in between them. Click OK when you’re done.&#10;Now click the yellow cell next to Apples, and you'll see a drop-down menu.&#10;Dive down for more detail &#10;Next step">
            <a:extLst>
              <a:ext uri="{FF2B5EF4-FFF2-40B4-BE49-F238E27FC236}">
                <a16:creationId xmlns:a16="http://schemas.microsoft.com/office/drawing/2014/main" id="{00000000-0008-0000-0600-000003020000}"/>
              </a:ext>
            </a:extLst>
          </xdr:cNvPr>
          <xdr:cNvGrpSpPr/>
        </xdr:nvGrpSpPr>
        <xdr:grpSpPr>
          <a:xfrm>
            <a:off x="2498025" y="1498763"/>
            <a:ext cx="5695950" cy="4562475"/>
            <a:chOff x="333375" y="276225"/>
            <a:chExt cx="5693569" cy="4636294"/>
          </a:xfrm>
        </xdr:grpSpPr>
        <xdr:sp macro="" textlink="">
          <xdr:nvSpPr>
            <xdr:cNvPr id="4" name="Shape 4">
              <a:extLst>
                <a:ext uri="{FF2B5EF4-FFF2-40B4-BE49-F238E27FC236}">
                  <a16:creationId xmlns:a16="http://schemas.microsoft.com/office/drawing/2014/main" id="{00000000-0008-0000-0600-000004000000}"/>
                </a:ext>
              </a:extLst>
            </xdr:cNvPr>
            <xdr:cNvSpPr/>
          </xdr:nvSpPr>
          <xdr:spPr>
            <a:xfrm>
              <a:off x="333375" y="276225"/>
              <a:ext cx="5693550" cy="46362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16" name="Shape 516" descr="Background">
              <a:extLst>
                <a:ext uri="{FF2B5EF4-FFF2-40B4-BE49-F238E27FC236}">
                  <a16:creationId xmlns:a16="http://schemas.microsoft.com/office/drawing/2014/main" id="{00000000-0008-0000-0600-000004020000}"/>
                </a:ext>
              </a:extLst>
            </xdr:cNvPr>
            <xdr:cNvSpPr/>
          </xdr:nvSpPr>
          <xdr:spPr>
            <a:xfrm>
              <a:off x="333375" y="276225"/>
              <a:ext cx="5693569" cy="4636294"/>
            </a:xfrm>
            <a:prstGeom prst="rect">
              <a:avLst/>
            </a:prstGeom>
            <a:solidFill>
              <a:srgbClr val="F5F5F5"/>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517" name="Shape 517" descr="Insert a drop-down list">
              <a:extLst>
                <a:ext uri="{FF2B5EF4-FFF2-40B4-BE49-F238E27FC236}">
                  <a16:creationId xmlns:a16="http://schemas.microsoft.com/office/drawing/2014/main" id="{00000000-0008-0000-0600-000005020000}"/>
                </a:ext>
              </a:extLst>
            </xdr:cNvPr>
            <xdr:cNvSpPr txBox="1"/>
          </xdr:nvSpPr>
          <xdr:spPr>
            <a:xfrm>
              <a:off x="565123" y="394923"/>
              <a:ext cx="5214170" cy="490903"/>
            </a:xfrm>
            <a:prstGeom prst="rect">
              <a:avLst/>
            </a:prstGeom>
            <a:noFill/>
            <a:ln>
              <a:noFill/>
            </a:ln>
          </xdr:spPr>
          <xdr:txBody>
            <a:bodyPr spcFirstLastPara="1" wrap="square" lIns="0" tIns="45700" rIns="0" bIns="45700" anchor="t" anchorCtr="0">
              <a:noAutofit/>
            </a:bodyPr>
            <a:lstStyle/>
            <a:p>
              <a:pPr marL="0" marR="0" lvl="0" indent="0" algn="l" rtl="0">
                <a:lnSpc>
                  <a:spcPct val="100000"/>
                </a:lnSpc>
                <a:spcBef>
                  <a:spcPts val="0"/>
                </a:spcBef>
                <a:spcAft>
                  <a:spcPts val="0"/>
                </a:spcAft>
                <a:buClr>
                  <a:srgbClr val="3A3838"/>
                </a:buClr>
                <a:buSzPts val="2200"/>
                <a:buFont typeface="Quattrocento Sans"/>
                <a:buNone/>
              </a:pPr>
              <a:r>
                <a:rPr lang="en-US" sz="2200" b="0" i="0" u="none" strike="noStrike" cap="none">
                  <a:solidFill>
                    <a:srgbClr val="3A3838"/>
                  </a:solidFill>
                  <a:latin typeface="Quattrocento Sans"/>
                  <a:ea typeface="Quattrocento Sans"/>
                  <a:cs typeface="Quattrocento Sans"/>
                  <a:sym typeface="Quattrocento Sans"/>
                </a:rPr>
                <a:t>Insert a drop-down list</a:t>
              </a:r>
              <a:endParaRPr sz="2200" b="0">
                <a:solidFill>
                  <a:srgbClr val="3A3838"/>
                </a:solidFill>
                <a:latin typeface="Quattrocento Sans"/>
                <a:ea typeface="Quattrocento Sans"/>
                <a:cs typeface="Quattrocento Sans"/>
                <a:sym typeface="Quattrocento Sans"/>
              </a:endParaRPr>
            </a:p>
          </xdr:txBody>
        </xdr:sp>
        <xdr:cxnSp macro="">
          <xdr:nvCxnSpPr>
            <xdr:cNvPr id="518" name="Shape 518" descr="Decorative line">
              <a:extLst>
                <a:ext uri="{FF2B5EF4-FFF2-40B4-BE49-F238E27FC236}">
                  <a16:creationId xmlns:a16="http://schemas.microsoft.com/office/drawing/2014/main" id="{00000000-0008-0000-0600-000006020000}"/>
                </a:ext>
              </a:extLst>
            </xdr:cNvPr>
            <xdr:cNvCxnSpPr/>
          </xdr:nvCxnSpPr>
          <xdr:spPr>
            <a:xfrm>
              <a:off x="568299" y="902336"/>
              <a:ext cx="5210995" cy="0"/>
            </a:xfrm>
            <a:prstGeom prst="straightConnector1">
              <a:avLst/>
            </a:prstGeom>
            <a:noFill/>
            <a:ln w="25400" cap="flat" cmpd="sng">
              <a:solidFill>
                <a:srgbClr val="217346"/>
              </a:solidFill>
              <a:prstDash val="solid"/>
              <a:round/>
              <a:headEnd type="none" w="sm" len="sm"/>
              <a:tailEnd type="none" w="sm" len="sm"/>
            </a:ln>
          </xdr:spPr>
        </xdr:cxnSp>
        <xdr:sp macro="" textlink="">
          <xdr:nvSpPr>
            <xdr:cNvPr id="519" name="Shape 519" descr="Dive down for more detail">
              <a:extLst>
                <a:ext uri="{FF2B5EF4-FFF2-40B4-BE49-F238E27FC236}">
                  <a16:creationId xmlns:a16="http://schemas.microsoft.com/office/drawing/2014/main" id="{00000000-0008-0000-0600-000007020000}"/>
                </a:ext>
              </a:extLst>
            </xdr:cNvPr>
            <xdr:cNvSpPr/>
          </xdr:nvSpPr>
          <xdr:spPr>
            <a:xfrm>
              <a:off x="568299" y="4178263"/>
              <a:ext cx="2720686" cy="545979"/>
            </a:xfrm>
            <a:prstGeom prst="downArrowCallout">
              <a:avLst>
                <a:gd name="adj1" fmla="val 25000"/>
                <a:gd name="adj2" fmla="val 25000"/>
                <a:gd name="adj3" fmla="val 25000"/>
                <a:gd name="adj4" fmla="val 64977"/>
              </a:avLst>
            </a:prstGeom>
            <a:solidFill>
              <a:srgbClr val="D8D8D8"/>
            </a:solidFill>
            <a:ln w="12700" cap="flat" cmpd="sng">
              <a:solidFill>
                <a:srgbClr val="0B744D">
                  <a:alpha val="49803"/>
                </a:srgb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a:solidFill>
                    <a:srgbClr val="0B744D"/>
                  </a:solidFill>
                  <a:latin typeface="Quattrocento Sans"/>
                  <a:ea typeface="Quattrocento Sans"/>
                  <a:cs typeface="Quattrocento Sans"/>
                  <a:sym typeface="Quattrocento Sans"/>
                </a:rPr>
                <a:t>Dive down for more detail</a:t>
              </a:r>
              <a:endParaRPr sz="1400"/>
            </a:p>
          </xdr:txBody>
        </xdr:sp>
        <xdr:cxnSp macro="">
          <xdr:nvCxnSpPr>
            <xdr:cNvPr id="520" name="Shape 520" descr="Decorative line">
              <a:extLst>
                <a:ext uri="{FF2B5EF4-FFF2-40B4-BE49-F238E27FC236}">
                  <a16:creationId xmlns:a16="http://schemas.microsoft.com/office/drawing/2014/main" id="{00000000-0008-0000-0600-000008020000}"/>
                </a:ext>
              </a:extLst>
            </xdr:cNvPr>
            <xdr:cNvCxnSpPr/>
          </xdr:nvCxnSpPr>
          <xdr:spPr>
            <a:xfrm>
              <a:off x="568299" y="3907631"/>
              <a:ext cx="5210995" cy="0"/>
            </a:xfrm>
            <a:prstGeom prst="straightConnector1">
              <a:avLst/>
            </a:prstGeom>
            <a:noFill/>
            <a:ln w="25400" cap="flat" cmpd="sng">
              <a:solidFill>
                <a:srgbClr val="217346"/>
              </a:solidFill>
              <a:prstDash val="solid"/>
              <a:round/>
              <a:headEnd type="none" w="sm" len="sm"/>
              <a:tailEnd type="none" w="sm" len="sm"/>
            </a:ln>
          </xdr:spPr>
        </xdr:cxnSp>
        <xdr:sp macro="" textlink="">
          <xdr:nvSpPr>
            <xdr:cNvPr id="521" name="Shape 521" descr="Next step button, hyperlinked to next sheet">
              <a:hlinkClick xmlns:r="http://schemas.openxmlformats.org/officeDocument/2006/relationships" r:id="rId1"/>
              <a:extLst>
                <a:ext uri="{FF2B5EF4-FFF2-40B4-BE49-F238E27FC236}">
                  <a16:creationId xmlns:a16="http://schemas.microsoft.com/office/drawing/2014/main" id="{00000000-0008-0000-0600-000009020000}"/>
                </a:ext>
              </a:extLst>
            </xdr:cNvPr>
            <xdr:cNvSpPr/>
          </xdr:nvSpPr>
          <xdr:spPr>
            <a:xfrm>
              <a:off x="4624864" y="4178263"/>
              <a:ext cx="1154430" cy="353255"/>
            </a:xfrm>
            <a:prstGeom prst="rightArrowCallout">
              <a:avLst>
                <a:gd name="adj1" fmla="val 32829"/>
                <a:gd name="adj2" fmla="val 31524"/>
                <a:gd name="adj3" fmla="val 25000"/>
                <a:gd name="adj4" fmla="val 86357"/>
              </a:avLst>
            </a:prstGeom>
            <a:solidFill>
              <a:schemeClr val="lt1"/>
            </a:solidFill>
            <a:ln w="12700" cap="flat" cmpd="sng">
              <a:solidFill>
                <a:srgbClr val="0B744D"/>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a:solidFill>
                    <a:srgbClr val="0B744D"/>
                  </a:solidFill>
                  <a:latin typeface="Quattrocento Sans"/>
                  <a:ea typeface="Quattrocento Sans"/>
                  <a:cs typeface="Quattrocento Sans"/>
                  <a:sym typeface="Quattrocento Sans"/>
                </a:rPr>
                <a:t>Next step</a:t>
              </a:r>
              <a:endParaRPr sz="1400"/>
            </a:p>
          </xdr:txBody>
        </xdr:sp>
        <xdr:sp macro="" textlink="">
          <xdr:nvSpPr>
            <xdr:cNvPr id="522" name="Shape 522" descr="Drop-down lists make data entry easier for people. Here's how to do one:">
              <a:extLst>
                <a:ext uri="{FF2B5EF4-FFF2-40B4-BE49-F238E27FC236}">
                  <a16:creationId xmlns:a16="http://schemas.microsoft.com/office/drawing/2014/main" id="{00000000-0008-0000-0600-00000A020000}"/>
                </a:ext>
              </a:extLst>
            </xdr:cNvPr>
            <xdr:cNvSpPr txBox="1"/>
          </xdr:nvSpPr>
          <xdr:spPr>
            <a:xfrm>
              <a:off x="561975" y="975946"/>
              <a:ext cx="5298557" cy="250397"/>
            </a:xfrm>
            <a:prstGeom prst="rect">
              <a:avLst/>
            </a:prstGeom>
            <a:noFill/>
            <a:ln>
              <a:noFill/>
            </a:ln>
          </xdr:spPr>
          <xdr:txBody>
            <a:bodyPr spcFirstLastPara="1" wrap="square" lIns="0" tIns="45700" rIns="0" bIns="45700" anchor="t" anchorCtr="0">
              <a:noAutofit/>
            </a:bodyPr>
            <a:lstStyle/>
            <a:p>
              <a:pPr marL="0" lvl="0" indent="0" algn="l" rtl="0">
                <a:spcBef>
                  <a:spcPts val="0"/>
                </a:spcBef>
                <a:spcAft>
                  <a:spcPts val="0"/>
                </a:spcAft>
                <a:buNone/>
              </a:pPr>
              <a:r>
                <a:rPr lang="en-US" sz="1100">
                  <a:solidFill>
                    <a:srgbClr val="3F3F3F"/>
                  </a:solidFill>
                  <a:latin typeface="Quattrocento Sans"/>
                  <a:ea typeface="Quattrocento Sans"/>
                  <a:cs typeface="Quattrocento Sans"/>
                  <a:sym typeface="Quattrocento Sans"/>
                </a:rPr>
                <a:t>Drop-down lists make data entry easier for people. Here's how to do one: </a:t>
              </a:r>
              <a:endParaRPr sz="1400"/>
            </a:p>
          </xdr:txBody>
        </xdr:sp>
        <xdr:sp macro="" textlink="">
          <xdr:nvSpPr>
            <xdr:cNvPr id="523" name="Shape 523" descr="We want only three department names to be valid entries for each of the foods on the right. Those departments are Produce, Meat and Bakery">
              <a:extLst>
                <a:ext uri="{FF2B5EF4-FFF2-40B4-BE49-F238E27FC236}">
                  <a16:creationId xmlns:a16="http://schemas.microsoft.com/office/drawing/2014/main" id="{00000000-0008-0000-0600-00000B020000}"/>
                </a:ext>
              </a:extLst>
            </xdr:cNvPr>
            <xdr:cNvSpPr txBox="1"/>
          </xdr:nvSpPr>
          <xdr:spPr>
            <a:xfrm>
              <a:off x="969777" y="1319678"/>
              <a:ext cx="4809516" cy="524563"/>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rgbClr val="3F3F3F"/>
                  </a:solidFill>
                  <a:latin typeface="Quattrocento Sans"/>
                  <a:ea typeface="Quattrocento Sans"/>
                  <a:cs typeface="Quattrocento Sans"/>
                  <a:sym typeface="Quattrocento Sans"/>
                </a:rPr>
                <a:t>We want only three department names to be valid entries for each of the foods on the right. Those departments are Produce, Meat and Bakery.</a:t>
              </a:r>
              <a:endParaRPr sz="1400"/>
            </a:p>
          </xdr:txBody>
        </xdr:sp>
        <xdr:sp macro="" textlink="">
          <xdr:nvSpPr>
            <xdr:cNvPr id="524" name="Shape 524" descr="1">
              <a:extLst>
                <a:ext uri="{FF2B5EF4-FFF2-40B4-BE49-F238E27FC236}">
                  <a16:creationId xmlns:a16="http://schemas.microsoft.com/office/drawing/2014/main" id="{00000000-0008-0000-0600-00000C020000}"/>
                </a:ext>
              </a:extLst>
            </xdr:cNvPr>
            <xdr:cNvSpPr/>
          </xdr:nvSpPr>
          <xdr:spPr>
            <a:xfrm>
              <a:off x="565124" y="1277180"/>
              <a:ext cx="369206" cy="376349"/>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1</a:t>
              </a:r>
              <a:endParaRPr sz="1400"/>
            </a:p>
          </xdr:txBody>
        </xdr:sp>
        <xdr:sp macro="" textlink="">
          <xdr:nvSpPr>
            <xdr:cNvPr id="525" name="Shape 525" descr="Click and drag to select the yellow cells under Department">
              <a:extLst>
                <a:ext uri="{FF2B5EF4-FFF2-40B4-BE49-F238E27FC236}">
                  <a16:creationId xmlns:a16="http://schemas.microsoft.com/office/drawing/2014/main" id="{00000000-0008-0000-0600-00000D020000}"/>
                </a:ext>
              </a:extLst>
            </xdr:cNvPr>
            <xdr:cNvSpPr txBox="1"/>
          </xdr:nvSpPr>
          <xdr:spPr>
            <a:xfrm>
              <a:off x="969776" y="1816123"/>
              <a:ext cx="4809517" cy="473357"/>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rgbClr val="3F3F3F"/>
                  </a:solidFill>
                  <a:latin typeface="Quattrocento Sans"/>
                  <a:ea typeface="Quattrocento Sans"/>
                  <a:cs typeface="Quattrocento Sans"/>
                  <a:sym typeface="Quattrocento Sans"/>
                </a:rPr>
                <a:t>Click and drag to select the yellow cells under </a:t>
              </a:r>
              <a:r>
                <a:rPr lang="en-US" sz="1100" b="1">
                  <a:solidFill>
                    <a:srgbClr val="3F3F3F"/>
                  </a:solidFill>
                  <a:latin typeface="Quattrocento Sans"/>
                  <a:ea typeface="Quattrocento Sans"/>
                  <a:cs typeface="Quattrocento Sans"/>
                  <a:sym typeface="Quattrocento Sans"/>
                </a:rPr>
                <a:t>Department</a:t>
              </a:r>
              <a:r>
                <a:rPr lang="en-US" sz="1100">
                  <a:solidFill>
                    <a:srgbClr val="3F3F3F"/>
                  </a:solidFill>
                  <a:latin typeface="Quattrocento Sans"/>
                  <a:ea typeface="Quattrocento Sans"/>
                  <a:cs typeface="Quattrocento Sans"/>
                  <a:sym typeface="Quattrocento Sans"/>
                </a:rPr>
                <a:t>.</a:t>
              </a:r>
              <a:endParaRPr sz="1400"/>
            </a:p>
          </xdr:txBody>
        </xdr:sp>
        <xdr:sp macro="" textlink="">
          <xdr:nvSpPr>
            <xdr:cNvPr id="526" name="Shape 526" descr="2">
              <a:extLst>
                <a:ext uri="{FF2B5EF4-FFF2-40B4-BE49-F238E27FC236}">
                  <a16:creationId xmlns:a16="http://schemas.microsoft.com/office/drawing/2014/main" id="{00000000-0008-0000-0600-00000E020000}"/>
                </a:ext>
              </a:extLst>
            </xdr:cNvPr>
            <xdr:cNvSpPr/>
          </xdr:nvSpPr>
          <xdr:spPr>
            <a:xfrm>
              <a:off x="565124" y="1768862"/>
              <a:ext cx="369206" cy="381112"/>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2</a:t>
              </a:r>
              <a:endParaRPr sz="1400"/>
            </a:p>
          </xdr:txBody>
        </xdr:sp>
        <xdr:sp macro="" textlink="">
          <xdr:nvSpPr>
            <xdr:cNvPr id="527" name="Shape 527" descr="On the Data tab, click Data Validation. Under Allow, click List">
              <a:extLst>
                <a:ext uri="{FF2B5EF4-FFF2-40B4-BE49-F238E27FC236}">
                  <a16:creationId xmlns:a16="http://schemas.microsoft.com/office/drawing/2014/main" id="{00000000-0008-0000-0600-00000F020000}"/>
                </a:ext>
              </a:extLst>
            </xdr:cNvPr>
            <xdr:cNvSpPr txBox="1"/>
          </xdr:nvSpPr>
          <xdr:spPr>
            <a:xfrm>
              <a:off x="969777" y="2329764"/>
              <a:ext cx="4809516" cy="482388"/>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rgbClr val="3F3F3F"/>
                  </a:solidFill>
                  <a:latin typeface="Quattrocento Sans"/>
                  <a:ea typeface="Quattrocento Sans"/>
                  <a:cs typeface="Quattrocento Sans"/>
                  <a:sym typeface="Quattrocento Sans"/>
                </a:rPr>
                <a:t>On the </a:t>
              </a:r>
              <a:r>
                <a:rPr lang="en-US" sz="1100" b="1">
                  <a:solidFill>
                    <a:srgbClr val="3F3F3F"/>
                  </a:solidFill>
                  <a:latin typeface="Quattrocento Sans"/>
                  <a:ea typeface="Quattrocento Sans"/>
                  <a:cs typeface="Quattrocento Sans"/>
                  <a:sym typeface="Quattrocento Sans"/>
                </a:rPr>
                <a:t>Data</a:t>
              </a:r>
              <a:r>
                <a:rPr lang="en-US" sz="1100">
                  <a:solidFill>
                    <a:srgbClr val="3F3F3F"/>
                  </a:solidFill>
                  <a:latin typeface="Quattrocento Sans"/>
                  <a:ea typeface="Quattrocento Sans"/>
                  <a:cs typeface="Quattrocento Sans"/>
                  <a:sym typeface="Quattrocento Sans"/>
                </a:rPr>
                <a:t> tab, click </a:t>
              </a:r>
              <a:r>
                <a:rPr lang="en-US" sz="1100" b="1">
                  <a:solidFill>
                    <a:srgbClr val="3F3F3F"/>
                  </a:solidFill>
                  <a:latin typeface="Quattrocento Sans"/>
                  <a:ea typeface="Quattrocento Sans"/>
                  <a:cs typeface="Quattrocento Sans"/>
                  <a:sym typeface="Quattrocento Sans"/>
                </a:rPr>
                <a:t>Data Validation</a:t>
              </a:r>
              <a:r>
                <a:rPr lang="en-US" sz="1100">
                  <a:solidFill>
                    <a:srgbClr val="3F3F3F"/>
                  </a:solidFill>
                  <a:latin typeface="Quattrocento Sans"/>
                  <a:ea typeface="Quattrocento Sans"/>
                  <a:cs typeface="Quattrocento Sans"/>
                  <a:sym typeface="Quattrocento Sans"/>
                </a:rPr>
                <a:t>. Under </a:t>
              </a:r>
              <a:r>
                <a:rPr lang="en-US" sz="1100" b="1">
                  <a:solidFill>
                    <a:srgbClr val="3F3F3F"/>
                  </a:solidFill>
                  <a:latin typeface="Quattrocento Sans"/>
                  <a:ea typeface="Quattrocento Sans"/>
                  <a:cs typeface="Quattrocento Sans"/>
                  <a:sym typeface="Quattrocento Sans"/>
                </a:rPr>
                <a:t>Allow</a:t>
              </a:r>
              <a:r>
                <a:rPr lang="en-US" sz="1100">
                  <a:solidFill>
                    <a:srgbClr val="3F3F3F"/>
                  </a:solidFill>
                  <a:latin typeface="Quattrocento Sans"/>
                  <a:ea typeface="Quattrocento Sans"/>
                  <a:cs typeface="Quattrocento Sans"/>
                  <a:sym typeface="Quattrocento Sans"/>
                </a:rPr>
                <a:t>, click </a:t>
              </a:r>
              <a:r>
                <a:rPr lang="en-US" sz="1100" b="1">
                  <a:solidFill>
                    <a:srgbClr val="3F3F3F"/>
                  </a:solidFill>
                  <a:latin typeface="Quattrocento Sans"/>
                  <a:ea typeface="Quattrocento Sans"/>
                  <a:cs typeface="Quattrocento Sans"/>
                  <a:sym typeface="Quattrocento Sans"/>
                </a:rPr>
                <a:t>List</a:t>
              </a:r>
              <a:r>
                <a:rPr lang="en-US" sz="1100">
                  <a:solidFill>
                    <a:srgbClr val="3F3F3F"/>
                  </a:solidFill>
                  <a:latin typeface="Quattrocento Sans"/>
                  <a:ea typeface="Quattrocento Sans"/>
                  <a:cs typeface="Quattrocento Sans"/>
                  <a:sym typeface="Quattrocento Sans"/>
                </a:rPr>
                <a:t>. </a:t>
              </a:r>
              <a:endParaRPr sz="1400"/>
            </a:p>
          </xdr:txBody>
        </xdr:sp>
        <xdr:sp macro="" textlink="">
          <xdr:nvSpPr>
            <xdr:cNvPr id="528" name="Shape 528" descr="3">
              <a:extLst>
                <a:ext uri="{FF2B5EF4-FFF2-40B4-BE49-F238E27FC236}">
                  <a16:creationId xmlns:a16="http://schemas.microsoft.com/office/drawing/2014/main" id="{00000000-0008-0000-0600-000010020000}"/>
                </a:ext>
              </a:extLst>
            </xdr:cNvPr>
            <xdr:cNvSpPr/>
          </xdr:nvSpPr>
          <xdr:spPr>
            <a:xfrm>
              <a:off x="565124" y="2287266"/>
              <a:ext cx="369206" cy="381112"/>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3</a:t>
              </a:r>
              <a:endParaRPr sz="1400"/>
            </a:p>
          </xdr:txBody>
        </xdr:sp>
        <xdr:sp macro="" textlink="">
          <xdr:nvSpPr>
            <xdr:cNvPr id="529" name="Shape 529" descr="In the Source box, type Produce, Meat, Bakery. Make sure to put commas in between them. Click OK when you’re done">
              <a:extLst>
                <a:ext uri="{FF2B5EF4-FFF2-40B4-BE49-F238E27FC236}">
                  <a16:creationId xmlns:a16="http://schemas.microsoft.com/office/drawing/2014/main" id="{00000000-0008-0000-0600-000011020000}"/>
                </a:ext>
              </a:extLst>
            </xdr:cNvPr>
            <xdr:cNvSpPr txBox="1"/>
          </xdr:nvSpPr>
          <xdr:spPr>
            <a:xfrm>
              <a:off x="969777" y="2828512"/>
              <a:ext cx="4809516" cy="477274"/>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rgbClr val="3F3F3F"/>
                  </a:solidFill>
                  <a:latin typeface="Quattrocento Sans"/>
                  <a:ea typeface="Quattrocento Sans"/>
                  <a:cs typeface="Quattrocento Sans"/>
                  <a:sym typeface="Quattrocento Sans"/>
                </a:rPr>
                <a:t>In the </a:t>
              </a:r>
              <a:r>
                <a:rPr lang="en-US" sz="1100" b="1">
                  <a:solidFill>
                    <a:srgbClr val="3F3F3F"/>
                  </a:solidFill>
                  <a:latin typeface="Quattrocento Sans"/>
                  <a:ea typeface="Quattrocento Sans"/>
                  <a:cs typeface="Quattrocento Sans"/>
                  <a:sym typeface="Quattrocento Sans"/>
                </a:rPr>
                <a:t>Source</a:t>
              </a:r>
              <a:r>
                <a:rPr lang="en-US" sz="1100">
                  <a:solidFill>
                    <a:srgbClr val="3F3F3F"/>
                  </a:solidFill>
                  <a:latin typeface="Quattrocento Sans"/>
                  <a:ea typeface="Quattrocento Sans"/>
                  <a:cs typeface="Quattrocento Sans"/>
                  <a:sym typeface="Quattrocento Sans"/>
                </a:rPr>
                <a:t> box, type</a:t>
              </a:r>
              <a:r>
                <a:rPr lang="en-US" sz="1100" b="1">
                  <a:solidFill>
                    <a:srgbClr val="3F3F3F"/>
                  </a:solidFill>
                  <a:latin typeface="Quattrocento Sans"/>
                  <a:ea typeface="Quattrocento Sans"/>
                  <a:cs typeface="Quattrocento Sans"/>
                  <a:sym typeface="Quattrocento Sans"/>
                </a:rPr>
                <a:t> Produce, Meat, Bakery</a:t>
              </a:r>
              <a:r>
                <a:rPr lang="en-US" sz="1100">
                  <a:solidFill>
                    <a:srgbClr val="3F3F3F"/>
                  </a:solidFill>
                  <a:latin typeface="Quattrocento Sans"/>
                  <a:ea typeface="Quattrocento Sans"/>
                  <a:cs typeface="Quattrocento Sans"/>
                  <a:sym typeface="Quattrocento Sans"/>
                </a:rPr>
                <a:t>. Make sure to put commas in between them. Click </a:t>
              </a:r>
              <a:r>
                <a:rPr lang="en-US" sz="1100" b="1">
                  <a:solidFill>
                    <a:srgbClr val="3F3F3F"/>
                  </a:solidFill>
                  <a:latin typeface="Quattrocento Sans"/>
                  <a:ea typeface="Quattrocento Sans"/>
                  <a:cs typeface="Quattrocento Sans"/>
                  <a:sym typeface="Quattrocento Sans"/>
                </a:rPr>
                <a:t>OK</a:t>
              </a:r>
              <a:r>
                <a:rPr lang="en-US" sz="1100">
                  <a:solidFill>
                    <a:srgbClr val="3F3F3F"/>
                  </a:solidFill>
                  <a:latin typeface="Quattrocento Sans"/>
                  <a:ea typeface="Quattrocento Sans"/>
                  <a:cs typeface="Quattrocento Sans"/>
                  <a:sym typeface="Quattrocento Sans"/>
                </a:rPr>
                <a:t> when you’re done.</a:t>
              </a:r>
              <a:endParaRPr sz="1400"/>
            </a:p>
          </xdr:txBody>
        </xdr:sp>
        <xdr:sp macro="" textlink="">
          <xdr:nvSpPr>
            <xdr:cNvPr id="530" name="Shape 530" descr="4">
              <a:extLst>
                <a:ext uri="{FF2B5EF4-FFF2-40B4-BE49-F238E27FC236}">
                  <a16:creationId xmlns:a16="http://schemas.microsoft.com/office/drawing/2014/main" id="{00000000-0008-0000-0600-000012020000}"/>
                </a:ext>
              </a:extLst>
            </xdr:cNvPr>
            <xdr:cNvSpPr/>
          </xdr:nvSpPr>
          <xdr:spPr>
            <a:xfrm>
              <a:off x="565124" y="2786014"/>
              <a:ext cx="369206" cy="381112"/>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4</a:t>
              </a:r>
              <a:endParaRPr sz="1400"/>
            </a:p>
          </xdr:txBody>
        </xdr:sp>
        <xdr:sp macro="" textlink="">
          <xdr:nvSpPr>
            <xdr:cNvPr id="531" name="Shape 531" descr="Now click the yellow cell next to Apples, and you'll see a drop-down menu">
              <a:extLst>
                <a:ext uri="{FF2B5EF4-FFF2-40B4-BE49-F238E27FC236}">
                  <a16:creationId xmlns:a16="http://schemas.microsoft.com/office/drawing/2014/main" id="{00000000-0008-0000-0600-000013020000}"/>
                </a:ext>
              </a:extLst>
            </xdr:cNvPr>
            <xdr:cNvSpPr txBox="1"/>
          </xdr:nvSpPr>
          <xdr:spPr>
            <a:xfrm>
              <a:off x="969777" y="3322087"/>
              <a:ext cx="4809516" cy="457976"/>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rgbClr val="3F3F3F"/>
                  </a:solidFill>
                  <a:latin typeface="Quattrocento Sans"/>
                  <a:ea typeface="Quattrocento Sans"/>
                  <a:cs typeface="Quattrocento Sans"/>
                  <a:sym typeface="Quattrocento Sans"/>
                </a:rPr>
                <a:t>Now click the yellow cell next to </a:t>
              </a:r>
              <a:r>
                <a:rPr lang="en-US" sz="1100" b="1">
                  <a:solidFill>
                    <a:srgbClr val="3F3F3F"/>
                  </a:solidFill>
                  <a:latin typeface="Quattrocento Sans"/>
                  <a:ea typeface="Quattrocento Sans"/>
                  <a:cs typeface="Quattrocento Sans"/>
                  <a:sym typeface="Quattrocento Sans"/>
                </a:rPr>
                <a:t>Apples</a:t>
              </a:r>
              <a:r>
                <a:rPr lang="en-US" sz="1100">
                  <a:solidFill>
                    <a:srgbClr val="3F3F3F"/>
                  </a:solidFill>
                  <a:latin typeface="Quattrocento Sans"/>
                  <a:ea typeface="Quattrocento Sans"/>
                  <a:cs typeface="Quattrocento Sans"/>
                  <a:sym typeface="Quattrocento Sans"/>
                </a:rPr>
                <a:t>, and you'll see a drop-down menu.</a:t>
              </a:r>
              <a:endParaRPr sz="1400"/>
            </a:p>
          </xdr:txBody>
        </xdr:sp>
        <xdr:sp macro="" textlink="">
          <xdr:nvSpPr>
            <xdr:cNvPr id="532" name="Shape 532" descr="5">
              <a:extLst>
                <a:ext uri="{FF2B5EF4-FFF2-40B4-BE49-F238E27FC236}">
                  <a16:creationId xmlns:a16="http://schemas.microsoft.com/office/drawing/2014/main" id="{00000000-0008-0000-0600-000014020000}"/>
                </a:ext>
              </a:extLst>
            </xdr:cNvPr>
            <xdr:cNvSpPr/>
          </xdr:nvSpPr>
          <xdr:spPr>
            <a:xfrm>
              <a:off x="565124" y="3274827"/>
              <a:ext cx="369206" cy="381112"/>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5</a:t>
              </a:r>
              <a:endParaRPr sz="1400"/>
            </a:p>
          </xdr:txBody>
        </xdr:sp>
      </xdr:grpSp>
    </xdr:grpSp>
    <xdr:clientData fLocksWithSheet="0"/>
  </xdr:oneCellAnchor>
  <xdr:oneCellAnchor>
    <xdr:from>
      <xdr:col>0</xdr:col>
      <xdr:colOff>390525</xdr:colOff>
      <xdr:row>26</xdr:row>
      <xdr:rowOff>0</xdr:rowOff>
    </xdr:from>
    <xdr:ext cx="5695950" cy="6105525"/>
    <xdr:grpSp>
      <xdr:nvGrpSpPr>
        <xdr:cNvPr id="3" name="Shape 2">
          <a:extLst>
            <a:ext uri="{FF2B5EF4-FFF2-40B4-BE49-F238E27FC236}">
              <a16:creationId xmlns:a16="http://schemas.microsoft.com/office/drawing/2014/main" id="{00000000-0008-0000-0600-000003000000}"/>
            </a:ext>
          </a:extLst>
        </xdr:cNvPr>
        <xdr:cNvGrpSpPr/>
      </xdr:nvGrpSpPr>
      <xdr:grpSpPr>
        <a:xfrm>
          <a:off x="390525" y="5543550"/>
          <a:ext cx="5695950" cy="6105525"/>
          <a:chOff x="2498025" y="727238"/>
          <a:chExt cx="5695950" cy="6105525"/>
        </a:xfrm>
      </xdr:grpSpPr>
      <xdr:grpSp>
        <xdr:nvGrpSpPr>
          <xdr:cNvPr id="533" name="Shape 533" descr="Best practice for drop-downs: Use a table.&#10;We just taught you how to insert a drop-down menu for the list of departments. But what if that list changes? For example, what if there is a new department called Dairy? You’d have to update the data validation dialog box. But there’s a more efficient way by creating a table first:&#10;In column F, click a cell with a department. For example, click Meat. &#10;Create a table by pressing Ctrl and T Key and then OK.&#10;Now you’ll set up the data validation again. In column D, select all of the blank cells under Department.&#10;On the Data tab, click Data Validation. Under Allow, click List. &#10;Click inside the Source box, then click the up arrow button&#10;Click and drag to select just the Produce, Meat and Bakery cells in column F. Then click the down arrow button &#10;You should see this in the Source box: =$F$32:$F$34. (If you don’t see that you can type it in.) Click OK.&#10;Now click the drop-down arrow. There are only three departments: Produce, Meat and Bakery. But if you add a new department in column F under Bakery, it will get updated with the new department">
            <a:extLst>
              <a:ext uri="{FF2B5EF4-FFF2-40B4-BE49-F238E27FC236}">
                <a16:creationId xmlns:a16="http://schemas.microsoft.com/office/drawing/2014/main" id="{00000000-0008-0000-0600-000015020000}"/>
              </a:ext>
            </a:extLst>
          </xdr:cNvPr>
          <xdr:cNvGrpSpPr/>
        </xdr:nvGrpSpPr>
        <xdr:grpSpPr>
          <a:xfrm>
            <a:off x="2498025" y="727238"/>
            <a:ext cx="5695950" cy="6105525"/>
            <a:chOff x="390525" y="6036469"/>
            <a:chExt cx="5693569" cy="6096000"/>
          </a:xfrm>
        </xdr:grpSpPr>
        <xdr:sp macro="" textlink="">
          <xdr:nvSpPr>
            <xdr:cNvPr id="5" name="Shape 4">
              <a:extLst>
                <a:ext uri="{FF2B5EF4-FFF2-40B4-BE49-F238E27FC236}">
                  <a16:creationId xmlns:a16="http://schemas.microsoft.com/office/drawing/2014/main" id="{00000000-0008-0000-0600-000005000000}"/>
                </a:ext>
              </a:extLst>
            </xdr:cNvPr>
            <xdr:cNvSpPr/>
          </xdr:nvSpPr>
          <xdr:spPr>
            <a:xfrm>
              <a:off x="390525" y="6036469"/>
              <a:ext cx="5693550" cy="609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34" name="Shape 534" descr="Background">
              <a:extLst>
                <a:ext uri="{FF2B5EF4-FFF2-40B4-BE49-F238E27FC236}">
                  <a16:creationId xmlns:a16="http://schemas.microsoft.com/office/drawing/2014/main" id="{00000000-0008-0000-0600-000016020000}"/>
                </a:ext>
              </a:extLst>
            </xdr:cNvPr>
            <xdr:cNvSpPr/>
          </xdr:nvSpPr>
          <xdr:spPr>
            <a:xfrm>
              <a:off x="390525" y="6036469"/>
              <a:ext cx="5693569" cy="6096000"/>
            </a:xfrm>
            <a:prstGeom prst="rect">
              <a:avLst/>
            </a:prstGeom>
            <a:solidFill>
              <a:srgbClr val="F5F5F5"/>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535" name="Shape 535" descr="Best practice for drop-downs: Use a table">
              <a:extLst>
                <a:ext uri="{FF2B5EF4-FFF2-40B4-BE49-F238E27FC236}">
                  <a16:creationId xmlns:a16="http://schemas.microsoft.com/office/drawing/2014/main" id="{00000000-0008-0000-0600-000017020000}"/>
                </a:ext>
              </a:extLst>
            </xdr:cNvPr>
            <xdr:cNvSpPr txBox="1"/>
          </xdr:nvSpPr>
          <xdr:spPr>
            <a:xfrm>
              <a:off x="622273" y="6164692"/>
              <a:ext cx="5214170" cy="490903"/>
            </a:xfrm>
            <a:prstGeom prst="rect">
              <a:avLst/>
            </a:prstGeom>
            <a:noFill/>
            <a:ln>
              <a:noFill/>
            </a:ln>
          </xdr:spPr>
          <xdr:txBody>
            <a:bodyPr spcFirstLastPara="1" wrap="square" lIns="0" tIns="45700" rIns="0" bIns="45700" anchor="t" anchorCtr="0">
              <a:noAutofit/>
            </a:bodyPr>
            <a:lstStyle/>
            <a:p>
              <a:pPr marL="0" marR="0" lvl="0" indent="0" algn="l" rtl="0">
                <a:lnSpc>
                  <a:spcPct val="100000"/>
                </a:lnSpc>
                <a:spcBef>
                  <a:spcPts val="0"/>
                </a:spcBef>
                <a:spcAft>
                  <a:spcPts val="0"/>
                </a:spcAft>
                <a:buClr>
                  <a:srgbClr val="3A3838"/>
                </a:buClr>
                <a:buSzPts val="2200"/>
                <a:buFont typeface="Quattrocento Sans"/>
                <a:buNone/>
              </a:pPr>
              <a:r>
                <a:rPr lang="en-US" sz="2200" b="0">
                  <a:solidFill>
                    <a:srgbClr val="3A3838"/>
                  </a:solidFill>
                  <a:latin typeface="Quattrocento Sans"/>
                  <a:ea typeface="Quattrocento Sans"/>
                  <a:cs typeface="Quattrocento Sans"/>
                  <a:sym typeface="Quattrocento Sans"/>
                </a:rPr>
                <a:t>Best practice for drop-downs: Use a table.</a:t>
              </a:r>
              <a:endParaRPr sz="2200" b="0">
                <a:solidFill>
                  <a:srgbClr val="3A3838"/>
                </a:solidFill>
                <a:latin typeface="Quattrocento Sans"/>
                <a:ea typeface="Quattrocento Sans"/>
                <a:cs typeface="Quattrocento Sans"/>
                <a:sym typeface="Quattrocento Sans"/>
              </a:endParaRPr>
            </a:p>
          </xdr:txBody>
        </xdr:sp>
        <xdr:cxnSp macro="">
          <xdr:nvCxnSpPr>
            <xdr:cNvPr id="536" name="Shape 536" descr="Decorative line">
              <a:extLst>
                <a:ext uri="{FF2B5EF4-FFF2-40B4-BE49-F238E27FC236}">
                  <a16:creationId xmlns:a16="http://schemas.microsoft.com/office/drawing/2014/main" id="{00000000-0008-0000-0600-000018020000}"/>
                </a:ext>
              </a:extLst>
            </xdr:cNvPr>
            <xdr:cNvCxnSpPr/>
          </xdr:nvCxnSpPr>
          <xdr:spPr>
            <a:xfrm>
              <a:off x="625449" y="6672105"/>
              <a:ext cx="5210995" cy="0"/>
            </a:xfrm>
            <a:prstGeom prst="straightConnector1">
              <a:avLst/>
            </a:prstGeom>
            <a:noFill/>
            <a:ln w="25400" cap="flat" cmpd="sng">
              <a:solidFill>
                <a:srgbClr val="217346"/>
              </a:solidFill>
              <a:prstDash val="solid"/>
              <a:round/>
              <a:headEnd type="none" w="sm" len="sm"/>
              <a:tailEnd type="none" w="sm" len="sm"/>
            </a:ln>
          </xdr:spPr>
        </xdr:cxnSp>
        <xdr:sp macro="" textlink="">
          <xdr:nvSpPr>
            <xdr:cNvPr id="537" name="Shape 537" descr="We just taught you how to insert a drop-down menu for the list of departments. But what if that list changes? For example, what if there is a new department called Dairy? You’d have to update the data validation dialog box. But there’s a more efficient way by creating a table first:">
              <a:extLst>
                <a:ext uri="{FF2B5EF4-FFF2-40B4-BE49-F238E27FC236}">
                  <a16:creationId xmlns:a16="http://schemas.microsoft.com/office/drawing/2014/main" id="{00000000-0008-0000-0600-000019020000}"/>
                </a:ext>
              </a:extLst>
            </xdr:cNvPr>
            <xdr:cNvSpPr txBox="1"/>
          </xdr:nvSpPr>
          <xdr:spPr>
            <a:xfrm>
              <a:off x="619125" y="6745715"/>
              <a:ext cx="5298557" cy="788446"/>
            </a:xfrm>
            <a:prstGeom prst="rect">
              <a:avLst/>
            </a:prstGeom>
            <a:noFill/>
            <a:ln>
              <a:noFill/>
            </a:ln>
          </xdr:spPr>
          <xdr:txBody>
            <a:bodyPr spcFirstLastPara="1" wrap="square" lIns="0" tIns="45700" rIns="0" bIns="45700" anchor="t" anchorCtr="0">
              <a:noAutofit/>
            </a:bodyPr>
            <a:lstStyle/>
            <a:p>
              <a:pPr marL="0" lvl="0" indent="0" algn="l" rtl="0">
                <a:spcBef>
                  <a:spcPts val="0"/>
                </a:spcBef>
                <a:spcAft>
                  <a:spcPts val="0"/>
                </a:spcAft>
                <a:buNone/>
              </a:pPr>
              <a:r>
                <a:rPr lang="en-US" sz="1100">
                  <a:solidFill>
                    <a:srgbClr val="3F3F3F"/>
                  </a:solidFill>
                  <a:latin typeface="Quattrocento Sans"/>
                  <a:ea typeface="Quattrocento Sans"/>
                  <a:cs typeface="Quattrocento Sans"/>
                  <a:sym typeface="Quattrocento Sans"/>
                </a:rPr>
                <a:t>We just taught you how to insert a drop-down menu for the list of departments. But what if that list changes? For example, what if there is a new department called Dairy? You’d have to update the data validation dialog box. But there’s a more efficient way by creating a table first:</a:t>
              </a:r>
              <a:endParaRPr sz="1400"/>
            </a:p>
          </xdr:txBody>
        </xdr:sp>
        <xdr:sp macro="" textlink="">
          <xdr:nvSpPr>
            <xdr:cNvPr id="538" name="Shape 538" descr="In column G, click a cell with a department. For example, click Meat">
              <a:extLst>
                <a:ext uri="{FF2B5EF4-FFF2-40B4-BE49-F238E27FC236}">
                  <a16:creationId xmlns:a16="http://schemas.microsoft.com/office/drawing/2014/main" id="{00000000-0008-0000-0600-00001A020000}"/>
                </a:ext>
              </a:extLst>
            </xdr:cNvPr>
            <xdr:cNvSpPr txBox="1"/>
          </xdr:nvSpPr>
          <xdr:spPr>
            <a:xfrm>
              <a:off x="1026927" y="7674711"/>
              <a:ext cx="4809516" cy="447733"/>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Quattrocento Sans"/>
                  <a:ea typeface="Quattrocento Sans"/>
                  <a:cs typeface="Quattrocento Sans"/>
                  <a:sym typeface="Quattrocento Sans"/>
                </a:rPr>
                <a:t>In column F, click a cell with a department. For example, click </a:t>
              </a:r>
              <a:r>
                <a:rPr lang="en-US" sz="1100" b="1">
                  <a:solidFill>
                    <a:schemeClr val="dk1"/>
                  </a:solidFill>
                  <a:latin typeface="Quattrocento Sans"/>
                  <a:ea typeface="Quattrocento Sans"/>
                  <a:cs typeface="Quattrocento Sans"/>
                  <a:sym typeface="Quattrocento Sans"/>
                </a:rPr>
                <a:t>Meat</a:t>
              </a:r>
              <a:r>
                <a:rPr lang="en-US" sz="1100">
                  <a:solidFill>
                    <a:schemeClr val="dk1"/>
                  </a:solidFill>
                  <a:latin typeface="Quattrocento Sans"/>
                  <a:ea typeface="Quattrocento Sans"/>
                  <a:cs typeface="Quattrocento Sans"/>
                  <a:sym typeface="Quattrocento Sans"/>
                </a:rPr>
                <a:t>. </a:t>
              </a:r>
              <a:endParaRPr sz="1400"/>
            </a:p>
          </xdr:txBody>
        </xdr:sp>
        <xdr:sp macro="" textlink="">
          <xdr:nvSpPr>
            <xdr:cNvPr id="539" name="Shape 539" descr="1">
              <a:extLst>
                <a:ext uri="{FF2B5EF4-FFF2-40B4-BE49-F238E27FC236}">
                  <a16:creationId xmlns:a16="http://schemas.microsoft.com/office/drawing/2014/main" id="{00000000-0008-0000-0600-00001B020000}"/>
                </a:ext>
              </a:extLst>
            </xdr:cNvPr>
            <xdr:cNvSpPr/>
          </xdr:nvSpPr>
          <xdr:spPr>
            <a:xfrm>
              <a:off x="622274" y="7632213"/>
              <a:ext cx="369206"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1</a:t>
              </a:r>
              <a:endParaRPr sz="1400"/>
            </a:p>
          </xdr:txBody>
        </xdr:sp>
        <xdr:sp macro="" textlink="">
          <xdr:nvSpPr>
            <xdr:cNvPr id="540" name="Shape 540" descr="Now click the drop-down arrow. There are only three departments: Produce, Meat and Bakery. But if you add a new department in column F under Bakery, it will get updated with the new department">
              <a:extLst>
                <a:ext uri="{FF2B5EF4-FFF2-40B4-BE49-F238E27FC236}">
                  <a16:creationId xmlns:a16="http://schemas.microsoft.com/office/drawing/2014/main" id="{00000000-0008-0000-0600-00001C020000}"/>
                </a:ext>
              </a:extLst>
            </xdr:cNvPr>
            <xdr:cNvSpPr txBox="1"/>
          </xdr:nvSpPr>
          <xdr:spPr>
            <a:xfrm>
              <a:off x="1026926" y="11165780"/>
              <a:ext cx="4809517" cy="638879"/>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Quattrocento Sans"/>
                  <a:ea typeface="Quattrocento Sans"/>
                  <a:cs typeface="Quattrocento Sans"/>
                  <a:sym typeface="Quattrocento Sans"/>
                </a:rPr>
                <a:t>Now click the drop-down arrow. There are only three departments: Produce, Meat and Bakery. But if you add a new department in column F under Bakery, it will get updated with the new department.</a:t>
              </a:r>
              <a:endParaRPr sz="1400"/>
            </a:p>
            <a:p>
              <a:pPr marL="0" lvl="0" indent="0" algn="l" rtl="0">
                <a:spcBef>
                  <a:spcPts val="0"/>
                </a:spcBef>
                <a:spcAft>
                  <a:spcPts val="0"/>
                </a:spcAft>
                <a:buNone/>
              </a:pPr>
              <a:endParaRPr sz="1100">
                <a:latin typeface="Quattrocento Sans"/>
                <a:ea typeface="Quattrocento Sans"/>
                <a:cs typeface="Quattrocento Sans"/>
                <a:sym typeface="Quattrocento Sans"/>
              </a:endParaRPr>
            </a:p>
          </xdr:txBody>
        </xdr:sp>
        <xdr:sp macro="" textlink="">
          <xdr:nvSpPr>
            <xdr:cNvPr id="541" name="Shape 541" descr="8">
              <a:extLst>
                <a:ext uri="{FF2B5EF4-FFF2-40B4-BE49-F238E27FC236}">
                  <a16:creationId xmlns:a16="http://schemas.microsoft.com/office/drawing/2014/main" id="{00000000-0008-0000-0600-00001D020000}"/>
                </a:ext>
              </a:extLst>
            </xdr:cNvPr>
            <xdr:cNvSpPr/>
          </xdr:nvSpPr>
          <xdr:spPr>
            <a:xfrm>
              <a:off x="622274" y="11123282"/>
              <a:ext cx="369206"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8</a:t>
              </a:r>
              <a:endParaRPr sz="1400"/>
            </a:p>
          </xdr:txBody>
        </xdr:sp>
        <xdr:sp macro="" textlink="">
          <xdr:nvSpPr>
            <xdr:cNvPr id="542" name="Shape 542" descr="Create a table by pressing Ctrl and T Key and then OK">
              <a:extLst>
                <a:ext uri="{FF2B5EF4-FFF2-40B4-BE49-F238E27FC236}">
                  <a16:creationId xmlns:a16="http://schemas.microsoft.com/office/drawing/2014/main" id="{00000000-0008-0000-0600-00001E020000}"/>
                </a:ext>
              </a:extLst>
            </xdr:cNvPr>
            <xdr:cNvSpPr txBox="1"/>
          </xdr:nvSpPr>
          <xdr:spPr>
            <a:xfrm>
              <a:off x="1026927" y="8149149"/>
              <a:ext cx="4809516" cy="46859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Quattrocento Sans"/>
                  <a:ea typeface="Quattrocento Sans"/>
                  <a:cs typeface="Quattrocento Sans"/>
                  <a:sym typeface="Quattrocento Sans"/>
                </a:rPr>
                <a:t>Create a table by pressing                              and then </a:t>
              </a:r>
              <a:r>
                <a:rPr lang="en-US" sz="1100" b="1">
                  <a:solidFill>
                    <a:schemeClr val="dk1"/>
                  </a:solidFill>
                  <a:latin typeface="Quattrocento Sans"/>
                  <a:ea typeface="Quattrocento Sans"/>
                  <a:cs typeface="Quattrocento Sans"/>
                  <a:sym typeface="Quattrocento Sans"/>
                </a:rPr>
                <a:t>OK</a:t>
              </a:r>
              <a:r>
                <a:rPr lang="en-US" sz="1100">
                  <a:solidFill>
                    <a:schemeClr val="dk1"/>
                  </a:solidFill>
                  <a:latin typeface="Quattrocento Sans"/>
                  <a:ea typeface="Quattrocento Sans"/>
                  <a:cs typeface="Quattrocento Sans"/>
                  <a:sym typeface="Quattrocento Sans"/>
                </a:rPr>
                <a:t>.</a:t>
              </a:r>
              <a:endParaRPr sz="1400"/>
            </a:p>
          </xdr:txBody>
        </xdr:sp>
        <xdr:sp macro="" textlink="">
          <xdr:nvSpPr>
            <xdr:cNvPr id="543" name="Shape 543" descr="2">
              <a:extLst>
                <a:ext uri="{FF2B5EF4-FFF2-40B4-BE49-F238E27FC236}">
                  <a16:creationId xmlns:a16="http://schemas.microsoft.com/office/drawing/2014/main" id="{00000000-0008-0000-0600-00001F020000}"/>
                </a:ext>
              </a:extLst>
            </xdr:cNvPr>
            <xdr:cNvSpPr/>
          </xdr:nvSpPr>
          <xdr:spPr>
            <a:xfrm>
              <a:off x="622274" y="8106651"/>
              <a:ext cx="369206"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2</a:t>
              </a:r>
              <a:endParaRPr sz="1400"/>
            </a:p>
          </xdr:txBody>
        </xdr:sp>
        <xdr:sp macro="" textlink="">
          <xdr:nvSpPr>
            <xdr:cNvPr id="544" name="Shape 544" descr="Now you’ll set up the data validation again. In column D, select all of the blank cells under Department">
              <a:extLst>
                <a:ext uri="{FF2B5EF4-FFF2-40B4-BE49-F238E27FC236}">
                  <a16:creationId xmlns:a16="http://schemas.microsoft.com/office/drawing/2014/main" id="{00000000-0008-0000-0600-000020020000}"/>
                </a:ext>
              </a:extLst>
            </xdr:cNvPr>
            <xdr:cNvSpPr txBox="1"/>
          </xdr:nvSpPr>
          <xdr:spPr>
            <a:xfrm>
              <a:off x="1026927" y="8638134"/>
              <a:ext cx="4809516" cy="50348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Quattrocento Sans"/>
                  <a:ea typeface="Quattrocento Sans"/>
                  <a:cs typeface="Quattrocento Sans"/>
                  <a:sym typeface="Quattrocento Sans"/>
                </a:rPr>
                <a:t>Now you’ll set up the data validation again. In column D, select all of the blank cells under </a:t>
              </a:r>
              <a:r>
                <a:rPr lang="en-US" sz="1100" b="1">
                  <a:solidFill>
                    <a:schemeClr val="dk1"/>
                  </a:solidFill>
                  <a:latin typeface="Quattrocento Sans"/>
                  <a:ea typeface="Quattrocento Sans"/>
                  <a:cs typeface="Quattrocento Sans"/>
                  <a:sym typeface="Quattrocento Sans"/>
                </a:rPr>
                <a:t>Department</a:t>
              </a:r>
              <a:r>
                <a:rPr lang="en-US" sz="1100">
                  <a:solidFill>
                    <a:schemeClr val="dk1"/>
                  </a:solidFill>
                  <a:latin typeface="Quattrocento Sans"/>
                  <a:ea typeface="Quattrocento Sans"/>
                  <a:cs typeface="Quattrocento Sans"/>
                  <a:sym typeface="Quattrocento Sans"/>
                </a:rPr>
                <a:t>.</a:t>
              </a:r>
              <a:endParaRPr sz="1100" b="1">
                <a:latin typeface="Quattrocento Sans"/>
                <a:ea typeface="Quattrocento Sans"/>
                <a:cs typeface="Quattrocento Sans"/>
                <a:sym typeface="Quattrocento Sans"/>
              </a:endParaRPr>
            </a:p>
          </xdr:txBody>
        </xdr:sp>
        <xdr:sp macro="" textlink="">
          <xdr:nvSpPr>
            <xdr:cNvPr id="545" name="Shape 545" descr="3">
              <a:extLst>
                <a:ext uri="{FF2B5EF4-FFF2-40B4-BE49-F238E27FC236}">
                  <a16:creationId xmlns:a16="http://schemas.microsoft.com/office/drawing/2014/main" id="{00000000-0008-0000-0600-000021020000}"/>
                </a:ext>
              </a:extLst>
            </xdr:cNvPr>
            <xdr:cNvSpPr/>
          </xdr:nvSpPr>
          <xdr:spPr>
            <a:xfrm>
              <a:off x="622274" y="8595636"/>
              <a:ext cx="369206"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3</a:t>
              </a:r>
              <a:endParaRPr sz="1400"/>
            </a:p>
          </xdr:txBody>
        </xdr:sp>
        <xdr:cxnSp macro="">
          <xdr:nvCxnSpPr>
            <xdr:cNvPr id="546" name="Shape 546" descr="Decorative line">
              <a:extLst>
                <a:ext uri="{FF2B5EF4-FFF2-40B4-BE49-F238E27FC236}">
                  <a16:creationId xmlns:a16="http://schemas.microsoft.com/office/drawing/2014/main" id="{00000000-0008-0000-0600-000022020000}"/>
                </a:ext>
              </a:extLst>
            </xdr:cNvPr>
            <xdr:cNvCxnSpPr/>
          </xdr:nvCxnSpPr>
          <xdr:spPr>
            <a:xfrm>
              <a:off x="625449" y="11928773"/>
              <a:ext cx="5210995" cy="0"/>
            </a:xfrm>
            <a:prstGeom prst="straightConnector1">
              <a:avLst/>
            </a:prstGeom>
            <a:noFill/>
            <a:ln w="25400" cap="flat" cmpd="sng">
              <a:solidFill>
                <a:srgbClr val="217346"/>
              </a:solidFill>
              <a:prstDash val="solid"/>
              <a:round/>
              <a:headEnd type="none" w="sm" len="sm"/>
              <a:tailEnd type="none" w="sm" len="sm"/>
            </a:ln>
          </xdr:spPr>
        </xdr:cxnSp>
        <xdr:sp macro="" textlink="">
          <xdr:nvSpPr>
            <xdr:cNvPr id="547" name="Shape 547" descr="On the Data tab, click Data Validation. Under Allow, click List">
              <a:extLst>
                <a:ext uri="{FF2B5EF4-FFF2-40B4-BE49-F238E27FC236}">
                  <a16:creationId xmlns:a16="http://schemas.microsoft.com/office/drawing/2014/main" id="{00000000-0008-0000-0600-000023020000}"/>
                </a:ext>
              </a:extLst>
            </xdr:cNvPr>
            <xdr:cNvSpPr txBox="1"/>
          </xdr:nvSpPr>
          <xdr:spPr>
            <a:xfrm>
              <a:off x="1026927" y="9147746"/>
              <a:ext cx="4809516" cy="489174"/>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rgbClr val="3F3F3F"/>
                  </a:solidFill>
                  <a:latin typeface="Quattrocento Sans"/>
                  <a:ea typeface="Quattrocento Sans"/>
                  <a:cs typeface="Quattrocento Sans"/>
                  <a:sym typeface="Quattrocento Sans"/>
                </a:rPr>
                <a:t>On the </a:t>
              </a:r>
              <a:r>
                <a:rPr lang="en-US" sz="1100" b="1">
                  <a:solidFill>
                    <a:srgbClr val="3F3F3F"/>
                  </a:solidFill>
                  <a:latin typeface="Quattrocento Sans"/>
                  <a:ea typeface="Quattrocento Sans"/>
                  <a:cs typeface="Quattrocento Sans"/>
                  <a:sym typeface="Quattrocento Sans"/>
                </a:rPr>
                <a:t>Data</a:t>
              </a:r>
              <a:r>
                <a:rPr lang="en-US" sz="1100">
                  <a:solidFill>
                    <a:srgbClr val="3F3F3F"/>
                  </a:solidFill>
                  <a:latin typeface="Quattrocento Sans"/>
                  <a:ea typeface="Quattrocento Sans"/>
                  <a:cs typeface="Quattrocento Sans"/>
                  <a:sym typeface="Quattrocento Sans"/>
                </a:rPr>
                <a:t> tab, click </a:t>
              </a:r>
              <a:r>
                <a:rPr lang="en-US" sz="1100" b="1">
                  <a:solidFill>
                    <a:srgbClr val="3F3F3F"/>
                  </a:solidFill>
                  <a:latin typeface="Quattrocento Sans"/>
                  <a:ea typeface="Quattrocento Sans"/>
                  <a:cs typeface="Quattrocento Sans"/>
                  <a:sym typeface="Quattrocento Sans"/>
                </a:rPr>
                <a:t>Data Validation</a:t>
              </a:r>
              <a:r>
                <a:rPr lang="en-US" sz="1100">
                  <a:solidFill>
                    <a:srgbClr val="3F3F3F"/>
                  </a:solidFill>
                  <a:latin typeface="Quattrocento Sans"/>
                  <a:ea typeface="Quattrocento Sans"/>
                  <a:cs typeface="Quattrocento Sans"/>
                  <a:sym typeface="Quattrocento Sans"/>
                </a:rPr>
                <a:t>. Under </a:t>
              </a:r>
              <a:r>
                <a:rPr lang="en-US" sz="1100" b="1">
                  <a:solidFill>
                    <a:srgbClr val="3F3F3F"/>
                  </a:solidFill>
                  <a:latin typeface="Quattrocento Sans"/>
                  <a:ea typeface="Quattrocento Sans"/>
                  <a:cs typeface="Quattrocento Sans"/>
                  <a:sym typeface="Quattrocento Sans"/>
                </a:rPr>
                <a:t>Allow</a:t>
              </a:r>
              <a:r>
                <a:rPr lang="en-US" sz="1100">
                  <a:solidFill>
                    <a:srgbClr val="3F3F3F"/>
                  </a:solidFill>
                  <a:latin typeface="Quattrocento Sans"/>
                  <a:ea typeface="Quattrocento Sans"/>
                  <a:cs typeface="Quattrocento Sans"/>
                  <a:sym typeface="Quattrocento Sans"/>
                </a:rPr>
                <a:t>, click </a:t>
              </a:r>
              <a:r>
                <a:rPr lang="en-US" sz="1100" b="1">
                  <a:solidFill>
                    <a:srgbClr val="3F3F3F"/>
                  </a:solidFill>
                  <a:latin typeface="Quattrocento Sans"/>
                  <a:ea typeface="Quattrocento Sans"/>
                  <a:cs typeface="Quattrocento Sans"/>
                  <a:sym typeface="Quattrocento Sans"/>
                </a:rPr>
                <a:t>List</a:t>
              </a:r>
              <a:r>
                <a:rPr lang="en-US" sz="1100">
                  <a:solidFill>
                    <a:srgbClr val="3F3F3F"/>
                  </a:solidFill>
                  <a:latin typeface="Quattrocento Sans"/>
                  <a:ea typeface="Quattrocento Sans"/>
                  <a:cs typeface="Quattrocento Sans"/>
                  <a:sym typeface="Quattrocento Sans"/>
                </a:rPr>
                <a:t>. </a:t>
              </a:r>
              <a:endParaRPr sz="1400"/>
            </a:p>
          </xdr:txBody>
        </xdr:sp>
        <xdr:sp macro="" textlink="">
          <xdr:nvSpPr>
            <xdr:cNvPr id="548" name="Shape 548" descr="4">
              <a:extLst>
                <a:ext uri="{FF2B5EF4-FFF2-40B4-BE49-F238E27FC236}">
                  <a16:creationId xmlns:a16="http://schemas.microsoft.com/office/drawing/2014/main" id="{00000000-0008-0000-0600-000024020000}"/>
                </a:ext>
              </a:extLst>
            </xdr:cNvPr>
            <xdr:cNvSpPr/>
          </xdr:nvSpPr>
          <xdr:spPr>
            <a:xfrm>
              <a:off x="622274" y="9105247"/>
              <a:ext cx="369206"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4</a:t>
              </a:r>
              <a:endParaRPr sz="1400"/>
            </a:p>
          </xdr:txBody>
        </xdr:sp>
        <xdr:sp macro="" textlink="">
          <xdr:nvSpPr>
            <xdr:cNvPr id="549" name="Shape 549" descr="Click inside the Source box, then click the up arrow button">
              <a:extLst>
                <a:ext uri="{FF2B5EF4-FFF2-40B4-BE49-F238E27FC236}">
                  <a16:creationId xmlns:a16="http://schemas.microsoft.com/office/drawing/2014/main" id="{00000000-0008-0000-0600-000025020000}"/>
                </a:ext>
              </a:extLst>
            </xdr:cNvPr>
            <xdr:cNvSpPr txBox="1"/>
          </xdr:nvSpPr>
          <xdr:spPr>
            <a:xfrm>
              <a:off x="1026927" y="9655931"/>
              <a:ext cx="4809516" cy="485814"/>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rgbClr val="3F3F3F"/>
                  </a:solidFill>
                  <a:latin typeface="Quattrocento Sans"/>
                  <a:ea typeface="Quattrocento Sans"/>
                  <a:cs typeface="Quattrocento Sans"/>
                  <a:sym typeface="Quattrocento Sans"/>
                </a:rPr>
                <a:t>Click inside the </a:t>
              </a:r>
              <a:r>
                <a:rPr lang="en-US" sz="1100" b="1">
                  <a:solidFill>
                    <a:srgbClr val="3F3F3F"/>
                  </a:solidFill>
                  <a:latin typeface="Quattrocento Sans"/>
                  <a:ea typeface="Quattrocento Sans"/>
                  <a:cs typeface="Quattrocento Sans"/>
                  <a:sym typeface="Quattrocento Sans"/>
                </a:rPr>
                <a:t>Source</a:t>
              </a:r>
              <a:r>
                <a:rPr lang="en-US" sz="1100">
                  <a:solidFill>
                    <a:srgbClr val="3F3F3F"/>
                  </a:solidFill>
                  <a:latin typeface="Quattrocento Sans"/>
                  <a:ea typeface="Quattrocento Sans"/>
                  <a:cs typeface="Quattrocento Sans"/>
                  <a:sym typeface="Quattrocento Sans"/>
                </a:rPr>
                <a:t> box, then click the up arrow button</a:t>
              </a:r>
              <a:endParaRPr sz="1400"/>
            </a:p>
          </xdr:txBody>
        </xdr:sp>
        <xdr:sp macro="" textlink="">
          <xdr:nvSpPr>
            <xdr:cNvPr id="550" name="Shape 550" descr="5">
              <a:extLst>
                <a:ext uri="{FF2B5EF4-FFF2-40B4-BE49-F238E27FC236}">
                  <a16:creationId xmlns:a16="http://schemas.microsoft.com/office/drawing/2014/main" id="{00000000-0008-0000-0600-000026020000}"/>
                </a:ext>
              </a:extLst>
            </xdr:cNvPr>
            <xdr:cNvSpPr/>
          </xdr:nvSpPr>
          <xdr:spPr>
            <a:xfrm>
              <a:off x="622274" y="9613432"/>
              <a:ext cx="369206"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5</a:t>
              </a:r>
              <a:endParaRPr sz="1400"/>
            </a:p>
          </xdr:txBody>
        </xdr:sp>
        <xdr:sp macro="" textlink="">
          <xdr:nvSpPr>
            <xdr:cNvPr id="551" name="Shape 551" descr="Click and drag to select just the Produce, Meat and Bakery cells in column F. Then click the down arrow button ">
              <a:extLst>
                <a:ext uri="{FF2B5EF4-FFF2-40B4-BE49-F238E27FC236}">
                  <a16:creationId xmlns:a16="http://schemas.microsoft.com/office/drawing/2014/main" id="{00000000-0008-0000-0600-000027020000}"/>
                </a:ext>
              </a:extLst>
            </xdr:cNvPr>
            <xdr:cNvSpPr txBox="1"/>
          </xdr:nvSpPr>
          <xdr:spPr>
            <a:xfrm>
              <a:off x="1026927" y="10145546"/>
              <a:ext cx="4809516" cy="561387"/>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rgbClr val="3F3F3F"/>
                  </a:solidFill>
                  <a:latin typeface="Quattrocento Sans"/>
                  <a:ea typeface="Quattrocento Sans"/>
                  <a:cs typeface="Quattrocento Sans"/>
                  <a:sym typeface="Quattrocento Sans"/>
                </a:rPr>
                <a:t>Click and drag to select just the </a:t>
              </a:r>
              <a:r>
                <a:rPr lang="en-US" sz="1100" b="1">
                  <a:solidFill>
                    <a:srgbClr val="3F3F3F"/>
                  </a:solidFill>
                  <a:latin typeface="Quattrocento Sans"/>
                  <a:ea typeface="Quattrocento Sans"/>
                  <a:cs typeface="Quattrocento Sans"/>
                  <a:sym typeface="Quattrocento Sans"/>
                </a:rPr>
                <a:t>Produce</a:t>
              </a:r>
              <a:r>
                <a:rPr lang="en-US" sz="1100">
                  <a:solidFill>
                    <a:srgbClr val="3F3F3F"/>
                  </a:solidFill>
                  <a:latin typeface="Quattrocento Sans"/>
                  <a:ea typeface="Quattrocento Sans"/>
                  <a:cs typeface="Quattrocento Sans"/>
                  <a:sym typeface="Quattrocento Sans"/>
                </a:rPr>
                <a:t>, </a:t>
              </a:r>
              <a:r>
                <a:rPr lang="en-US" sz="1100" b="1">
                  <a:solidFill>
                    <a:srgbClr val="3F3F3F"/>
                  </a:solidFill>
                  <a:latin typeface="Quattrocento Sans"/>
                  <a:ea typeface="Quattrocento Sans"/>
                  <a:cs typeface="Quattrocento Sans"/>
                  <a:sym typeface="Quattrocento Sans"/>
                </a:rPr>
                <a:t>Meat</a:t>
              </a:r>
              <a:r>
                <a:rPr lang="en-US" sz="1100">
                  <a:solidFill>
                    <a:srgbClr val="3F3F3F"/>
                  </a:solidFill>
                  <a:latin typeface="Quattrocento Sans"/>
                  <a:ea typeface="Quattrocento Sans"/>
                  <a:cs typeface="Quattrocento Sans"/>
                  <a:sym typeface="Quattrocento Sans"/>
                </a:rPr>
                <a:t> and </a:t>
              </a:r>
              <a:r>
                <a:rPr lang="en-US" sz="1100" b="1">
                  <a:solidFill>
                    <a:srgbClr val="3F3F3F"/>
                  </a:solidFill>
                  <a:latin typeface="Quattrocento Sans"/>
                  <a:ea typeface="Quattrocento Sans"/>
                  <a:cs typeface="Quattrocento Sans"/>
                  <a:sym typeface="Quattrocento Sans"/>
                </a:rPr>
                <a:t>Bakery</a:t>
              </a:r>
              <a:r>
                <a:rPr lang="en-US" sz="1100">
                  <a:solidFill>
                    <a:srgbClr val="3F3F3F"/>
                  </a:solidFill>
                  <a:latin typeface="Quattrocento Sans"/>
                  <a:ea typeface="Quattrocento Sans"/>
                  <a:cs typeface="Quattrocento Sans"/>
                  <a:sym typeface="Quattrocento Sans"/>
                </a:rPr>
                <a:t> cells in column F. Then click the down arrow button </a:t>
              </a:r>
              <a:endParaRPr sz="1400"/>
            </a:p>
          </xdr:txBody>
        </xdr:sp>
        <xdr:sp macro="" textlink="">
          <xdr:nvSpPr>
            <xdr:cNvPr id="552" name="Shape 552" descr="6">
              <a:extLst>
                <a:ext uri="{FF2B5EF4-FFF2-40B4-BE49-F238E27FC236}">
                  <a16:creationId xmlns:a16="http://schemas.microsoft.com/office/drawing/2014/main" id="{00000000-0008-0000-0600-000028020000}"/>
                </a:ext>
              </a:extLst>
            </xdr:cNvPr>
            <xdr:cNvSpPr/>
          </xdr:nvSpPr>
          <xdr:spPr>
            <a:xfrm>
              <a:off x="622274" y="10103048"/>
              <a:ext cx="369206"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6</a:t>
              </a:r>
              <a:endParaRPr sz="1400"/>
            </a:p>
          </xdr:txBody>
        </xdr:sp>
        <xdr:sp macro="" textlink="">
          <xdr:nvSpPr>
            <xdr:cNvPr id="553" name="Shape 553" descr="You should see this in the Source box: =$F$32:$F$34. (If you don’t see that you can type it in.) Click OK">
              <a:extLst>
                <a:ext uri="{FF2B5EF4-FFF2-40B4-BE49-F238E27FC236}">
                  <a16:creationId xmlns:a16="http://schemas.microsoft.com/office/drawing/2014/main" id="{00000000-0008-0000-0600-000029020000}"/>
                </a:ext>
              </a:extLst>
            </xdr:cNvPr>
            <xdr:cNvSpPr txBox="1"/>
          </xdr:nvSpPr>
          <xdr:spPr>
            <a:xfrm>
              <a:off x="1026927" y="10644937"/>
              <a:ext cx="4809516" cy="525508"/>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rgbClr val="3F3F3F"/>
                  </a:solidFill>
                  <a:latin typeface="Quattrocento Sans"/>
                  <a:ea typeface="Quattrocento Sans"/>
                  <a:cs typeface="Quattrocento Sans"/>
                  <a:sym typeface="Quattrocento Sans"/>
                </a:rPr>
                <a:t>You should see this in the </a:t>
              </a:r>
              <a:r>
                <a:rPr lang="en-US" sz="1100" b="1">
                  <a:solidFill>
                    <a:srgbClr val="3F3F3F"/>
                  </a:solidFill>
                  <a:latin typeface="Quattrocento Sans"/>
                  <a:ea typeface="Quattrocento Sans"/>
                  <a:cs typeface="Quattrocento Sans"/>
                  <a:sym typeface="Quattrocento Sans"/>
                </a:rPr>
                <a:t>Source </a:t>
              </a:r>
              <a:r>
                <a:rPr lang="en-US" sz="1100">
                  <a:solidFill>
                    <a:srgbClr val="3F3F3F"/>
                  </a:solidFill>
                  <a:latin typeface="Quattrocento Sans"/>
                  <a:ea typeface="Quattrocento Sans"/>
                  <a:cs typeface="Quattrocento Sans"/>
                  <a:sym typeface="Quattrocento Sans"/>
                </a:rPr>
                <a:t>box: </a:t>
              </a:r>
              <a:r>
                <a:rPr lang="en-US" sz="1100" b="1">
                  <a:solidFill>
                    <a:srgbClr val="3F3F3F"/>
                  </a:solidFill>
                  <a:latin typeface="Quattrocento Sans"/>
                  <a:ea typeface="Quattrocento Sans"/>
                  <a:cs typeface="Quattrocento Sans"/>
                  <a:sym typeface="Quattrocento Sans"/>
                </a:rPr>
                <a:t>=$F$32:$F$34</a:t>
              </a:r>
              <a:r>
                <a:rPr lang="en-US" sz="1100">
                  <a:solidFill>
                    <a:srgbClr val="3F3F3F"/>
                  </a:solidFill>
                  <a:latin typeface="Quattrocento Sans"/>
                  <a:ea typeface="Quattrocento Sans"/>
                  <a:cs typeface="Quattrocento Sans"/>
                  <a:sym typeface="Quattrocento Sans"/>
                </a:rPr>
                <a:t>. (If you don’t see that you can type it in.) Click </a:t>
              </a:r>
              <a:r>
                <a:rPr lang="en-US" sz="1100" b="1">
                  <a:solidFill>
                    <a:srgbClr val="3F3F3F"/>
                  </a:solidFill>
                  <a:latin typeface="Quattrocento Sans"/>
                  <a:ea typeface="Quattrocento Sans"/>
                  <a:cs typeface="Quattrocento Sans"/>
                  <a:sym typeface="Quattrocento Sans"/>
                </a:rPr>
                <a:t>OK</a:t>
              </a:r>
              <a:r>
                <a:rPr lang="en-US" sz="1100">
                  <a:solidFill>
                    <a:srgbClr val="3F3F3F"/>
                  </a:solidFill>
                  <a:latin typeface="Quattrocento Sans"/>
                  <a:ea typeface="Quattrocento Sans"/>
                  <a:cs typeface="Quattrocento Sans"/>
                  <a:sym typeface="Quattrocento Sans"/>
                </a:rPr>
                <a:t>.</a:t>
              </a:r>
              <a:endParaRPr sz="1400"/>
            </a:p>
          </xdr:txBody>
        </xdr:sp>
        <xdr:sp macro="" textlink="">
          <xdr:nvSpPr>
            <xdr:cNvPr id="554" name="Shape 554" descr="7">
              <a:extLst>
                <a:ext uri="{FF2B5EF4-FFF2-40B4-BE49-F238E27FC236}">
                  <a16:creationId xmlns:a16="http://schemas.microsoft.com/office/drawing/2014/main" id="{00000000-0008-0000-0600-00002A020000}"/>
                </a:ext>
              </a:extLst>
            </xdr:cNvPr>
            <xdr:cNvSpPr/>
          </xdr:nvSpPr>
          <xdr:spPr>
            <a:xfrm>
              <a:off x="622274" y="10602438"/>
              <a:ext cx="369206"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7</a:t>
              </a:r>
              <a:endParaRPr sz="1400"/>
            </a:p>
          </xdr:txBody>
        </xdr:sp>
        <xdr:sp macro="" textlink="">
          <xdr:nvSpPr>
            <xdr:cNvPr id="555" name="Shape 555" descr="Ctrl key">
              <a:extLst>
                <a:ext uri="{FF2B5EF4-FFF2-40B4-BE49-F238E27FC236}">
                  <a16:creationId xmlns:a16="http://schemas.microsoft.com/office/drawing/2014/main" id="{00000000-0008-0000-0600-00002B020000}"/>
                </a:ext>
              </a:extLst>
            </xdr:cNvPr>
            <xdr:cNvSpPr/>
          </xdr:nvSpPr>
          <xdr:spPr>
            <a:xfrm>
              <a:off x="2782994" y="8171267"/>
              <a:ext cx="459442" cy="257175"/>
            </a:xfrm>
            <a:prstGeom prst="roundRect">
              <a:avLst>
                <a:gd name="adj" fmla="val 16667"/>
              </a:avLst>
            </a:prstGeom>
            <a:no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Quattrocento Sans"/>
                  <a:ea typeface="Quattrocento Sans"/>
                  <a:cs typeface="Quattrocento Sans"/>
                  <a:sym typeface="Quattrocento Sans"/>
                </a:rPr>
                <a:t>Ctrl</a:t>
              </a:r>
              <a:endParaRPr sz="800">
                <a:solidFill>
                  <a:schemeClr val="dk1"/>
                </a:solidFill>
                <a:latin typeface="Quattrocento Sans"/>
                <a:ea typeface="Quattrocento Sans"/>
                <a:cs typeface="Quattrocento Sans"/>
                <a:sym typeface="Quattrocento Sans"/>
              </a:endParaRPr>
            </a:p>
          </xdr:txBody>
        </xdr:sp>
        <xdr:sp macro="" textlink="">
          <xdr:nvSpPr>
            <xdr:cNvPr id="556" name="Shape 556" descr="T key">
              <a:extLst>
                <a:ext uri="{FF2B5EF4-FFF2-40B4-BE49-F238E27FC236}">
                  <a16:creationId xmlns:a16="http://schemas.microsoft.com/office/drawing/2014/main" id="{00000000-0008-0000-0600-00002C020000}"/>
                </a:ext>
              </a:extLst>
            </xdr:cNvPr>
            <xdr:cNvSpPr/>
          </xdr:nvSpPr>
          <xdr:spPr>
            <a:xfrm>
              <a:off x="3327396" y="8171267"/>
              <a:ext cx="466658" cy="257175"/>
            </a:xfrm>
            <a:prstGeom prst="roundRect">
              <a:avLst>
                <a:gd name="adj" fmla="val 16667"/>
              </a:avLst>
            </a:prstGeom>
            <a:no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Quattrocento Sans"/>
                  <a:ea typeface="Quattrocento Sans"/>
                  <a:cs typeface="Quattrocento Sans"/>
                  <a:sym typeface="Quattrocento Sans"/>
                </a:rPr>
                <a:t>T</a:t>
              </a:r>
              <a:endParaRPr sz="1400"/>
            </a:p>
          </xdr:txBody>
        </xdr:sp>
        <xdr:pic>
          <xdr:nvPicPr>
            <xdr:cNvPr id="557" name="Shape 557" descr="Edit reference button">
              <a:extLst>
                <a:ext uri="{FF2B5EF4-FFF2-40B4-BE49-F238E27FC236}">
                  <a16:creationId xmlns:a16="http://schemas.microsoft.com/office/drawing/2014/main" id="{00000000-0008-0000-0600-00002D020000}"/>
                </a:ext>
              </a:extLst>
            </xdr:cNvPr>
            <xdr:cNvPicPr preferRelativeResize="0"/>
          </xdr:nvPicPr>
          <xdr:blipFill rotWithShape="1">
            <a:blip xmlns:r="http://schemas.openxmlformats.org/officeDocument/2006/relationships" r:embed="rId2">
              <a:alphaModFix/>
            </a:blip>
            <a:srcRect l="14712" t="24591" r="18206" b="23983"/>
            <a:stretch/>
          </xdr:blipFill>
          <xdr:spPr>
            <a:xfrm>
              <a:off x="4814947" y="9713463"/>
              <a:ext cx="204439" cy="181207"/>
            </a:xfrm>
            <a:prstGeom prst="rect">
              <a:avLst/>
            </a:prstGeom>
            <a:noFill/>
            <a:ln>
              <a:noFill/>
            </a:ln>
          </xdr:spPr>
        </xdr:pic>
        <xdr:pic>
          <xdr:nvPicPr>
            <xdr:cNvPr id="558" name="Shape 558" descr="Close reference edit">
              <a:extLst>
                <a:ext uri="{FF2B5EF4-FFF2-40B4-BE49-F238E27FC236}">
                  <a16:creationId xmlns:a16="http://schemas.microsoft.com/office/drawing/2014/main" id="{00000000-0008-0000-0600-00002E020000}"/>
                </a:ext>
              </a:extLst>
            </xdr:cNvPr>
            <xdr:cNvPicPr preferRelativeResize="0"/>
          </xdr:nvPicPr>
          <xdr:blipFill rotWithShape="1">
            <a:blip xmlns:r="http://schemas.openxmlformats.org/officeDocument/2006/relationships" r:embed="rId3">
              <a:alphaModFix/>
            </a:blip>
            <a:srcRect l="20783" t="7696" r="13466" b="19959"/>
            <a:stretch/>
          </xdr:blipFill>
          <xdr:spPr>
            <a:xfrm>
              <a:off x="3880528" y="10379544"/>
              <a:ext cx="206644" cy="184043"/>
            </a:xfrm>
            <a:prstGeom prst="rect">
              <a:avLst/>
            </a:prstGeom>
            <a:noFill/>
            <a:ln>
              <a:noFill/>
            </a:ln>
          </xdr:spPr>
        </xdr:pic>
      </xdr:grpSp>
    </xdr:grpSp>
    <xdr:clientData fLocksWithSheet="0"/>
  </xdr:oneCellAnchor>
  <xdr:oneCellAnchor>
    <xdr:from>
      <xdr:col>4</xdr:col>
      <xdr:colOff>657225</xdr:colOff>
      <xdr:row>33</xdr:row>
      <xdr:rowOff>85725</xdr:rowOff>
    </xdr:from>
    <xdr:ext cx="2447925" cy="1866900"/>
    <xdr:grpSp>
      <xdr:nvGrpSpPr>
        <xdr:cNvPr id="6" name="Shape 2">
          <a:extLst>
            <a:ext uri="{FF2B5EF4-FFF2-40B4-BE49-F238E27FC236}">
              <a16:creationId xmlns:a16="http://schemas.microsoft.com/office/drawing/2014/main" id="{00000000-0008-0000-0600-000006000000}"/>
            </a:ext>
          </a:extLst>
        </xdr:cNvPr>
        <xdr:cNvGrpSpPr/>
      </xdr:nvGrpSpPr>
      <xdr:grpSpPr>
        <a:xfrm>
          <a:off x="8591550" y="6962775"/>
          <a:ext cx="2447925" cy="1866900"/>
          <a:chOff x="4122037" y="2664015"/>
          <a:chExt cx="2447925" cy="2049435"/>
        </a:xfrm>
      </xdr:grpSpPr>
      <xdr:grpSp>
        <xdr:nvGrpSpPr>
          <xdr:cNvPr id="559" name="Shape 559" descr="EXPERT TIP&#10;Often people put their validation lists like this out of the way on another sheet. That way others won't be tempted to change the list">
            <a:extLst>
              <a:ext uri="{FF2B5EF4-FFF2-40B4-BE49-F238E27FC236}">
                <a16:creationId xmlns:a16="http://schemas.microsoft.com/office/drawing/2014/main" id="{00000000-0008-0000-0600-00002F020000}"/>
              </a:ext>
            </a:extLst>
          </xdr:cNvPr>
          <xdr:cNvGrpSpPr/>
        </xdr:nvGrpSpPr>
        <xdr:grpSpPr>
          <a:xfrm>
            <a:off x="4122037" y="2664015"/>
            <a:ext cx="2447925" cy="2049435"/>
            <a:chOff x="8591550" y="7189088"/>
            <a:chExt cx="2447924" cy="2040638"/>
          </a:xfrm>
        </xdr:grpSpPr>
        <xdr:sp macro="" textlink="">
          <xdr:nvSpPr>
            <xdr:cNvPr id="7" name="Shape 4">
              <a:extLst>
                <a:ext uri="{FF2B5EF4-FFF2-40B4-BE49-F238E27FC236}">
                  <a16:creationId xmlns:a16="http://schemas.microsoft.com/office/drawing/2014/main" id="{00000000-0008-0000-0600-000007000000}"/>
                </a:ext>
              </a:extLst>
            </xdr:cNvPr>
            <xdr:cNvSpPr/>
          </xdr:nvSpPr>
          <xdr:spPr>
            <a:xfrm>
              <a:off x="8591550" y="7370839"/>
              <a:ext cx="2447900" cy="1858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60" name="Shape 560" descr="Arrow">
              <a:extLst>
                <a:ext uri="{FF2B5EF4-FFF2-40B4-BE49-F238E27FC236}">
                  <a16:creationId xmlns:a16="http://schemas.microsoft.com/office/drawing/2014/main" id="{00000000-0008-0000-0600-000030020000}"/>
                </a:ext>
              </a:extLst>
            </xdr:cNvPr>
            <xdr:cNvSpPr/>
          </xdr:nvSpPr>
          <xdr:spPr>
            <a:xfrm rot="1202673">
              <a:off x="9177569" y="7370839"/>
              <a:ext cx="1207772" cy="833071"/>
            </a:xfrm>
            <a:prstGeom prst="arc">
              <a:avLst>
                <a:gd name="adj1" fmla="val 14387296"/>
                <a:gd name="adj2" fmla="val 3629369"/>
              </a:avLst>
            </a:prstGeom>
            <a:noFill/>
            <a:ln w="19050" cap="flat" cmpd="sng">
              <a:solidFill>
                <a:srgbClr val="F4B081"/>
              </a:solidFill>
              <a:prstDash val="solid"/>
              <a:round/>
              <a:headEnd type="triangle" w="med" len="med"/>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pic>
          <xdr:nvPicPr>
            <xdr:cNvPr id="561" name="Shape 561" descr="Owl">
              <a:extLst>
                <a:ext uri="{FF2B5EF4-FFF2-40B4-BE49-F238E27FC236}">
                  <a16:creationId xmlns:a16="http://schemas.microsoft.com/office/drawing/2014/main" id="{00000000-0008-0000-0600-000031020000}"/>
                </a:ext>
              </a:extLst>
            </xdr:cNvPr>
            <xdr:cNvPicPr preferRelativeResize="0"/>
          </xdr:nvPicPr>
          <xdr:blipFill rotWithShape="1">
            <a:blip xmlns:r="http://schemas.openxmlformats.org/officeDocument/2006/relationships" r:embed="rId4">
              <a:alphaModFix/>
            </a:blip>
            <a:srcRect/>
            <a:stretch/>
          </xdr:blipFill>
          <xdr:spPr>
            <a:xfrm>
              <a:off x="8591550" y="8075784"/>
              <a:ext cx="444647" cy="444647"/>
            </a:xfrm>
            <a:prstGeom prst="rect">
              <a:avLst/>
            </a:prstGeom>
            <a:noFill/>
            <a:ln>
              <a:noFill/>
            </a:ln>
          </xdr:spPr>
        </xdr:pic>
        <xdr:sp macro="" textlink="">
          <xdr:nvSpPr>
            <xdr:cNvPr id="562" name="Shape 562" descr="EXPERT TIP&#10;Often people put their validation lists like this out of the way on another sheet. That way others won't be tempted to change the list">
              <a:extLst>
                <a:ext uri="{FF2B5EF4-FFF2-40B4-BE49-F238E27FC236}">
                  <a16:creationId xmlns:a16="http://schemas.microsoft.com/office/drawing/2014/main" id="{00000000-0008-0000-0600-000032020000}"/>
                </a:ext>
              </a:extLst>
            </xdr:cNvPr>
            <xdr:cNvSpPr txBox="1"/>
          </xdr:nvSpPr>
          <xdr:spPr>
            <a:xfrm>
              <a:off x="8924927" y="8048625"/>
              <a:ext cx="2114547" cy="11811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200" b="1">
                  <a:solidFill>
                    <a:srgbClr val="F4B081"/>
                  </a:solidFill>
                  <a:latin typeface="Quattrocento Sans"/>
                  <a:ea typeface="Quattrocento Sans"/>
                  <a:cs typeface="Quattrocento Sans"/>
                  <a:sym typeface="Quattrocento Sans"/>
                </a:rPr>
                <a:t>EXPERT TIP</a:t>
              </a:r>
              <a:endParaRPr sz="1200" b="1">
                <a:solidFill>
                  <a:srgbClr val="F4B081"/>
                </a:solidFill>
                <a:latin typeface="Quattrocento Sans"/>
                <a:ea typeface="Quattrocento Sans"/>
                <a:cs typeface="Quattrocento Sans"/>
                <a:sym typeface="Quattrocento Sans"/>
              </a:endParaRPr>
            </a:p>
            <a:p>
              <a:pPr marL="0" lvl="0" indent="0" algn="l" rtl="0">
                <a:spcBef>
                  <a:spcPts val="0"/>
                </a:spcBef>
                <a:spcAft>
                  <a:spcPts val="0"/>
                </a:spcAft>
                <a:buNone/>
              </a:pPr>
              <a:r>
                <a:rPr lang="en-US" sz="1100">
                  <a:solidFill>
                    <a:srgbClr val="3A3838"/>
                  </a:solidFill>
                  <a:latin typeface="Calibri"/>
                  <a:ea typeface="Calibri"/>
                  <a:cs typeface="Calibri"/>
                  <a:sym typeface="Calibri"/>
                </a:rPr>
                <a:t>Often people put their validation lists like this out of the way on another sheet. That way others won't be tempted to change the list.</a:t>
              </a:r>
              <a:endParaRPr sz="1100">
                <a:solidFill>
                  <a:srgbClr val="3A3838"/>
                </a:solidFill>
              </a:endParaRPr>
            </a:p>
          </xdr:txBody>
        </xdr:sp>
      </xdr:grpSp>
    </xdr:grpSp>
    <xdr:clientData fLocksWithSheet="0"/>
  </xdr:oneCellAnchor>
  <xdr:oneCellAnchor>
    <xdr:from>
      <xdr:col>4</xdr:col>
      <xdr:colOff>638175</xdr:colOff>
      <xdr:row>1</xdr:row>
      <xdr:rowOff>85725</xdr:rowOff>
    </xdr:from>
    <xdr:ext cx="2638425" cy="2686050"/>
    <xdr:grpSp>
      <xdr:nvGrpSpPr>
        <xdr:cNvPr id="8" name="Shape 2">
          <a:extLst>
            <a:ext uri="{FF2B5EF4-FFF2-40B4-BE49-F238E27FC236}">
              <a16:creationId xmlns:a16="http://schemas.microsoft.com/office/drawing/2014/main" id="{00000000-0008-0000-0600-000008000000}"/>
            </a:ext>
          </a:extLst>
        </xdr:cNvPr>
        <xdr:cNvGrpSpPr/>
      </xdr:nvGrpSpPr>
      <xdr:grpSpPr>
        <a:xfrm>
          <a:off x="8572500" y="847725"/>
          <a:ext cx="2638425" cy="2686050"/>
          <a:chOff x="4026788" y="2436975"/>
          <a:chExt cx="2638425" cy="2686050"/>
        </a:xfrm>
      </xdr:grpSpPr>
      <xdr:grpSp>
        <xdr:nvGrpSpPr>
          <xdr:cNvPr id="563" name="Shape 563" descr="GOOD TO KNOW&#10;Drop-down lists help ensure people enter valid data. So it makes sense that drop-downs are a part of a larger group of features known as data validation. &#10;&#10;There are other data validation methods. For example, you can restrict entry to whole numbers, dates, or even minimum and maximum amounts. There are many options available, and you can read more about them by clicking the link at the bottom of this sheet&#10;">
            <a:extLst>
              <a:ext uri="{FF2B5EF4-FFF2-40B4-BE49-F238E27FC236}">
                <a16:creationId xmlns:a16="http://schemas.microsoft.com/office/drawing/2014/main" id="{00000000-0008-0000-0600-000033020000}"/>
              </a:ext>
            </a:extLst>
          </xdr:cNvPr>
          <xdr:cNvGrpSpPr/>
        </xdr:nvGrpSpPr>
        <xdr:grpSpPr>
          <a:xfrm>
            <a:off x="4026788" y="2436975"/>
            <a:ext cx="2638425" cy="2686050"/>
            <a:chOff x="8572500" y="847725"/>
            <a:chExt cx="2495550" cy="2933700"/>
          </a:xfrm>
        </xdr:grpSpPr>
        <xdr:sp macro="" textlink="">
          <xdr:nvSpPr>
            <xdr:cNvPr id="9" name="Shape 4">
              <a:extLst>
                <a:ext uri="{FF2B5EF4-FFF2-40B4-BE49-F238E27FC236}">
                  <a16:creationId xmlns:a16="http://schemas.microsoft.com/office/drawing/2014/main" id="{00000000-0008-0000-0600-000009000000}"/>
                </a:ext>
              </a:extLst>
            </xdr:cNvPr>
            <xdr:cNvSpPr/>
          </xdr:nvSpPr>
          <xdr:spPr>
            <a:xfrm>
              <a:off x="8572500" y="847725"/>
              <a:ext cx="2495550" cy="29337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64" name="Shape 564" descr="GOOD TO KNOW&#10;Drop-down lists help ensure people enter valid data. So it makes sense that drop-downs are a part of a larger group of features known as data validation. &#10;&#10;There are other data validation methods. For example, you can restrict entry to whole numbers, dates, or even minimum and maximum amounts. There are many options available, and you can read more about them by clicking the link at the bottom of this sheet">
              <a:extLst>
                <a:ext uri="{FF2B5EF4-FFF2-40B4-BE49-F238E27FC236}">
                  <a16:creationId xmlns:a16="http://schemas.microsoft.com/office/drawing/2014/main" id="{00000000-0008-0000-0600-000034020000}"/>
                </a:ext>
              </a:extLst>
            </xdr:cNvPr>
            <xdr:cNvSpPr txBox="1"/>
          </xdr:nvSpPr>
          <xdr:spPr>
            <a:xfrm>
              <a:off x="8886093" y="882732"/>
              <a:ext cx="2181957" cy="2898693"/>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200" b="1">
                  <a:solidFill>
                    <a:srgbClr val="F4B081"/>
                  </a:solidFill>
                  <a:latin typeface="Quattrocento Sans"/>
                  <a:ea typeface="Quattrocento Sans"/>
                  <a:cs typeface="Quattrocento Sans"/>
                  <a:sym typeface="Quattrocento Sans"/>
                </a:rPr>
                <a:t>GOOD TO KNOW</a:t>
              </a:r>
              <a:endParaRPr sz="1200" b="1">
                <a:solidFill>
                  <a:srgbClr val="F4B081"/>
                </a:solidFill>
                <a:latin typeface="Quattrocento Sans"/>
                <a:ea typeface="Quattrocento Sans"/>
                <a:cs typeface="Quattrocento Sans"/>
                <a:sym typeface="Quattrocento Sans"/>
              </a:endParaRPr>
            </a:p>
            <a:p>
              <a:pPr marL="0" lvl="0" indent="0" algn="l" rtl="0">
                <a:spcBef>
                  <a:spcPts val="0"/>
                </a:spcBef>
                <a:spcAft>
                  <a:spcPts val="0"/>
                </a:spcAft>
                <a:buNone/>
              </a:pPr>
              <a:r>
                <a:rPr lang="en-US" sz="1100">
                  <a:solidFill>
                    <a:srgbClr val="3A3838"/>
                  </a:solidFill>
                  <a:latin typeface="Calibri"/>
                  <a:ea typeface="Calibri"/>
                  <a:cs typeface="Calibri"/>
                  <a:sym typeface="Calibri"/>
                </a:rPr>
                <a:t>Drop-down lists help ensure people enter valid data. So it makes sense that drop-downs are a part of a larger group of features known as </a:t>
              </a:r>
              <a:r>
                <a:rPr lang="en-US" sz="1100" b="1">
                  <a:solidFill>
                    <a:srgbClr val="3A3838"/>
                  </a:solidFill>
                  <a:latin typeface="Calibri"/>
                  <a:ea typeface="Calibri"/>
                  <a:cs typeface="Calibri"/>
                  <a:sym typeface="Calibri"/>
                </a:rPr>
                <a:t>data validation</a:t>
              </a:r>
              <a:r>
                <a:rPr lang="en-US" sz="1100">
                  <a:solidFill>
                    <a:srgbClr val="3A3838"/>
                  </a:solidFill>
                  <a:latin typeface="Calibri"/>
                  <a:ea typeface="Calibri"/>
                  <a:cs typeface="Calibri"/>
                  <a:sym typeface="Calibri"/>
                </a:rPr>
                <a:t>. </a:t>
              </a:r>
              <a:endParaRPr sz="1400"/>
            </a:p>
            <a:p>
              <a:pPr marL="0" lvl="0" indent="0" algn="l" rtl="0">
                <a:spcBef>
                  <a:spcPts val="0"/>
                </a:spcBef>
                <a:spcAft>
                  <a:spcPts val="0"/>
                </a:spcAft>
                <a:buNone/>
              </a:pPr>
              <a:endParaRPr sz="1100">
                <a:solidFill>
                  <a:srgbClr val="3A3838"/>
                </a:solidFill>
              </a:endParaRPr>
            </a:p>
            <a:p>
              <a:pPr marL="0" lvl="0" indent="0" algn="l" rtl="0">
                <a:spcBef>
                  <a:spcPts val="0"/>
                </a:spcBef>
                <a:spcAft>
                  <a:spcPts val="0"/>
                </a:spcAft>
                <a:buNone/>
              </a:pPr>
              <a:r>
                <a:rPr lang="en-US" sz="1100">
                  <a:solidFill>
                    <a:srgbClr val="3A3838"/>
                  </a:solidFill>
                  <a:latin typeface="Calibri"/>
                  <a:ea typeface="Calibri"/>
                  <a:cs typeface="Calibri"/>
                  <a:sym typeface="Calibri"/>
                </a:rPr>
                <a:t>There are other data validation methods. For example, you can restrict entry to whole numbers, dates, or even minimum and maximum amounts. There are many options available, and you can read more about them by clicking the link at the bottom of this sheet.</a:t>
              </a:r>
              <a:endParaRPr sz="1100">
                <a:solidFill>
                  <a:srgbClr val="3A3838"/>
                </a:solidFill>
              </a:endParaRPr>
            </a:p>
          </xdr:txBody>
        </xdr:sp>
        <xdr:pic>
          <xdr:nvPicPr>
            <xdr:cNvPr id="565" name="Shape 565" descr="Glasses">
              <a:extLst>
                <a:ext uri="{FF2B5EF4-FFF2-40B4-BE49-F238E27FC236}">
                  <a16:creationId xmlns:a16="http://schemas.microsoft.com/office/drawing/2014/main" id="{00000000-0008-0000-0600-000035020000}"/>
                </a:ext>
              </a:extLst>
            </xdr:cNvPr>
            <xdr:cNvPicPr preferRelativeResize="0"/>
          </xdr:nvPicPr>
          <xdr:blipFill rotWithShape="1">
            <a:blip xmlns:r="http://schemas.openxmlformats.org/officeDocument/2006/relationships" r:embed="rId5">
              <a:alphaModFix/>
            </a:blip>
            <a:srcRect/>
            <a:stretch/>
          </xdr:blipFill>
          <xdr:spPr>
            <a:xfrm>
              <a:off x="8572500" y="847725"/>
              <a:ext cx="352533" cy="364990"/>
            </a:xfrm>
            <a:prstGeom prst="rect">
              <a:avLst/>
            </a:prstGeom>
            <a:noFill/>
            <a:ln>
              <a:noFill/>
            </a:ln>
          </xdr:spPr>
        </xdr:pic>
      </xdr:grpSp>
    </xdr:grpSp>
    <xdr:clientData fLocksWithSheet="0"/>
  </xdr:oneCellAnchor>
  <xdr:oneCellAnchor>
    <xdr:from>
      <xdr:col>0</xdr:col>
      <xdr:colOff>390525</xdr:colOff>
      <xdr:row>59</xdr:row>
      <xdr:rowOff>9525</xdr:rowOff>
    </xdr:from>
    <xdr:ext cx="5695950" cy="3105150"/>
    <xdr:grpSp>
      <xdr:nvGrpSpPr>
        <xdr:cNvPr id="10" name="Shape 2">
          <a:extLst>
            <a:ext uri="{FF2B5EF4-FFF2-40B4-BE49-F238E27FC236}">
              <a16:creationId xmlns:a16="http://schemas.microsoft.com/office/drawing/2014/main" id="{00000000-0008-0000-0600-00000A000000}"/>
            </a:ext>
          </a:extLst>
        </xdr:cNvPr>
        <xdr:cNvGrpSpPr/>
      </xdr:nvGrpSpPr>
      <xdr:grpSpPr>
        <a:xfrm>
          <a:off x="390525" y="11858625"/>
          <a:ext cx="5695950" cy="3105150"/>
          <a:chOff x="2498025" y="2227425"/>
          <a:chExt cx="5695950" cy="3105150"/>
        </a:xfrm>
      </xdr:grpSpPr>
      <xdr:grpSp>
        <xdr:nvGrpSpPr>
          <xdr:cNvPr id="566" name="Shape 566" descr="More information on the web, contains links to the web&#10;Back to top&#10;Next step">
            <a:extLst>
              <a:ext uri="{FF2B5EF4-FFF2-40B4-BE49-F238E27FC236}">
                <a16:creationId xmlns:a16="http://schemas.microsoft.com/office/drawing/2014/main" id="{00000000-0008-0000-0600-000036020000}"/>
              </a:ext>
            </a:extLst>
          </xdr:cNvPr>
          <xdr:cNvGrpSpPr/>
        </xdr:nvGrpSpPr>
        <xdr:grpSpPr>
          <a:xfrm>
            <a:off x="2498025" y="2227425"/>
            <a:ext cx="5695950" cy="3105150"/>
            <a:chOff x="390525" y="12239625"/>
            <a:chExt cx="5695950" cy="3005750"/>
          </a:xfrm>
        </xdr:grpSpPr>
        <xdr:sp macro="" textlink="">
          <xdr:nvSpPr>
            <xdr:cNvPr id="11" name="Shape 4">
              <a:extLst>
                <a:ext uri="{FF2B5EF4-FFF2-40B4-BE49-F238E27FC236}">
                  <a16:creationId xmlns:a16="http://schemas.microsoft.com/office/drawing/2014/main" id="{00000000-0008-0000-0600-00000B000000}"/>
                </a:ext>
              </a:extLst>
            </xdr:cNvPr>
            <xdr:cNvSpPr/>
          </xdr:nvSpPr>
          <xdr:spPr>
            <a:xfrm>
              <a:off x="390525" y="12239625"/>
              <a:ext cx="5695950" cy="30057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67" name="Shape 567" descr="Background">
              <a:extLst>
                <a:ext uri="{FF2B5EF4-FFF2-40B4-BE49-F238E27FC236}">
                  <a16:creationId xmlns:a16="http://schemas.microsoft.com/office/drawing/2014/main" id="{00000000-0008-0000-0600-000037020000}"/>
                </a:ext>
              </a:extLst>
            </xdr:cNvPr>
            <xdr:cNvSpPr/>
          </xdr:nvSpPr>
          <xdr:spPr>
            <a:xfrm>
              <a:off x="390525" y="12239625"/>
              <a:ext cx="5695950" cy="3005750"/>
            </a:xfrm>
            <a:prstGeom prst="rect">
              <a:avLst/>
            </a:prstGeom>
            <a:solidFill>
              <a:srgbClr val="F5F5F5"/>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568" name="Shape 568" descr="More information on the web">
              <a:extLst>
                <a:ext uri="{FF2B5EF4-FFF2-40B4-BE49-F238E27FC236}">
                  <a16:creationId xmlns:a16="http://schemas.microsoft.com/office/drawing/2014/main" id="{00000000-0008-0000-0600-000038020000}"/>
                </a:ext>
              </a:extLst>
            </xdr:cNvPr>
            <xdr:cNvSpPr txBox="1"/>
          </xdr:nvSpPr>
          <xdr:spPr>
            <a:xfrm>
              <a:off x="622273" y="12358322"/>
              <a:ext cx="5216551" cy="490903"/>
            </a:xfrm>
            <a:prstGeom prst="rect">
              <a:avLst/>
            </a:prstGeom>
            <a:noFill/>
            <a:ln>
              <a:noFill/>
            </a:ln>
          </xdr:spPr>
          <xdr:txBody>
            <a:bodyPr spcFirstLastPara="1" wrap="square" lIns="0" tIns="45700" rIns="0" bIns="45700" anchor="t" anchorCtr="0">
              <a:noAutofit/>
            </a:bodyPr>
            <a:lstStyle/>
            <a:p>
              <a:pPr marL="0" marR="0" lvl="0" indent="0" algn="l" rtl="0">
                <a:lnSpc>
                  <a:spcPct val="100000"/>
                </a:lnSpc>
                <a:spcBef>
                  <a:spcPts val="0"/>
                </a:spcBef>
                <a:spcAft>
                  <a:spcPts val="0"/>
                </a:spcAft>
                <a:buClr>
                  <a:srgbClr val="3A3838"/>
                </a:buClr>
                <a:buSzPts val="2200"/>
                <a:buFont typeface="Quattrocento Sans"/>
                <a:buNone/>
              </a:pPr>
              <a:r>
                <a:rPr lang="en-US" sz="2200" b="0" i="0" u="none" strike="noStrike" cap="none">
                  <a:solidFill>
                    <a:srgbClr val="3A3838"/>
                  </a:solidFill>
                  <a:latin typeface="Quattrocento Sans"/>
                  <a:ea typeface="Quattrocento Sans"/>
                  <a:cs typeface="Quattrocento Sans"/>
                  <a:sym typeface="Quattrocento Sans"/>
                </a:rPr>
                <a:t>More information on the web</a:t>
              </a:r>
              <a:endParaRPr sz="2200" b="0">
                <a:solidFill>
                  <a:srgbClr val="3A3838"/>
                </a:solidFill>
                <a:latin typeface="Quattrocento Sans"/>
                <a:ea typeface="Quattrocento Sans"/>
                <a:cs typeface="Quattrocento Sans"/>
                <a:sym typeface="Quattrocento Sans"/>
              </a:endParaRPr>
            </a:p>
          </xdr:txBody>
        </xdr:sp>
        <xdr:cxnSp macro="">
          <xdr:nvCxnSpPr>
            <xdr:cNvPr id="569" name="Shape 569" descr="Decorative line">
              <a:extLst>
                <a:ext uri="{FF2B5EF4-FFF2-40B4-BE49-F238E27FC236}">
                  <a16:creationId xmlns:a16="http://schemas.microsoft.com/office/drawing/2014/main" id="{00000000-0008-0000-0600-000039020000}"/>
                </a:ext>
              </a:extLst>
            </xdr:cNvPr>
            <xdr:cNvCxnSpPr/>
          </xdr:nvCxnSpPr>
          <xdr:spPr>
            <a:xfrm>
              <a:off x="625449" y="12865735"/>
              <a:ext cx="5213376" cy="0"/>
            </a:xfrm>
            <a:prstGeom prst="straightConnector1">
              <a:avLst/>
            </a:prstGeom>
            <a:noFill/>
            <a:ln w="25400" cap="flat" cmpd="sng">
              <a:solidFill>
                <a:srgbClr val="217346"/>
              </a:solidFill>
              <a:prstDash val="solid"/>
              <a:round/>
              <a:headEnd type="none" w="sm" len="sm"/>
              <a:tailEnd type="none" w="sm" len="sm"/>
            </a:ln>
          </xdr:spPr>
        </xdr:cxnSp>
        <xdr:sp macro="" textlink="">
          <xdr:nvSpPr>
            <xdr:cNvPr id="570" name="Shape 570" descr="Back to top, hyperlinked to cell A1">
              <a:hlinkClick xmlns:r="http://schemas.openxmlformats.org/officeDocument/2006/relationships" r:id="rId6"/>
              <a:extLst>
                <a:ext uri="{FF2B5EF4-FFF2-40B4-BE49-F238E27FC236}">
                  <a16:creationId xmlns:a16="http://schemas.microsoft.com/office/drawing/2014/main" id="{00000000-0008-0000-0600-00003A020000}"/>
                </a:ext>
              </a:extLst>
            </xdr:cNvPr>
            <xdr:cNvSpPr/>
          </xdr:nvSpPr>
          <xdr:spPr>
            <a:xfrm>
              <a:off x="625449" y="14409727"/>
              <a:ext cx="2723067" cy="536454"/>
            </a:xfrm>
            <a:prstGeom prst="upArrowCallout">
              <a:avLst>
                <a:gd name="adj1" fmla="val 25000"/>
                <a:gd name="adj2" fmla="val 25000"/>
                <a:gd name="adj3" fmla="val 25000"/>
                <a:gd name="adj4" fmla="val 64977"/>
              </a:avLst>
            </a:prstGeom>
            <a:solidFill>
              <a:srgbClr val="D8D8D8"/>
            </a:solidFill>
            <a:ln w="12700" cap="flat" cmpd="sng">
              <a:solidFill>
                <a:srgbClr val="0B744D">
                  <a:alpha val="49803"/>
                </a:srgb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a:solidFill>
                    <a:srgbClr val="0B744D"/>
                  </a:solidFill>
                  <a:latin typeface="Quattrocento Sans"/>
                  <a:ea typeface="Quattrocento Sans"/>
                  <a:cs typeface="Quattrocento Sans"/>
                  <a:sym typeface="Quattrocento Sans"/>
                </a:rPr>
                <a:t>Back to top</a:t>
              </a:r>
              <a:endParaRPr sz="1400"/>
            </a:p>
          </xdr:txBody>
        </xdr:sp>
        <xdr:cxnSp macro="">
          <xdr:nvCxnSpPr>
            <xdr:cNvPr id="571" name="Shape 571" descr="Decorative line">
              <a:extLst>
                <a:ext uri="{FF2B5EF4-FFF2-40B4-BE49-F238E27FC236}">
                  <a16:creationId xmlns:a16="http://schemas.microsoft.com/office/drawing/2014/main" id="{00000000-0008-0000-0600-00003B020000}"/>
                </a:ext>
              </a:extLst>
            </xdr:cNvPr>
            <xdr:cNvCxnSpPr/>
          </xdr:nvCxnSpPr>
          <xdr:spPr>
            <a:xfrm>
              <a:off x="625449" y="14164375"/>
              <a:ext cx="5213376" cy="0"/>
            </a:xfrm>
            <a:prstGeom prst="straightConnector1">
              <a:avLst/>
            </a:prstGeom>
            <a:noFill/>
            <a:ln w="25400" cap="flat" cmpd="sng">
              <a:solidFill>
                <a:srgbClr val="217346"/>
              </a:solidFill>
              <a:prstDash val="solid"/>
              <a:round/>
              <a:headEnd type="none" w="sm" len="sm"/>
              <a:tailEnd type="none" w="sm" len="sm"/>
            </a:ln>
          </xdr:spPr>
        </xdr:cxnSp>
        <xdr:sp macro="" textlink="">
          <xdr:nvSpPr>
            <xdr:cNvPr id="572" name="Shape 572" descr="Next step button, hyperlinked to next sheet">
              <a:hlinkClick xmlns:r="http://schemas.openxmlformats.org/officeDocument/2006/relationships" r:id="rId1"/>
              <a:extLst>
                <a:ext uri="{FF2B5EF4-FFF2-40B4-BE49-F238E27FC236}">
                  <a16:creationId xmlns:a16="http://schemas.microsoft.com/office/drawing/2014/main" id="{00000000-0008-0000-0600-00003C020000}"/>
                </a:ext>
              </a:extLst>
            </xdr:cNvPr>
            <xdr:cNvSpPr/>
          </xdr:nvSpPr>
          <xdr:spPr>
            <a:xfrm>
              <a:off x="4684395" y="14600227"/>
              <a:ext cx="1154430" cy="348492"/>
            </a:xfrm>
            <a:prstGeom prst="rightArrowCallout">
              <a:avLst>
                <a:gd name="adj1" fmla="val 32829"/>
                <a:gd name="adj2" fmla="val 31524"/>
                <a:gd name="adj3" fmla="val 25000"/>
                <a:gd name="adj4" fmla="val 86357"/>
              </a:avLst>
            </a:prstGeom>
            <a:solidFill>
              <a:schemeClr val="lt1"/>
            </a:solidFill>
            <a:ln w="12700" cap="flat" cmpd="sng">
              <a:solidFill>
                <a:srgbClr val="0B744D"/>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a:solidFill>
                    <a:srgbClr val="0B744D"/>
                  </a:solidFill>
                  <a:latin typeface="Quattrocento Sans"/>
                  <a:ea typeface="Quattrocento Sans"/>
                  <a:cs typeface="Quattrocento Sans"/>
                  <a:sym typeface="Quattrocento Sans"/>
                </a:rPr>
                <a:t>Next step</a:t>
              </a:r>
              <a:endParaRPr sz="1400"/>
            </a:p>
          </xdr:txBody>
        </xdr:sp>
        <xdr:sp macro="" textlink="">
          <xdr:nvSpPr>
            <xdr:cNvPr id="573" name="Shape 573" descr="Apply data validation to cells, hyperlinked to web">
              <a:hlinkClick xmlns:r="http://schemas.openxmlformats.org/officeDocument/2006/relationships" r:id="rId7"/>
              <a:extLst>
                <a:ext uri="{FF2B5EF4-FFF2-40B4-BE49-F238E27FC236}">
                  <a16:creationId xmlns:a16="http://schemas.microsoft.com/office/drawing/2014/main" id="{00000000-0008-0000-0600-00003D020000}"/>
                </a:ext>
              </a:extLst>
            </xdr:cNvPr>
            <xdr:cNvSpPr txBox="1"/>
          </xdr:nvSpPr>
          <xdr:spPr>
            <a:xfrm>
              <a:off x="1029308" y="13034473"/>
              <a:ext cx="2132992" cy="310052"/>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u="sng">
                  <a:solidFill>
                    <a:srgbClr val="3F3F3F"/>
                  </a:solidFill>
                  <a:latin typeface="Quattrocento Sans"/>
                  <a:ea typeface="Quattrocento Sans"/>
                  <a:cs typeface="Quattrocento Sans"/>
                  <a:sym typeface="Quattrocento Sans"/>
                </a:rPr>
                <a:t>Apply data validation to cells</a:t>
              </a:r>
              <a:endParaRPr sz="1400"/>
            </a:p>
          </xdr:txBody>
        </xdr:sp>
        <xdr:pic>
          <xdr:nvPicPr>
            <xdr:cNvPr id="574" name="Shape 574" descr="Arrow">
              <a:hlinkClick xmlns:r="http://schemas.openxmlformats.org/officeDocument/2006/relationships" r:id="rId7"/>
              <a:extLst>
                <a:ext uri="{FF2B5EF4-FFF2-40B4-BE49-F238E27FC236}">
                  <a16:creationId xmlns:a16="http://schemas.microsoft.com/office/drawing/2014/main" id="{00000000-0008-0000-0600-00003E020000}"/>
                </a:ext>
              </a:extLst>
            </xdr:cNvPr>
            <xdr:cNvPicPr preferRelativeResize="0"/>
          </xdr:nvPicPr>
          <xdr:blipFill rotWithShape="1">
            <a:blip xmlns:r="http://schemas.openxmlformats.org/officeDocument/2006/relationships" r:embed="rId8">
              <a:alphaModFix/>
            </a:blip>
            <a:srcRect/>
            <a:stretch/>
          </xdr:blipFill>
          <xdr:spPr>
            <a:xfrm>
              <a:off x="602028" y="12939196"/>
              <a:ext cx="454554" cy="448472"/>
            </a:xfrm>
            <a:prstGeom prst="rect">
              <a:avLst/>
            </a:prstGeom>
            <a:noFill/>
            <a:ln>
              <a:noFill/>
            </a:ln>
          </xdr:spPr>
        </xdr:pic>
        <xdr:sp macro="" textlink="">
          <xdr:nvSpPr>
            <xdr:cNvPr id="575" name="Shape 575" descr="Create a drop-down list, hyperlinked to web">
              <a:hlinkClick xmlns:r="http://schemas.openxmlformats.org/officeDocument/2006/relationships" r:id="rId9"/>
              <a:extLst>
                <a:ext uri="{FF2B5EF4-FFF2-40B4-BE49-F238E27FC236}">
                  <a16:creationId xmlns:a16="http://schemas.microsoft.com/office/drawing/2014/main" id="{00000000-0008-0000-0600-00003F020000}"/>
                </a:ext>
              </a:extLst>
            </xdr:cNvPr>
            <xdr:cNvSpPr txBox="1"/>
          </xdr:nvSpPr>
          <xdr:spPr>
            <a:xfrm>
              <a:off x="1029308" y="13499080"/>
              <a:ext cx="1675792" cy="290453"/>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u="sng">
                  <a:solidFill>
                    <a:srgbClr val="3F3F3F"/>
                  </a:solidFill>
                  <a:latin typeface="Quattrocento Sans"/>
                  <a:ea typeface="Quattrocento Sans"/>
                  <a:cs typeface="Quattrocento Sans"/>
                  <a:sym typeface="Quattrocento Sans"/>
                </a:rPr>
                <a:t>Create a drop-down list</a:t>
              </a:r>
              <a:endParaRPr sz="1400"/>
            </a:p>
          </xdr:txBody>
        </xdr:sp>
        <xdr:pic>
          <xdr:nvPicPr>
            <xdr:cNvPr id="576" name="Shape 576" descr="Arrow">
              <a:hlinkClick xmlns:r="http://schemas.openxmlformats.org/officeDocument/2006/relationships" r:id="rId9"/>
              <a:extLst>
                <a:ext uri="{FF2B5EF4-FFF2-40B4-BE49-F238E27FC236}">
                  <a16:creationId xmlns:a16="http://schemas.microsoft.com/office/drawing/2014/main" id="{00000000-0008-0000-0600-000040020000}"/>
                </a:ext>
              </a:extLst>
            </xdr:cNvPr>
            <xdr:cNvPicPr preferRelativeResize="0"/>
          </xdr:nvPicPr>
          <xdr:blipFill rotWithShape="1">
            <a:blip xmlns:r="http://schemas.openxmlformats.org/officeDocument/2006/relationships" r:embed="rId8">
              <a:alphaModFix/>
            </a:blip>
            <a:srcRect/>
            <a:stretch/>
          </xdr:blipFill>
          <xdr:spPr>
            <a:xfrm>
              <a:off x="602028" y="13397050"/>
              <a:ext cx="454554" cy="448472"/>
            </a:xfrm>
            <a:prstGeom prst="rect">
              <a:avLst/>
            </a:prstGeom>
            <a:noFill/>
            <a:ln>
              <a:noFill/>
            </a:ln>
          </xdr:spPr>
        </xdr:pic>
      </xdr:grpSp>
    </xdr:grpSp>
    <xdr:clientData fLocksWithSheet="0"/>
  </xdr:oneCellAnchor>
</xdr:wsDr>
</file>

<file path=xl/drawings/drawing8.xml><?xml version="1.0" encoding="utf-8"?>
<xdr:wsDr xmlns:xdr="http://schemas.openxmlformats.org/drawingml/2006/spreadsheetDrawing" xmlns:a="http://schemas.openxmlformats.org/drawingml/2006/main">
  <xdr:twoCellAnchor>
    <xdr:from>
      <xdr:col>3</xdr:col>
      <xdr:colOff>66675</xdr:colOff>
      <xdr:row>0</xdr:row>
      <xdr:rowOff>61912</xdr:rowOff>
    </xdr:from>
    <xdr:to>
      <xdr:col>10</xdr:col>
      <xdr:colOff>371475</xdr:colOff>
      <xdr:row>14</xdr:row>
      <xdr:rowOff>138112</xdr:rowOff>
    </xdr:to>
    <xdr:graphicFrame macro="">
      <xdr:nvGraphicFramePr>
        <xdr:cNvPr id="2" name="Chart 1">
          <a:extLst>
            <a:ext uri="{FF2B5EF4-FFF2-40B4-BE49-F238E27FC236}">
              <a16:creationId xmlns:a16="http://schemas.microsoft.com/office/drawing/2014/main" id="{0079A63D-F008-2FE2-C6BC-4BE6A0C590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oneCellAnchor>
    <xdr:from>
      <xdr:col>0</xdr:col>
      <xdr:colOff>390525</xdr:colOff>
      <xdr:row>26</xdr:row>
      <xdr:rowOff>0</xdr:rowOff>
    </xdr:from>
    <xdr:ext cx="5695950" cy="3638550"/>
    <xdr:grpSp>
      <xdr:nvGrpSpPr>
        <xdr:cNvPr id="2" name="Shape 2">
          <a:extLst>
            <a:ext uri="{FF2B5EF4-FFF2-40B4-BE49-F238E27FC236}">
              <a16:creationId xmlns:a16="http://schemas.microsoft.com/office/drawing/2014/main" id="{00000000-0008-0000-0700-000002000000}"/>
            </a:ext>
          </a:extLst>
        </xdr:cNvPr>
        <xdr:cNvGrpSpPr/>
      </xdr:nvGrpSpPr>
      <xdr:grpSpPr>
        <a:xfrm>
          <a:off x="390525" y="5543550"/>
          <a:ext cx="5695950" cy="3638550"/>
          <a:chOff x="2498025" y="1960725"/>
          <a:chExt cx="5695950" cy="3638550"/>
        </a:xfrm>
      </xdr:grpSpPr>
      <xdr:grpSp>
        <xdr:nvGrpSpPr>
          <xdr:cNvPr id="577" name="Shape 577" descr="Quickly make a chart&#10;You can always use the Insert tab and create a chart. But here is another way to make a chart, using the Quick Analysis button. This time though, we'll use the keyboard shortcut:&#10;Click a cell inside the data to the right, and then press Ctrl and Q key.&#10;On the panel that appears, click Charts.&#10;Click the first Clustered… button.&#10;A new clustered column chart appears. Move it anywhere you’d like. Notice that each product has three columns, one for each month of sales">
            <a:extLst>
              <a:ext uri="{FF2B5EF4-FFF2-40B4-BE49-F238E27FC236}">
                <a16:creationId xmlns:a16="http://schemas.microsoft.com/office/drawing/2014/main" id="{00000000-0008-0000-0700-000041020000}"/>
              </a:ext>
            </a:extLst>
          </xdr:cNvPr>
          <xdr:cNvGrpSpPr/>
        </xdr:nvGrpSpPr>
        <xdr:grpSpPr>
          <a:xfrm>
            <a:off x="2498025" y="1960725"/>
            <a:ext cx="5695950" cy="3638550"/>
            <a:chOff x="390525" y="5943600"/>
            <a:chExt cx="5695950" cy="3698874"/>
          </a:xfrm>
        </xdr:grpSpPr>
        <xdr:sp macro="" textlink="">
          <xdr:nvSpPr>
            <xdr:cNvPr id="4" name="Shape 4">
              <a:extLst>
                <a:ext uri="{FF2B5EF4-FFF2-40B4-BE49-F238E27FC236}">
                  <a16:creationId xmlns:a16="http://schemas.microsoft.com/office/drawing/2014/main" id="{00000000-0008-0000-0700-000004000000}"/>
                </a:ext>
              </a:extLst>
            </xdr:cNvPr>
            <xdr:cNvSpPr/>
          </xdr:nvSpPr>
          <xdr:spPr>
            <a:xfrm>
              <a:off x="390525" y="5943600"/>
              <a:ext cx="5695950" cy="369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78" name="Shape 578" descr="Background">
              <a:extLst>
                <a:ext uri="{FF2B5EF4-FFF2-40B4-BE49-F238E27FC236}">
                  <a16:creationId xmlns:a16="http://schemas.microsoft.com/office/drawing/2014/main" id="{00000000-0008-0000-0700-000042020000}"/>
                </a:ext>
              </a:extLst>
            </xdr:cNvPr>
            <xdr:cNvSpPr/>
          </xdr:nvSpPr>
          <xdr:spPr>
            <a:xfrm>
              <a:off x="390525" y="5943600"/>
              <a:ext cx="5695950" cy="3698874"/>
            </a:xfrm>
            <a:prstGeom prst="rect">
              <a:avLst/>
            </a:prstGeom>
            <a:solidFill>
              <a:srgbClr val="F5F5F5"/>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579" name="Shape 579" descr="Quickly make a chart">
              <a:extLst>
                <a:ext uri="{FF2B5EF4-FFF2-40B4-BE49-F238E27FC236}">
                  <a16:creationId xmlns:a16="http://schemas.microsoft.com/office/drawing/2014/main" id="{00000000-0008-0000-0700-000043020000}"/>
                </a:ext>
              </a:extLst>
            </xdr:cNvPr>
            <xdr:cNvSpPr txBox="1"/>
          </xdr:nvSpPr>
          <xdr:spPr>
            <a:xfrm>
              <a:off x="622273" y="6071822"/>
              <a:ext cx="5216551" cy="490903"/>
            </a:xfrm>
            <a:prstGeom prst="rect">
              <a:avLst/>
            </a:prstGeom>
            <a:noFill/>
            <a:ln>
              <a:noFill/>
            </a:ln>
          </xdr:spPr>
          <xdr:txBody>
            <a:bodyPr spcFirstLastPara="1" wrap="square" lIns="0" tIns="45700" rIns="0" bIns="45700" anchor="t" anchorCtr="0">
              <a:noAutofit/>
            </a:bodyPr>
            <a:lstStyle/>
            <a:p>
              <a:pPr marL="0" marR="0" lvl="0" indent="0" algn="l" rtl="0">
                <a:lnSpc>
                  <a:spcPct val="100000"/>
                </a:lnSpc>
                <a:spcBef>
                  <a:spcPts val="0"/>
                </a:spcBef>
                <a:spcAft>
                  <a:spcPts val="0"/>
                </a:spcAft>
                <a:buClr>
                  <a:srgbClr val="3A3838"/>
                </a:buClr>
                <a:buSzPts val="2200"/>
                <a:buFont typeface="Quattrocento Sans"/>
                <a:buNone/>
              </a:pPr>
              <a:r>
                <a:rPr lang="en-US" sz="2200" b="0" i="0" u="none" strike="noStrike" cap="none">
                  <a:solidFill>
                    <a:srgbClr val="3A3838"/>
                  </a:solidFill>
                  <a:latin typeface="Quattrocento Sans"/>
                  <a:ea typeface="Quattrocento Sans"/>
                  <a:cs typeface="Quattrocento Sans"/>
                  <a:sym typeface="Quattrocento Sans"/>
                </a:rPr>
                <a:t>Quickly make a chart</a:t>
              </a:r>
              <a:endParaRPr sz="2200" b="0">
                <a:solidFill>
                  <a:srgbClr val="3A3838"/>
                </a:solidFill>
                <a:latin typeface="Quattrocento Sans"/>
                <a:ea typeface="Quattrocento Sans"/>
                <a:cs typeface="Quattrocento Sans"/>
                <a:sym typeface="Quattrocento Sans"/>
              </a:endParaRPr>
            </a:p>
          </xdr:txBody>
        </xdr:sp>
        <xdr:cxnSp macro="">
          <xdr:nvCxnSpPr>
            <xdr:cNvPr id="580" name="Shape 580" descr="Decorative line">
              <a:extLst>
                <a:ext uri="{FF2B5EF4-FFF2-40B4-BE49-F238E27FC236}">
                  <a16:creationId xmlns:a16="http://schemas.microsoft.com/office/drawing/2014/main" id="{00000000-0008-0000-0700-000044020000}"/>
                </a:ext>
              </a:extLst>
            </xdr:cNvPr>
            <xdr:cNvCxnSpPr/>
          </xdr:nvCxnSpPr>
          <xdr:spPr>
            <a:xfrm>
              <a:off x="625449" y="6579235"/>
              <a:ext cx="5213376" cy="0"/>
            </a:xfrm>
            <a:prstGeom prst="straightConnector1">
              <a:avLst/>
            </a:prstGeom>
            <a:noFill/>
            <a:ln w="25400" cap="flat" cmpd="sng">
              <a:solidFill>
                <a:srgbClr val="217346"/>
              </a:solidFill>
              <a:prstDash val="solid"/>
              <a:round/>
              <a:headEnd type="none" w="sm" len="sm"/>
              <a:tailEnd type="none" w="sm" len="sm"/>
            </a:ln>
          </xdr:spPr>
        </xdr:cxnSp>
        <xdr:cxnSp macro="">
          <xdr:nvCxnSpPr>
            <xdr:cNvPr id="581" name="Shape 581" descr="Decorative line">
              <a:extLst>
                <a:ext uri="{FF2B5EF4-FFF2-40B4-BE49-F238E27FC236}">
                  <a16:creationId xmlns:a16="http://schemas.microsoft.com/office/drawing/2014/main" id="{00000000-0008-0000-0700-000045020000}"/>
                </a:ext>
              </a:extLst>
            </xdr:cNvPr>
            <xdr:cNvCxnSpPr/>
          </xdr:nvCxnSpPr>
          <xdr:spPr>
            <a:xfrm>
              <a:off x="625449" y="9419376"/>
              <a:ext cx="5213376" cy="0"/>
            </a:xfrm>
            <a:prstGeom prst="straightConnector1">
              <a:avLst/>
            </a:prstGeom>
            <a:noFill/>
            <a:ln w="25400" cap="flat" cmpd="sng">
              <a:solidFill>
                <a:srgbClr val="217346"/>
              </a:solidFill>
              <a:prstDash val="solid"/>
              <a:round/>
              <a:headEnd type="none" w="sm" len="sm"/>
              <a:tailEnd type="none" w="sm" len="sm"/>
            </a:ln>
          </xdr:spPr>
        </xdr:cxnSp>
        <xdr:sp macro="" textlink="">
          <xdr:nvSpPr>
            <xdr:cNvPr id="582" name="Shape 582" descr="You can always use the Insert tab and create a chart. But here is another way to make a chart, using the Quick Analysis button. This time though, we'll use the keyboard shortcut:">
              <a:extLst>
                <a:ext uri="{FF2B5EF4-FFF2-40B4-BE49-F238E27FC236}">
                  <a16:creationId xmlns:a16="http://schemas.microsoft.com/office/drawing/2014/main" id="{00000000-0008-0000-0700-000046020000}"/>
                </a:ext>
              </a:extLst>
            </xdr:cNvPr>
            <xdr:cNvSpPr txBox="1"/>
          </xdr:nvSpPr>
          <xdr:spPr>
            <a:xfrm>
              <a:off x="619125" y="6652845"/>
              <a:ext cx="5300938" cy="568673"/>
            </a:xfrm>
            <a:prstGeom prst="rect">
              <a:avLst/>
            </a:prstGeom>
            <a:noFill/>
            <a:ln>
              <a:noFill/>
            </a:ln>
          </xdr:spPr>
          <xdr:txBody>
            <a:bodyPr spcFirstLastPara="1" wrap="square" lIns="0" tIns="45700" rIns="0" bIns="45700" anchor="t" anchorCtr="0">
              <a:noAutofit/>
            </a:bodyPr>
            <a:lstStyle/>
            <a:p>
              <a:pPr marL="0" lvl="0" indent="0" algn="l" rtl="0">
                <a:spcBef>
                  <a:spcPts val="0"/>
                </a:spcBef>
                <a:spcAft>
                  <a:spcPts val="0"/>
                </a:spcAft>
                <a:buNone/>
              </a:pPr>
              <a:r>
                <a:rPr lang="en-US" sz="1050">
                  <a:solidFill>
                    <a:srgbClr val="3F3F3F"/>
                  </a:solidFill>
                  <a:latin typeface="Quattrocento Sans"/>
                  <a:ea typeface="Quattrocento Sans"/>
                  <a:cs typeface="Quattrocento Sans"/>
                  <a:sym typeface="Quattrocento Sans"/>
                </a:rPr>
                <a:t>You can always use the </a:t>
              </a:r>
              <a:r>
                <a:rPr lang="en-US" sz="1050" b="1">
                  <a:solidFill>
                    <a:srgbClr val="3F3F3F"/>
                  </a:solidFill>
                  <a:latin typeface="Quattrocento Sans"/>
                  <a:ea typeface="Quattrocento Sans"/>
                  <a:cs typeface="Quattrocento Sans"/>
                  <a:sym typeface="Quattrocento Sans"/>
                </a:rPr>
                <a:t>Insert</a:t>
              </a:r>
              <a:r>
                <a:rPr lang="en-US" sz="1050">
                  <a:solidFill>
                    <a:srgbClr val="3F3F3F"/>
                  </a:solidFill>
                  <a:latin typeface="Quattrocento Sans"/>
                  <a:ea typeface="Quattrocento Sans"/>
                  <a:cs typeface="Quattrocento Sans"/>
                  <a:sym typeface="Quattrocento Sans"/>
                </a:rPr>
                <a:t> tab and create a chart. But here is another way to make a chart, using the Quick Analysis button. This time though, we'll use the keyboard shortcut:</a:t>
              </a:r>
              <a:endParaRPr sz="1050">
                <a:solidFill>
                  <a:srgbClr val="3F3F3F"/>
                </a:solidFill>
                <a:latin typeface="Quattrocento Sans"/>
                <a:ea typeface="Quattrocento Sans"/>
                <a:cs typeface="Quattrocento Sans"/>
                <a:sym typeface="Quattrocento Sans"/>
              </a:endParaRPr>
            </a:p>
          </xdr:txBody>
        </xdr:sp>
        <xdr:sp macro="" textlink="">
          <xdr:nvSpPr>
            <xdr:cNvPr id="583" name="Shape 583" descr="1">
              <a:extLst>
                <a:ext uri="{FF2B5EF4-FFF2-40B4-BE49-F238E27FC236}">
                  <a16:creationId xmlns:a16="http://schemas.microsoft.com/office/drawing/2014/main" id="{00000000-0008-0000-0700-000047020000}"/>
                </a:ext>
              </a:extLst>
            </xdr:cNvPr>
            <xdr:cNvSpPr/>
          </xdr:nvSpPr>
          <xdr:spPr>
            <a:xfrm>
              <a:off x="622274" y="7265223"/>
              <a:ext cx="371587"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1</a:t>
              </a:r>
              <a:endParaRPr sz="1400"/>
            </a:p>
          </xdr:txBody>
        </xdr:sp>
        <xdr:sp macro="" textlink="">
          <xdr:nvSpPr>
            <xdr:cNvPr id="584" name="Shape 584" descr="Click the first Clustered… button">
              <a:extLst>
                <a:ext uri="{FF2B5EF4-FFF2-40B4-BE49-F238E27FC236}">
                  <a16:creationId xmlns:a16="http://schemas.microsoft.com/office/drawing/2014/main" id="{00000000-0008-0000-0700-000048020000}"/>
                </a:ext>
              </a:extLst>
            </xdr:cNvPr>
            <xdr:cNvSpPr txBox="1"/>
          </xdr:nvSpPr>
          <xdr:spPr>
            <a:xfrm>
              <a:off x="1029307" y="8345301"/>
              <a:ext cx="4809517" cy="483807"/>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050">
                  <a:solidFill>
                    <a:schemeClr val="dk1"/>
                  </a:solidFill>
                  <a:latin typeface="Quattrocento Sans"/>
                  <a:ea typeface="Quattrocento Sans"/>
                  <a:cs typeface="Quattrocento Sans"/>
                  <a:sym typeface="Quattrocento Sans"/>
                </a:rPr>
                <a:t>Click the first </a:t>
              </a:r>
              <a:r>
                <a:rPr lang="en-US" sz="1050" b="1">
                  <a:solidFill>
                    <a:schemeClr val="dk1"/>
                  </a:solidFill>
                  <a:latin typeface="Quattrocento Sans"/>
                  <a:ea typeface="Quattrocento Sans"/>
                  <a:cs typeface="Quattrocento Sans"/>
                  <a:sym typeface="Quattrocento Sans"/>
                </a:rPr>
                <a:t>Clustered…</a:t>
              </a:r>
              <a:r>
                <a:rPr lang="en-US" sz="1050">
                  <a:solidFill>
                    <a:schemeClr val="dk1"/>
                  </a:solidFill>
                  <a:latin typeface="Quattrocento Sans"/>
                  <a:ea typeface="Quattrocento Sans"/>
                  <a:cs typeface="Quattrocento Sans"/>
                  <a:sym typeface="Quattrocento Sans"/>
                </a:rPr>
                <a:t> button.</a:t>
              </a:r>
              <a:endParaRPr sz="1400"/>
            </a:p>
            <a:p>
              <a:pPr marL="0" lvl="0" indent="0" algn="l" rtl="0">
                <a:spcBef>
                  <a:spcPts val="0"/>
                </a:spcBef>
                <a:spcAft>
                  <a:spcPts val="0"/>
                </a:spcAft>
                <a:buNone/>
              </a:pPr>
              <a:endParaRPr sz="1050">
                <a:latin typeface="Quattrocento Sans"/>
                <a:ea typeface="Quattrocento Sans"/>
                <a:cs typeface="Quattrocento Sans"/>
                <a:sym typeface="Quattrocento Sans"/>
              </a:endParaRPr>
            </a:p>
          </xdr:txBody>
        </xdr:sp>
        <xdr:sp macro="" textlink="">
          <xdr:nvSpPr>
            <xdr:cNvPr id="585" name="Shape 585" descr="3">
              <a:extLst>
                <a:ext uri="{FF2B5EF4-FFF2-40B4-BE49-F238E27FC236}">
                  <a16:creationId xmlns:a16="http://schemas.microsoft.com/office/drawing/2014/main" id="{00000000-0008-0000-0700-000049020000}"/>
                </a:ext>
              </a:extLst>
            </xdr:cNvPr>
            <xdr:cNvSpPr/>
          </xdr:nvSpPr>
          <xdr:spPr>
            <a:xfrm>
              <a:off x="622274" y="8302803"/>
              <a:ext cx="371587"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3</a:t>
              </a:r>
              <a:endParaRPr sz="1400"/>
            </a:p>
          </xdr:txBody>
        </xdr:sp>
        <xdr:sp macro="" textlink="">
          <xdr:nvSpPr>
            <xdr:cNvPr id="586" name="Shape 586" descr="A new clustered column chart appears. Move it anywhere you’d like. Notice that each product has three columns, one for each month of sales">
              <a:extLst>
                <a:ext uri="{FF2B5EF4-FFF2-40B4-BE49-F238E27FC236}">
                  <a16:creationId xmlns:a16="http://schemas.microsoft.com/office/drawing/2014/main" id="{00000000-0008-0000-0700-00004A020000}"/>
                </a:ext>
              </a:extLst>
            </xdr:cNvPr>
            <xdr:cNvSpPr txBox="1"/>
          </xdr:nvSpPr>
          <xdr:spPr>
            <a:xfrm>
              <a:off x="1029307" y="8830581"/>
              <a:ext cx="4809517" cy="459162"/>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050">
                  <a:solidFill>
                    <a:schemeClr val="dk1"/>
                  </a:solidFill>
                  <a:latin typeface="Quattrocento Sans"/>
                  <a:ea typeface="Quattrocento Sans"/>
                  <a:cs typeface="Quattrocento Sans"/>
                  <a:sym typeface="Quattrocento Sans"/>
                </a:rPr>
                <a:t>A new clustered column chart appears. Move it anywhere you’d like. Notice that each product has three columns, one for each month of sales.</a:t>
              </a:r>
              <a:endParaRPr sz="1400"/>
            </a:p>
          </xdr:txBody>
        </xdr:sp>
        <xdr:sp macro="" textlink="">
          <xdr:nvSpPr>
            <xdr:cNvPr id="587" name="Shape 587" descr="4">
              <a:extLst>
                <a:ext uri="{FF2B5EF4-FFF2-40B4-BE49-F238E27FC236}">
                  <a16:creationId xmlns:a16="http://schemas.microsoft.com/office/drawing/2014/main" id="{00000000-0008-0000-0700-00004B020000}"/>
                </a:ext>
              </a:extLst>
            </xdr:cNvPr>
            <xdr:cNvSpPr/>
          </xdr:nvSpPr>
          <xdr:spPr>
            <a:xfrm>
              <a:off x="622274" y="8788082"/>
              <a:ext cx="371587"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4</a:t>
              </a:r>
              <a:endParaRPr sz="1400"/>
            </a:p>
          </xdr:txBody>
        </xdr:sp>
        <xdr:sp macro="" textlink="">
          <xdr:nvSpPr>
            <xdr:cNvPr id="588" name="Shape 588" descr="On the panel that appears, click Charts">
              <a:extLst>
                <a:ext uri="{FF2B5EF4-FFF2-40B4-BE49-F238E27FC236}">
                  <a16:creationId xmlns:a16="http://schemas.microsoft.com/office/drawing/2014/main" id="{00000000-0008-0000-0700-00004C020000}"/>
                </a:ext>
              </a:extLst>
            </xdr:cNvPr>
            <xdr:cNvSpPr txBox="1"/>
          </xdr:nvSpPr>
          <xdr:spPr>
            <a:xfrm>
              <a:off x="1029307" y="7789352"/>
              <a:ext cx="4809517" cy="478147"/>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050">
                  <a:solidFill>
                    <a:schemeClr val="dk1"/>
                  </a:solidFill>
                  <a:latin typeface="Quattrocento Sans"/>
                  <a:ea typeface="Quattrocento Sans"/>
                  <a:cs typeface="Quattrocento Sans"/>
                  <a:sym typeface="Quattrocento Sans"/>
                </a:rPr>
                <a:t>On the panel that appears, click </a:t>
              </a:r>
              <a:r>
                <a:rPr lang="en-US" sz="1050" b="1">
                  <a:solidFill>
                    <a:schemeClr val="dk1"/>
                  </a:solidFill>
                  <a:latin typeface="Quattrocento Sans"/>
                  <a:ea typeface="Quattrocento Sans"/>
                  <a:cs typeface="Quattrocento Sans"/>
                  <a:sym typeface="Quattrocento Sans"/>
                </a:rPr>
                <a:t>Charts</a:t>
              </a:r>
              <a:r>
                <a:rPr lang="en-US" sz="1050">
                  <a:solidFill>
                    <a:schemeClr val="dk1"/>
                  </a:solidFill>
                  <a:latin typeface="Quattrocento Sans"/>
                  <a:ea typeface="Quattrocento Sans"/>
                  <a:cs typeface="Quattrocento Sans"/>
                  <a:sym typeface="Quattrocento Sans"/>
                </a:rPr>
                <a:t>.</a:t>
              </a:r>
              <a:endParaRPr sz="1400"/>
            </a:p>
            <a:p>
              <a:pPr marL="0" lvl="0" indent="0" algn="l" rtl="0">
                <a:spcBef>
                  <a:spcPts val="0"/>
                </a:spcBef>
                <a:spcAft>
                  <a:spcPts val="0"/>
                </a:spcAft>
                <a:buNone/>
              </a:pPr>
              <a:endParaRPr sz="1050">
                <a:latin typeface="Quattrocento Sans"/>
                <a:ea typeface="Quattrocento Sans"/>
                <a:cs typeface="Quattrocento Sans"/>
                <a:sym typeface="Quattrocento Sans"/>
              </a:endParaRPr>
            </a:p>
          </xdr:txBody>
        </xdr:sp>
        <xdr:sp macro="" textlink="">
          <xdr:nvSpPr>
            <xdr:cNvPr id="589" name="Shape 589" descr="2">
              <a:extLst>
                <a:ext uri="{FF2B5EF4-FFF2-40B4-BE49-F238E27FC236}">
                  <a16:creationId xmlns:a16="http://schemas.microsoft.com/office/drawing/2014/main" id="{00000000-0008-0000-0700-00004D020000}"/>
                </a:ext>
              </a:extLst>
            </xdr:cNvPr>
            <xdr:cNvSpPr/>
          </xdr:nvSpPr>
          <xdr:spPr>
            <a:xfrm>
              <a:off x="622274" y="7746854"/>
              <a:ext cx="371587"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2</a:t>
              </a:r>
              <a:endParaRPr sz="1400"/>
            </a:p>
          </xdr:txBody>
        </xdr:sp>
        <xdr:sp macro="" textlink="">
          <xdr:nvSpPr>
            <xdr:cNvPr id="590" name="Shape 590" descr="Click a cell inside the data to the right, and then press Ctrl and Q key">
              <a:extLst>
                <a:ext uri="{FF2B5EF4-FFF2-40B4-BE49-F238E27FC236}">
                  <a16:creationId xmlns:a16="http://schemas.microsoft.com/office/drawing/2014/main" id="{00000000-0008-0000-0700-00004E020000}"/>
                </a:ext>
              </a:extLst>
            </xdr:cNvPr>
            <xdr:cNvSpPr txBox="1"/>
          </xdr:nvSpPr>
          <xdr:spPr>
            <a:xfrm>
              <a:off x="1029308" y="7308881"/>
              <a:ext cx="4809516" cy="503521"/>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050">
                  <a:solidFill>
                    <a:srgbClr val="3F3F3F"/>
                  </a:solidFill>
                  <a:latin typeface="Quattrocento Sans"/>
                  <a:ea typeface="Quattrocento Sans"/>
                  <a:cs typeface="Quattrocento Sans"/>
                  <a:sym typeface="Quattrocento Sans"/>
                </a:rPr>
                <a:t>Click a cell inside the data to the right, and then press</a:t>
              </a:r>
              <a:endParaRPr sz="1400"/>
            </a:p>
          </xdr:txBody>
        </xdr:sp>
        <xdr:sp macro="" textlink="">
          <xdr:nvSpPr>
            <xdr:cNvPr id="591" name="Shape 591" descr="1">
              <a:extLst>
                <a:ext uri="{FF2B5EF4-FFF2-40B4-BE49-F238E27FC236}">
                  <a16:creationId xmlns:a16="http://schemas.microsoft.com/office/drawing/2014/main" id="{00000000-0008-0000-0700-00004F020000}"/>
                </a:ext>
              </a:extLst>
            </xdr:cNvPr>
            <xdr:cNvSpPr/>
          </xdr:nvSpPr>
          <xdr:spPr>
            <a:xfrm>
              <a:off x="622274" y="7266383"/>
              <a:ext cx="371587"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1</a:t>
              </a:r>
              <a:endParaRPr sz="1400"/>
            </a:p>
          </xdr:txBody>
        </xdr:sp>
        <xdr:sp macro="" textlink="">
          <xdr:nvSpPr>
            <xdr:cNvPr id="592" name="Shape 592" descr="Ctrl key">
              <a:extLst>
                <a:ext uri="{FF2B5EF4-FFF2-40B4-BE49-F238E27FC236}">
                  <a16:creationId xmlns:a16="http://schemas.microsoft.com/office/drawing/2014/main" id="{00000000-0008-0000-0700-000050020000}"/>
                </a:ext>
              </a:extLst>
            </xdr:cNvPr>
            <xdr:cNvSpPr/>
          </xdr:nvSpPr>
          <xdr:spPr>
            <a:xfrm>
              <a:off x="4353944" y="7307033"/>
              <a:ext cx="459442" cy="257175"/>
            </a:xfrm>
            <a:prstGeom prst="roundRect">
              <a:avLst>
                <a:gd name="adj" fmla="val 16667"/>
              </a:avLst>
            </a:prstGeom>
            <a:no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Quattrocento Sans"/>
                  <a:ea typeface="Quattrocento Sans"/>
                  <a:cs typeface="Quattrocento Sans"/>
                  <a:sym typeface="Quattrocento Sans"/>
                </a:rPr>
                <a:t>Ctrl</a:t>
              </a:r>
              <a:endParaRPr sz="800">
                <a:solidFill>
                  <a:schemeClr val="dk1"/>
                </a:solidFill>
                <a:latin typeface="Quattrocento Sans"/>
                <a:ea typeface="Quattrocento Sans"/>
                <a:cs typeface="Quattrocento Sans"/>
                <a:sym typeface="Quattrocento Sans"/>
              </a:endParaRPr>
            </a:p>
          </xdr:txBody>
        </xdr:sp>
        <xdr:sp macro="" textlink="">
          <xdr:nvSpPr>
            <xdr:cNvPr id="593" name="Shape 593" descr="Q key">
              <a:extLst>
                <a:ext uri="{FF2B5EF4-FFF2-40B4-BE49-F238E27FC236}">
                  <a16:creationId xmlns:a16="http://schemas.microsoft.com/office/drawing/2014/main" id="{00000000-0008-0000-0700-000051020000}"/>
                </a:ext>
              </a:extLst>
            </xdr:cNvPr>
            <xdr:cNvSpPr/>
          </xdr:nvSpPr>
          <xdr:spPr>
            <a:xfrm>
              <a:off x="4898346" y="7307033"/>
              <a:ext cx="466658" cy="257175"/>
            </a:xfrm>
            <a:prstGeom prst="roundRect">
              <a:avLst>
                <a:gd name="adj" fmla="val 16667"/>
              </a:avLst>
            </a:prstGeom>
            <a:no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Quattrocento Sans"/>
                  <a:ea typeface="Quattrocento Sans"/>
                  <a:cs typeface="Quattrocento Sans"/>
                  <a:sym typeface="Quattrocento Sans"/>
                </a:rPr>
                <a:t>Q</a:t>
              </a:r>
              <a:endParaRPr sz="1400"/>
            </a:p>
          </xdr:txBody>
        </xdr:sp>
      </xdr:grpSp>
    </xdr:grpSp>
    <xdr:clientData fLocksWithSheet="0"/>
  </xdr:oneCellAnchor>
  <xdr:oneCellAnchor>
    <xdr:from>
      <xdr:col>0</xdr:col>
      <xdr:colOff>390525</xdr:colOff>
      <xdr:row>45</xdr:row>
      <xdr:rowOff>171450</xdr:rowOff>
    </xdr:from>
    <xdr:ext cx="5695950" cy="3895725"/>
    <xdr:grpSp>
      <xdr:nvGrpSpPr>
        <xdr:cNvPr id="3" name="Shape 2">
          <a:extLst>
            <a:ext uri="{FF2B5EF4-FFF2-40B4-BE49-F238E27FC236}">
              <a16:creationId xmlns:a16="http://schemas.microsoft.com/office/drawing/2014/main" id="{00000000-0008-0000-0700-000003000000}"/>
            </a:ext>
          </a:extLst>
        </xdr:cNvPr>
        <xdr:cNvGrpSpPr/>
      </xdr:nvGrpSpPr>
      <xdr:grpSpPr>
        <a:xfrm>
          <a:off x="390525" y="9334500"/>
          <a:ext cx="5695950" cy="3895725"/>
          <a:chOff x="2498025" y="1832137"/>
          <a:chExt cx="5695950" cy="3895725"/>
        </a:xfrm>
      </xdr:grpSpPr>
      <xdr:grpSp>
        <xdr:nvGrpSpPr>
          <xdr:cNvPr id="594" name="Shape 594" descr="Quickly make sparklines&#10;Let's say you want little trend lines to the right of this data to show how the amounts go up or down during the three months. You don't have to make 8 little line charts. You can make sparklines instead.&#10;Click a cell inside the data to the right, and then press Ctrl and Q key.&#10;On the panel that appears, click Sparklines, and then click the Line button.&#10;Sparklines appear to the right of the Dec column. Each line represents the data for that row, and shows whether the amounts go up or down.&#10;To clear the sparklines, click and drag to select them. The Sparkline Tools Design tab will appear at the top of the window. Go to that tab, and then click the Clear button">
            <a:extLst>
              <a:ext uri="{FF2B5EF4-FFF2-40B4-BE49-F238E27FC236}">
                <a16:creationId xmlns:a16="http://schemas.microsoft.com/office/drawing/2014/main" id="{00000000-0008-0000-0700-000052020000}"/>
              </a:ext>
            </a:extLst>
          </xdr:cNvPr>
          <xdr:cNvGrpSpPr/>
        </xdr:nvGrpSpPr>
        <xdr:grpSpPr>
          <a:xfrm>
            <a:off x="2498025" y="1832137"/>
            <a:ext cx="5695950" cy="3895725"/>
            <a:chOff x="390525" y="9801225"/>
            <a:chExt cx="5695950" cy="3790949"/>
          </a:xfrm>
        </xdr:grpSpPr>
        <xdr:sp macro="" textlink="">
          <xdr:nvSpPr>
            <xdr:cNvPr id="5" name="Shape 4">
              <a:extLst>
                <a:ext uri="{FF2B5EF4-FFF2-40B4-BE49-F238E27FC236}">
                  <a16:creationId xmlns:a16="http://schemas.microsoft.com/office/drawing/2014/main" id="{00000000-0008-0000-0700-000005000000}"/>
                </a:ext>
              </a:extLst>
            </xdr:cNvPr>
            <xdr:cNvSpPr/>
          </xdr:nvSpPr>
          <xdr:spPr>
            <a:xfrm>
              <a:off x="390525" y="9801225"/>
              <a:ext cx="5695950" cy="37909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95" name="Shape 595" descr="Background">
              <a:extLst>
                <a:ext uri="{FF2B5EF4-FFF2-40B4-BE49-F238E27FC236}">
                  <a16:creationId xmlns:a16="http://schemas.microsoft.com/office/drawing/2014/main" id="{00000000-0008-0000-0700-000053020000}"/>
                </a:ext>
              </a:extLst>
            </xdr:cNvPr>
            <xdr:cNvSpPr/>
          </xdr:nvSpPr>
          <xdr:spPr>
            <a:xfrm>
              <a:off x="390525" y="9801225"/>
              <a:ext cx="5695950" cy="3790949"/>
            </a:xfrm>
            <a:prstGeom prst="rect">
              <a:avLst/>
            </a:prstGeom>
            <a:solidFill>
              <a:srgbClr val="F5F5F5"/>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596" name="Shape 596" descr="Quickly make sparklines">
              <a:extLst>
                <a:ext uri="{FF2B5EF4-FFF2-40B4-BE49-F238E27FC236}">
                  <a16:creationId xmlns:a16="http://schemas.microsoft.com/office/drawing/2014/main" id="{00000000-0008-0000-0700-000054020000}"/>
                </a:ext>
              </a:extLst>
            </xdr:cNvPr>
            <xdr:cNvSpPr txBox="1"/>
          </xdr:nvSpPr>
          <xdr:spPr>
            <a:xfrm>
              <a:off x="622273" y="9929448"/>
              <a:ext cx="5216551" cy="490903"/>
            </a:xfrm>
            <a:prstGeom prst="rect">
              <a:avLst/>
            </a:prstGeom>
            <a:noFill/>
            <a:ln>
              <a:noFill/>
            </a:ln>
          </xdr:spPr>
          <xdr:txBody>
            <a:bodyPr spcFirstLastPara="1" wrap="square" lIns="0" tIns="45700" rIns="0" bIns="45700" anchor="t" anchorCtr="0">
              <a:noAutofit/>
            </a:bodyPr>
            <a:lstStyle/>
            <a:p>
              <a:pPr marL="0" marR="0" lvl="0" indent="0" algn="l" rtl="0">
                <a:lnSpc>
                  <a:spcPct val="100000"/>
                </a:lnSpc>
                <a:spcBef>
                  <a:spcPts val="0"/>
                </a:spcBef>
                <a:spcAft>
                  <a:spcPts val="0"/>
                </a:spcAft>
                <a:buClr>
                  <a:srgbClr val="3A3838"/>
                </a:buClr>
                <a:buSzPts val="2200"/>
                <a:buFont typeface="Quattrocento Sans"/>
                <a:buNone/>
              </a:pPr>
              <a:r>
                <a:rPr lang="en-US" sz="2200" b="0" i="0" u="none" strike="noStrike" cap="none">
                  <a:solidFill>
                    <a:srgbClr val="3A3838"/>
                  </a:solidFill>
                  <a:latin typeface="Quattrocento Sans"/>
                  <a:ea typeface="Quattrocento Sans"/>
                  <a:cs typeface="Quattrocento Sans"/>
                  <a:sym typeface="Quattrocento Sans"/>
                </a:rPr>
                <a:t>Quickly make sparklines</a:t>
              </a:r>
              <a:endParaRPr sz="2200" b="0">
                <a:solidFill>
                  <a:srgbClr val="3A3838"/>
                </a:solidFill>
                <a:latin typeface="Quattrocento Sans"/>
                <a:ea typeface="Quattrocento Sans"/>
                <a:cs typeface="Quattrocento Sans"/>
                <a:sym typeface="Quattrocento Sans"/>
              </a:endParaRPr>
            </a:p>
          </xdr:txBody>
        </xdr:sp>
        <xdr:cxnSp macro="">
          <xdr:nvCxnSpPr>
            <xdr:cNvPr id="597" name="Shape 597" descr="Decorative line">
              <a:extLst>
                <a:ext uri="{FF2B5EF4-FFF2-40B4-BE49-F238E27FC236}">
                  <a16:creationId xmlns:a16="http://schemas.microsoft.com/office/drawing/2014/main" id="{00000000-0008-0000-0700-000055020000}"/>
                </a:ext>
              </a:extLst>
            </xdr:cNvPr>
            <xdr:cNvCxnSpPr/>
          </xdr:nvCxnSpPr>
          <xdr:spPr>
            <a:xfrm>
              <a:off x="625449" y="10436861"/>
              <a:ext cx="5213376" cy="0"/>
            </a:xfrm>
            <a:prstGeom prst="straightConnector1">
              <a:avLst/>
            </a:prstGeom>
            <a:noFill/>
            <a:ln w="25400" cap="flat" cmpd="sng">
              <a:solidFill>
                <a:srgbClr val="217346"/>
              </a:solidFill>
              <a:prstDash val="solid"/>
              <a:round/>
              <a:headEnd type="none" w="sm" len="sm"/>
              <a:tailEnd type="none" w="sm" len="sm"/>
            </a:ln>
          </xdr:spPr>
        </xdr:cxnSp>
        <xdr:cxnSp macro="">
          <xdr:nvCxnSpPr>
            <xdr:cNvPr id="598" name="Shape 598" descr="Decorative line">
              <a:extLst>
                <a:ext uri="{FF2B5EF4-FFF2-40B4-BE49-F238E27FC236}">
                  <a16:creationId xmlns:a16="http://schemas.microsoft.com/office/drawing/2014/main" id="{00000000-0008-0000-0700-000056020000}"/>
                </a:ext>
              </a:extLst>
            </xdr:cNvPr>
            <xdr:cNvCxnSpPr/>
          </xdr:nvCxnSpPr>
          <xdr:spPr>
            <a:xfrm>
              <a:off x="625449" y="13362727"/>
              <a:ext cx="5213376" cy="0"/>
            </a:xfrm>
            <a:prstGeom prst="straightConnector1">
              <a:avLst/>
            </a:prstGeom>
            <a:noFill/>
            <a:ln w="25400" cap="flat" cmpd="sng">
              <a:solidFill>
                <a:srgbClr val="217346"/>
              </a:solidFill>
              <a:prstDash val="solid"/>
              <a:round/>
              <a:headEnd type="none" w="sm" len="sm"/>
              <a:tailEnd type="none" w="sm" len="sm"/>
            </a:ln>
          </xdr:spPr>
        </xdr:cxnSp>
        <xdr:sp macro="" textlink="">
          <xdr:nvSpPr>
            <xdr:cNvPr id="599" name="Shape 599" descr="Let's say you want little trend lines to the right of this data to show how the amounts go up or down during the three months. You don't have to make 8 little line charts. You can make sparklines instead">
              <a:extLst>
                <a:ext uri="{FF2B5EF4-FFF2-40B4-BE49-F238E27FC236}">
                  <a16:creationId xmlns:a16="http://schemas.microsoft.com/office/drawing/2014/main" id="{00000000-0008-0000-0700-000057020000}"/>
                </a:ext>
              </a:extLst>
            </xdr:cNvPr>
            <xdr:cNvSpPr txBox="1"/>
          </xdr:nvSpPr>
          <xdr:spPr>
            <a:xfrm>
              <a:off x="619125" y="10510472"/>
              <a:ext cx="5300938" cy="619925"/>
            </a:xfrm>
            <a:prstGeom prst="rect">
              <a:avLst/>
            </a:prstGeom>
            <a:noFill/>
            <a:ln>
              <a:noFill/>
            </a:ln>
          </xdr:spPr>
          <xdr:txBody>
            <a:bodyPr spcFirstLastPara="1" wrap="square" lIns="0" tIns="45700" rIns="0" bIns="45700" anchor="t" anchorCtr="0">
              <a:noAutofit/>
            </a:bodyPr>
            <a:lstStyle/>
            <a:p>
              <a:pPr marL="0" lvl="0" indent="0" algn="l" rtl="0">
                <a:spcBef>
                  <a:spcPts val="0"/>
                </a:spcBef>
                <a:spcAft>
                  <a:spcPts val="0"/>
                </a:spcAft>
                <a:buNone/>
              </a:pPr>
              <a:r>
                <a:rPr lang="en-US" sz="1050">
                  <a:solidFill>
                    <a:srgbClr val="3F3F3F"/>
                  </a:solidFill>
                  <a:latin typeface="Quattrocento Sans"/>
                  <a:ea typeface="Quattrocento Sans"/>
                  <a:cs typeface="Quattrocento Sans"/>
                  <a:sym typeface="Quattrocento Sans"/>
                </a:rPr>
                <a:t>Let's say you want little trend lines to the right of this data to show how the amounts go up or down during the three months. You don't have to make 8 little line charts. You can make sparklines instead.</a:t>
              </a:r>
              <a:endParaRPr sz="1400"/>
            </a:p>
          </xdr:txBody>
        </xdr:sp>
        <xdr:sp macro="" textlink="">
          <xdr:nvSpPr>
            <xdr:cNvPr id="600" name="Shape 600" descr="Sparklines appear to the right of the Dec column. Each line represents the data for that row, and shows whether the amounts go up or down">
              <a:extLst>
                <a:ext uri="{FF2B5EF4-FFF2-40B4-BE49-F238E27FC236}">
                  <a16:creationId xmlns:a16="http://schemas.microsoft.com/office/drawing/2014/main" id="{00000000-0008-0000-0700-000058020000}"/>
                </a:ext>
              </a:extLst>
            </xdr:cNvPr>
            <xdr:cNvSpPr txBox="1"/>
          </xdr:nvSpPr>
          <xdr:spPr>
            <a:xfrm>
              <a:off x="1029307" y="12116911"/>
              <a:ext cx="4809517" cy="483064"/>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050">
                  <a:solidFill>
                    <a:schemeClr val="dk1"/>
                  </a:solidFill>
                  <a:latin typeface="Quattrocento Sans"/>
                  <a:ea typeface="Quattrocento Sans"/>
                  <a:cs typeface="Quattrocento Sans"/>
                  <a:sym typeface="Quattrocento Sans"/>
                </a:rPr>
                <a:t>Sparklines appear to the right of the </a:t>
              </a:r>
              <a:r>
                <a:rPr lang="en-US" sz="1050" b="1">
                  <a:solidFill>
                    <a:schemeClr val="dk1"/>
                  </a:solidFill>
                  <a:latin typeface="Quattrocento Sans"/>
                  <a:ea typeface="Quattrocento Sans"/>
                  <a:cs typeface="Quattrocento Sans"/>
                  <a:sym typeface="Quattrocento Sans"/>
                </a:rPr>
                <a:t>Dec </a:t>
              </a:r>
              <a:r>
                <a:rPr lang="en-US" sz="1050">
                  <a:solidFill>
                    <a:schemeClr val="dk1"/>
                  </a:solidFill>
                  <a:latin typeface="Quattrocento Sans"/>
                  <a:ea typeface="Quattrocento Sans"/>
                  <a:cs typeface="Quattrocento Sans"/>
                  <a:sym typeface="Quattrocento Sans"/>
                </a:rPr>
                <a:t>column. Each line represents the data for that row, and shows whether the amounts go up or down.</a:t>
              </a:r>
              <a:endParaRPr sz="1400"/>
            </a:p>
            <a:p>
              <a:pPr marL="0" lvl="0" indent="0" algn="l" rtl="0">
                <a:spcBef>
                  <a:spcPts val="0"/>
                </a:spcBef>
                <a:spcAft>
                  <a:spcPts val="0"/>
                </a:spcAft>
                <a:buNone/>
              </a:pPr>
              <a:endParaRPr sz="1050">
                <a:latin typeface="Quattrocento Sans"/>
                <a:ea typeface="Quattrocento Sans"/>
                <a:cs typeface="Quattrocento Sans"/>
                <a:sym typeface="Quattrocento Sans"/>
              </a:endParaRPr>
            </a:p>
          </xdr:txBody>
        </xdr:sp>
        <xdr:sp macro="" textlink="">
          <xdr:nvSpPr>
            <xdr:cNvPr id="601" name="Shape 601" descr="3">
              <a:extLst>
                <a:ext uri="{FF2B5EF4-FFF2-40B4-BE49-F238E27FC236}">
                  <a16:creationId xmlns:a16="http://schemas.microsoft.com/office/drawing/2014/main" id="{00000000-0008-0000-0700-000059020000}"/>
                </a:ext>
              </a:extLst>
            </xdr:cNvPr>
            <xdr:cNvSpPr/>
          </xdr:nvSpPr>
          <xdr:spPr>
            <a:xfrm>
              <a:off x="622274" y="12074413"/>
              <a:ext cx="371587"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3</a:t>
              </a:r>
              <a:endParaRPr sz="1400"/>
            </a:p>
          </xdr:txBody>
        </xdr:sp>
        <xdr:sp macro="" textlink="">
          <xdr:nvSpPr>
            <xdr:cNvPr id="602" name="Shape 602" descr="To clear the sparklines, click and drag to select them. The Sparkline Tools Design tab will appear at the top of the window. Go to that tab, and then click the Clear button">
              <a:extLst>
                <a:ext uri="{FF2B5EF4-FFF2-40B4-BE49-F238E27FC236}">
                  <a16:creationId xmlns:a16="http://schemas.microsoft.com/office/drawing/2014/main" id="{00000000-0008-0000-0700-00005A020000}"/>
                </a:ext>
              </a:extLst>
            </xdr:cNvPr>
            <xdr:cNvSpPr txBox="1"/>
          </xdr:nvSpPr>
          <xdr:spPr>
            <a:xfrm>
              <a:off x="1029307" y="12619824"/>
              <a:ext cx="4809517" cy="626018"/>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050">
                  <a:solidFill>
                    <a:schemeClr val="dk1"/>
                  </a:solidFill>
                  <a:latin typeface="Quattrocento Sans"/>
                  <a:ea typeface="Quattrocento Sans"/>
                  <a:cs typeface="Quattrocento Sans"/>
                  <a:sym typeface="Quattrocento Sans"/>
                </a:rPr>
                <a:t>To clear the sparklines, click and drag to select them. The </a:t>
              </a:r>
              <a:r>
                <a:rPr lang="en-US" sz="1050" b="1">
                  <a:solidFill>
                    <a:schemeClr val="dk1"/>
                  </a:solidFill>
                  <a:latin typeface="Quattrocento Sans"/>
                  <a:ea typeface="Quattrocento Sans"/>
                  <a:cs typeface="Quattrocento Sans"/>
                  <a:sym typeface="Quattrocento Sans"/>
                </a:rPr>
                <a:t>Sparkline Tools Design </a:t>
              </a:r>
              <a:r>
                <a:rPr lang="en-US" sz="1050">
                  <a:solidFill>
                    <a:schemeClr val="dk1"/>
                  </a:solidFill>
                  <a:latin typeface="Quattrocento Sans"/>
                  <a:ea typeface="Quattrocento Sans"/>
                  <a:cs typeface="Quattrocento Sans"/>
                  <a:sym typeface="Quattrocento Sans"/>
                </a:rPr>
                <a:t>tab will appear at the top of the window. Go to that tab, and then click the </a:t>
              </a:r>
              <a:r>
                <a:rPr lang="en-US" sz="1050" b="1">
                  <a:solidFill>
                    <a:schemeClr val="dk1"/>
                  </a:solidFill>
                  <a:latin typeface="Quattrocento Sans"/>
                  <a:ea typeface="Quattrocento Sans"/>
                  <a:cs typeface="Quattrocento Sans"/>
                  <a:sym typeface="Quattrocento Sans"/>
                </a:rPr>
                <a:t>Clear</a:t>
              </a:r>
              <a:r>
                <a:rPr lang="en-US" sz="1050">
                  <a:solidFill>
                    <a:schemeClr val="dk1"/>
                  </a:solidFill>
                  <a:latin typeface="Quattrocento Sans"/>
                  <a:ea typeface="Quattrocento Sans"/>
                  <a:cs typeface="Quattrocento Sans"/>
                  <a:sym typeface="Quattrocento Sans"/>
                </a:rPr>
                <a:t> button.</a:t>
              </a:r>
              <a:endParaRPr sz="1400"/>
            </a:p>
          </xdr:txBody>
        </xdr:sp>
        <xdr:sp macro="" textlink="">
          <xdr:nvSpPr>
            <xdr:cNvPr id="603" name="Shape 603" descr="4">
              <a:extLst>
                <a:ext uri="{FF2B5EF4-FFF2-40B4-BE49-F238E27FC236}">
                  <a16:creationId xmlns:a16="http://schemas.microsoft.com/office/drawing/2014/main" id="{00000000-0008-0000-0700-00005B020000}"/>
                </a:ext>
              </a:extLst>
            </xdr:cNvPr>
            <xdr:cNvSpPr/>
          </xdr:nvSpPr>
          <xdr:spPr>
            <a:xfrm>
              <a:off x="622274" y="12577325"/>
              <a:ext cx="371587"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4</a:t>
              </a:r>
              <a:endParaRPr sz="1400"/>
            </a:p>
          </xdr:txBody>
        </xdr:sp>
        <xdr:sp macro="" textlink="">
          <xdr:nvSpPr>
            <xdr:cNvPr id="604" name="Shape 604" descr="On the panel that appears, click Sparklines, and then click the Line button">
              <a:extLst>
                <a:ext uri="{FF2B5EF4-FFF2-40B4-BE49-F238E27FC236}">
                  <a16:creationId xmlns:a16="http://schemas.microsoft.com/office/drawing/2014/main" id="{00000000-0008-0000-0700-00005C020000}"/>
                </a:ext>
              </a:extLst>
            </xdr:cNvPr>
            <xdr:cNvSpPr txBox="1"/>
          </xdr:nvSpPr>
          <xdr:spPr>
            <a:xfrm>
              <a:off x="1029307" y="11657370"/>
              <a:ext cx="4809517" cy="417044"/>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050">
                  <a:solidFill>
                    <a:schemeClr val="dk1"/>
                  </a:solidFill>
                  <a:latin typeface="Quattrocento Sans"/>
                  <a:ea typeface="Quattrocento Sans"/>
                  <a:cs typeface="Quattrocento Sans"/>
                  <a:sym typeface="Quattrocento Sans"/>
                </a:rPr>
                <a:t>On the panel that appears, click </a:t>
              </a:r>
              <a:r>
                <a:rPr lang="en-US" sz="1050" b="1">
                  <a:solidFill>
                    <a:schemeClr val="dk1"/>
                  </a:solidFill>
                  <a:latin typeface="Quattrocento Sans"/>
                  <a:ea typeface="Quattrocento Sans"/>
                  <a:cs typeface="Quattrocento Sans"/>
                  <a:sym typeface="Quattrocento Sans"/>
                </a:rPr>
                <a:t>Sparklines</a:t>
              </a:r>
              <a:r>
                <a:rPr lang="en-US" sz="1050">
                  <a:solidFill>
                    <a:schemeClr val="dk1"/>
                  </a:solidFill>
                  <a:latin typeface="Quattrocento Sans"/>
                  <a:ea typeface="Quattrocento Sans"/>
                  <a:cs typeface="Quattrocento Sans"/>
                  <a:sym typeface="Quattrocento Sans"/>
                </a:rPr>
                <a:t>, and then click the </a:t>
              </a:r>
              <a:r>
                <a:rPr lang="en-US" sz="1050" b="1">
                  <a:solidFill>
                    <a:schemeClr val="dk1"/>
                  </a:solidFill>
                  <a:latin typeface="Quattrocento Sans"/>
                  <a:ea typeface="Quattrocento Sans"/>
                  <a:cs typeface="Quattrocento Sans"/>
                  <a:sym typeface="Quattrocento Sans"/>
                </a:rPr>
                <a:t>Line </a:t>
              </a:r>
              <a:r>
                <a:rPr lang="en-US" sz="1050">
                  <a:solidFill>
                    <a:schemeClr val="dk1"/>
                  </a:solidFill>
                  <a:latin typeface="Quattrocento Sans"/>
                  <a:ea typeface="Quattrocento Sans"/>
                  <a:cs typeface="Quattrocento Sans"/>
                  <a:sym typeface="Quattrocento Sans"/>
                </a:rPr>
                <a:t>button.</a:t>
              </a:r>
              <a:endParaRPr sz="1400"/>
            </a:p>
            <a:p>
              <a:pPr marL="0" lvl="0" indent="0" algn="l" rtl="0">
                <a:spcBef>
                  <a:spcPts val="0"/>
                </a:spcBef>
                <a:spcAft>
                  <a:spcPts val="0"/>
                </a:spcAft>
                <a:buNone/>
              </a:pPr>
              <a:endParaRPr sz="1050">
                <a:latin typeface="Quattrocento Sans"/>
                <a:ea typeface="Quattrocento Sans"/>
                <a:cs typeface="Quattrocento Sans"/>
                <a:sym typeface="Quattrocento Sans"/>
              </a:endParaRPr>
            </a:p>
          </xdr:txBody>
        </xdr:sp>
        <xdr:sp macro="" textlink="">
          <xdr:nvSpPr>
            <xdr:cNvPr id="605" name="Shape 605" descr="2">
              <a:extLst>
                <a:ext uri="{FF2B5EF4-FFF2-40B4-BE49-F238E27FC236}">
                  <a16:creationId xmlns:a16="http://schemas.microsoft.com/office/drawing/2014/main" id="{00000000-0008-0000-0700-00005D020000}"/>
                </a:ext>
              </a:extLst>
            </xdr:cNvPr>
            <xdr:cNvSpPr/>
          </xdr:nvSpPr>
          <xdr:spPr>
            <a:xfrm>
              <a:off x="622274" y="11614871"/>
              <a:ext cx="371587"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2</a:t>
              </a:r>
              <a:endParaRPr sz="1400"/>
            </a:p>
          </xdr:txBody>
        </xdr:sp>
        <xdr:sp macro="" textlink="">
          <xdr:nvSpPr>
            <xdr:cNvPr id="606" name="Shape 606" descr="Click a cell inside the data to the right, and then press Ctrl and Q">
              <a:extLst>
                <a:ext uri="{FF2B5EF4-FFF2-40B4-BE49-F238E27FC236}">
                  <a16:creationId xmlns:a16="http://schemas.microsoft.com/office/drawing/2014/main" id="{00000000-0008-0000-0700-00005E020000}"/>
                </a:ext>
              </a:extLst>
            </xdr:cNvPr>
            <xdr:cNvSpPr txBox="1"/>
          </xdr:nvSpPr>
          <xdr:spPr>
            <a:xfrm>
              <a:off x="1029308" y="11175352"/>
              <a:ext cx="4809516" cy="411029"/>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050">
                  <a:solidFill>
                    <a:srgbClr val="3F3F3F"/>
                  </a:solidFill>
                  <a:latin typeface="Quattrocento Sans"/>
                  <a:ea typeface="Quattrocento Sans"/>
                  <a:cs typeface="Quattrocento Sans"/>
                  <a:sym typeface="Quattrocento Sans"/>
                </a:rPr>
                <a:t>Click a cell inside the data to the right, and then press</a:t>
              </a:r>
              <a:endParaRPr sz="1400"/>
            </a:p>
          </xdr:txBody>
        </xdr:sp>
        <xdr:sp macro="" textlink="">
          <xdr:nvSpPr>
            <xdr:cNvPr id="607" name="Shape 607" descr="1">
              <a:extLst>
                <a:ext uri="{FF2B5EF4-FFF2-40B4-BE49-F238E27FC236}">
                  <a16:creationId xmlns:a16="http://schemas.microsoft.com/office/drawing/2014/main" id="{00000000-0008-0000-0700-00005F020000}"/>
                </a:ext>
              </a:extLst>
            </xdr:cNvPr>
            <xdr:cNvSpPr/>
          </xdr:nvSpPr>
          <xdr:spPr>
            <a:xfrm>
              <a:off x="622274" y="11132854"/>
              <a:ext cx="371587"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1</a:t>
              </a:r>
              <a:endParaRPr sz="1400"/>
            </a:p>
          </xdr:txBody>
        </xdr:sp>
        <xdr:sp macro="" textlink="">
          <xdr:nvSpPr>
            <xdr:cNvPr id="608" name="Shape 608" descr="Ctrl key">
              <a:extLst>
                <a:ext uri="{FF2B5EF4-FFF2-40B4-BE49-F238E27FC236}">
                  <a16:creationId xmlns:a16="http://schemas.microsoft.com/office/drawing/2014/main" id="{00000000-0008-0000-0700-000060020000}"/>
                </a:ext>
              </a:extLst>
            </xdr:cNvPr>
            <xdr:cNvSpPr/>
          </xdr:nvSpPr>
          <xdr:spPr>
            <a:xfrm>
              <a:off x="4477769" y="11164659"/>
              <a:ext cx="459442" cy="257175"/>
            </a:xfrm>
            <a:prstGeom prst="roundRect">
              <a:avLst>
                <a:gd name="adj" fmla="val 16667"/>
              </a:avLst>
            </a:prstGeom>
            <a:no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Quattrocento Sans"/>
                  <a:ea typeface="Quattrocento Sans"/>
                  <a:cs typeface="Quattrocento Sans"/>
                  <a:sym typeface="Quattrocento Sans"/>
                </a:rPr>
                <a:t>Ctrl</a:t>
              </a:r>
              <a:endParaRPr sz="800">
                <a:solidFill>
                  <a:schemeClr val="dk1"/>
                </a:solidFill>
                <a:latin typeface="Quattrocento Sans"/>
                <a:ea typeface="Quattrocento Sans"/>
                <a:cs typeface="Quattrocento Sans"/>
                <a:sym typeface="Quattrocento Sans"/>
              </a:endParaRPr>
            </a:p>
          </xdr:txBody>
        </xdr:sp>
        <xdr:sp macro="" textlink="">
          <xdr:nvSpPr>
            <xdr:cNvPr id="609" name="Shape 609" descr="Q key">
              <a:extLst>
                <a:ext uri="{FF2B5EF4-FFF2-40B4-BE49-F238E27FC236}">
                  <a16:creationId xmlns:a16="http://schemas.microsoft.com/office/drawing/2014/main" id="{00000000-0008-0000-0700-000061020000}"/>
                </a:ext>
              </a:extLst>
            </xdr:cNvPr>
            <xdr:cNvSpPr/>
          </xdr:nvSpPr>
          <xdr:spPr>
            <a:xfrm>
              <a:off x="5022171" y="11164659"/>
              <a:ext cx="466658" cy="257175"/>
            </a:xfrm>
            <a:prstGeom prst="roundRect">
              <a:avLst>
                <a:gd name="adj" fmla="val 16667"/>
              </a:avLst>
            </a:prstGeom>
            <a:no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Quattrocento Sans"/>
                  <a:ea typeface="Quattrocento Sans"/>
                  <a:cs typeface="Quattrocento Sans"/>
                  <a:sym typeface="Quattrocento Sans"/>
                </a:rPr>
                <a:t>Q</a:t>
              </a:r>
              <a:endParaRPr sz="1400"/>
            </a:p>
          </xdr:txBody>
        </xdr:sp>
      </xdr:grpSp>
    </xdr:grpSp>
    <xdr:clientData fLocksWithSheet="0"/>
  </xdr:oneCellAnchor>
  <xdr:oneCellAnchor>
    <xdr:from>
      <xdr:col>0</xdr:col>
      <xdr:colOff>390525</xdr:colOff>
      <xdr:row>67</xdr:row>
      <xdr:rowOff>0</xdr:rowOff>
    </xdr:from>
    <xdr:ext cx="5695950" cy="2962275"/>
    <xdr:grpSp>
      <xdr:nvGrpSpPr>
        <xdr:cNvPr id="6" name="Shape 2">
          <a:extLst>
            <a:ext uri="{FF2B5EF4-FFF2-40B4-BE49-F238E27FC236}">
              <a16:creationId xmlns:a16="http://schemas.microsoft.com/office/drawing/2014/main" id="{00000000-0008-0000-0700-000006000000}"/>
            </a:ext>
          </a:extLst>
        </xdr:cNvPr>
        <xdr:cNvGrpSpPr/>
      </xdr:nvGrpSpPr>
      <xdr:grpSpPr>
        <a:xfrm>
          <a:off x="390525" y="13401675"/>
          <a:ext cx="5695950" cy="2962275"/>
          <a:chOff x="2498025" y="2298863"/>
          <a:chExt cx="5695950" cy="2962275"/>
        </a:xfrm>
      </xdr:grpSpPr>
      <xdr:grpSp>
        <xdr:nvGrpSpPr>
          <xdr:cNvPr id="610" name="Shape 610" descr="More information on the web, contains links to the web&#10;Back to top&#10;Next step">
            <a:extLst>
              <a:ext uri="{FF2B5EF4-FFF2-40B4-BE49-F238E27FC236}">
                <a16:creationId xmlns:a16="http://schemas.microsoft.com/office/drawing/2014/main" id="{00000000-0008-0000-0700-000062020000}"/>
              </a:ext>
            </a:extLst>
          </xdr:cNvPr>
          <xdr:cNvGrpSpPr/>
        </xdr:nvGrpSpPr>
        <xdr:grpSpPr>
          <a:xfrm>
            <a:off x="2498025" y="2298863"/>
            <a:ext cx="5695950" cy="2962275"/>
            <a:chOff x="0" y="1"/>
            <a:chExt cx="5695950" cy="2806700"/>
          </a:xfrm>
        </xdr:grpSpPr>
        <xdr:sp macro="" textlink="">
          <xdr:nvSpPr>
            <xdr:cNvPr id="7" name="Shape 4">
              <a:extLst>
                <a:ext uri="{FF2B5EF4-FFF2-40B4-BE49-F238E27FC236}">
                  <a16:creationId xmlns:a16="http://schemas.microsoft.com/office/drawing/2014/main" id="{00000000-0008-0000-0700-000007000000}"/>
                </a:ext>
              </a:extLst>
            </xdr:cNvPr>
            <xdr:cNvSpPr/>
          </xdr:nvSpPr>
          <xdr:spPr>
            <a:xfrm>
              <a:off x="0" y="1"/>
              <a:ext cx="5695950" cy="28067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611" name="Shape 611" descr="Background">
              <a:extLst>
                <a:ext uri="{FF2B5EF4-FFF2-40B4-BE49-F238E27FC236}">
                  <a16:creationId xmlns:a16="http://schemas.microsoft.com/office/drawing/2014/main" id="{00000000-0008-0000-0700-000063020000}"/>
                </a:ext>
              </a:extLst>
            </xdr:cNvPr>
            <xdr:cNvSpPr/>
          </xdr:nvSpPr>
          <xdr:spPr>
            <a:xfrm>
              <a:off x="0" y="1"/>
              <a:ext cx="5695950" cy="2806700"/>
            </a:xfrm>
            <a:prstGeom prst="rect">
              <a:avLst/>
            </a:prstGeom>
            <a:solidFill>
              <a:srgbClr val="F5F5F5"/>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612" name="Shape 612" descr="More information on the web">
              <a:extLst>
                <a:ext uri="{FF2B5EF4-FFF2-40B4-BE49-F238E27FC236}">
                  <a16:creationId xmlns:a16="http://schemas.microsoft.com/office/drawing/2014/main" id="{00000000-0008-0000-0700-000064020000}"/>
                </a:ext>
              </a:extLst>
            </xdr:cNvPr>
            <xdr:cNvSpPr txBox="1"/>
          </xdr:nvSpPr>
          <xdr:spPr>
            <a:xfrm>
              <a:off x="231748" y="118698"/>
              <a:ext cx="5216551" cy="490903"/>
            </a:xfrm>
            <a:prstGeom prst="rect">
              <a:avLst/>
            </a:prstGeom>
            <a:noFill/>
            <a:ln>
              <a:noFill/>
            </a:ln>
          </xdr:spPr>
          <xdr:txBody>
            <a:bodyPr spcFirstLastPara="1" wrap="square" lIns="0" tIns="45700" rIns="0" bIns="45700" anchor="t" anchorCtr="0">
              <a:noAutofit/>
            </a:bodyPr>
            <a:lstStyle/>
            <a:p>
              <a:pPr marL="0" marR="0" lvl="0" indent="0" algn="l" rtl="0">
                <a:lnSpc>
                  <a:spcPct val="100000"/>
                </a:lnSpc>
                <a:spcBef>
                  <a:spcPts val="0"/>
                </a:spcBef>
                <a:spcAft>
                  <a:spcPts val="0"/>
                </a:spcAft>
                <a:buClr>
                  <a:srgbClr val="3A3838"/>
                </a:buClr>
                <a:buSzPts val="2200"/>
                <a:buFont typeface="Quattrocento Sans"/>
                <a:buNone/>
              </a:pPr>
              <a:r>
                <a:rPr lang="en-US" sz="2200" b="0" i="0" u="none" strike="noStrike" cap="none">
                  <a:solidFill>
                    <a:srgbClr val="3A3838"/>
                  </a:solidFill>
                  <a:latin typeface="Quattrocento Sans"/>
                  <a:ea typeface="Quattrocento Sans"/>
                  <a:cs typeface="Quattrocento Sans"/>
                  <a:sym typeface="Quattrocento Sans"/>
                </a:rPr>
                <a:t>More information on the web</a:t>
              </a:r>
              <a:endParaRPr sz="2200" b="0">
                <a:solidFill>
                  <a:srgbClr val="3A3838"/>
                </a:solidFill>
                <a:latin typeface="Quattrocento Sans"/>
                <a:ea typeface="Quattrocento Sans"/>
                <a:cs typeface="Quattrocento Sans"/>
                <a:sym typeface="Quattrocento Sans"/>
              </a:endParaRPr>
            </a:p>
          </xdr:txBody>
        </xdr:sp>
        <xdr:cxnSp macro="">
          <xdr:nvCxnSpPr>
            <xdr:cNvPr id="613" name="Shape 613" descr="Decorative line">
              <a:extLst>
                <a:ext uri="{FF2B5EF4-FFF2-40B4-BE49-F238E27FC236}">
                  <a16:creationId xmlns:a16="http://schemas.microsoft.com/office/drawing/2014/main" id="{00000000-0008-0000-0700-000065020000}"/>
                </a:ext>
              </a:extLst>
            </xdr:cNvPr>
            <xdr:cNvCxnSpPr/>
          </xdr:nvCxnSpPr>
          <xdr:spPr>
            <a:xfrm>
              <a:off x="234924" y="626111"/>
              <a:ext cx="5213376" cy="0"/>
            </a:xfrm>
            <a:prstGeom prst="straightConnector1">
              <a:avLst/>
            </a:prstGeom>
            <a:noFill/>
            <a:ln w="25400" cap="flat" cmpd="sng">
              <a:solidFill>
                <a:srgbClr val="217346"/>
              </a:solidFill>
              <a:prstDash val="solid"/>
              <a:round/>
              <a:headEnd type="none" w="sm" len="sm"/>
              <a:tailEnd type="none" w="sm" len="sm"/>
            </a:ln>
          </xdr:spPr>
        </xdr:cxnSp>
        <xdr:sp macro="" textlink="">
          <xdr:nvSpPr>
            <xdr:cNvPr id="614" name="Shape 614" descr="Back to top, hyperlinked to cell A1">
              <a:hlinkClick xmlns:r="http://schemas.openxmlformats.org/officeDocument/2006/relationships" r:id="rId1"/>
              <a:extLst>
                <a:ext uri="{FF2B5EF4-FFF2-40B4-BE49-F238E27FC236}">
                  <a16:creationId xmlns:a16="http://schemas.microsoft.com/office/drawing/2014/main" id="{00000000-0008-0000-0700-000066020000}"/>
                </a:ext>
              </a:extLst>
            </xdr:cNvPr>
            <xdr:cNvSpPr/>
          </xdr:nvSpPr>
          <xdr:spPr>
            <a:xfrm>
              <a:off x="234924" y="2030413"/>
              <a:ext cx="2723067" cy="536454"/>
            </a:xfrm>
            <a:prstGeom prst="upArrowCallout">
              <a:avLst>
                <a:gd name="adj1" fmla="val 25000"/>
                <a:gd name="adj2" fmla="val 25000"/>
                <a:gd name="adj3" fmla="val 25000"/>
                <a:gd name="adj4" fmla="val 64977"/>
              </a:avLst>
            </a:prstGeom>
            <a:solidFill>
              <a:srgbClr val="D8D8D8"/>
            </a:solidFill>
            <a:ln w="12700" cap="flat" cmpd="sng">
              <a:solidFill>
                <a:srgbClr val="0B744D">
                  <a:alpha val="49803"/>
                </a:srgb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a:solidFill>
                    <a:srgbClr val="0B744D"/>
                  </a:solidFill>
                  <a:latin typeface="Quattrocento Sans"/>
                  <a:ea typeface="Quattrocento Sans"/>
                  <a:cs typeface="Quattrocento Sans"/>
                  <a:sym typeface="Quattrocento Sans"/>
                </a:rPr>
                <a:t>Back to top</a:t>
              </a:r>
              <a:endParaRPr sz="1400"/>
            </a:p>
          </xdr:txBody>
        </xdr:sp>
        <xdr:cxnSp macro="">
          <xdr:nvCxnSpPr>
            <xdr:cNvPr id="615" name="Shape 615" descr="Decorative line">
              <a:extLst>
                <a:ext uri="{FF2B5EF4-FFF2-40B4-BE49-F238E27FC236}">
                  <a16:creationId xmlns:a16="http://schemas.microsoft.com/office/drawing/2014/main" id="{00000000-0008-0000-0700-000067020000}"/>
                </a:ext>
              </a:extLst>
            </xdr:cNvPr>
            <xdr:cNvCxnSpPr/>
          </xdr:nvCxnSpPr>
          <xdr:spPr>
            <a:xfrm>
              <a:off x="234924" y="1790700"/>
              <a:ext cx="5213376" cy="0"/>
            </a:xfrm>
            <a:prstGeom prst="straightConnector1">
              <a:avLst/>
            </a:prstGeom>
            <a:noFill/>
            <a:ln w="25400" cap="flat" cmpd="sng">
              <a:solidFill>
                <a:srgbClr val="217346"/>
              </a:solidFill>
              <a:prstDash val="solid"/>
              <a:round/>
              <a:headEnd type="none" w="sm" len="sm"/>
              <a:tailEnd type="none" w="sm" len="sm"/>
            </a:ln>
          </xdr:spPr>
        </xdr:cxnSp>
        <xdr:sp macro="" textlink="">
          <xdr:nvSpPr>
            <xdr:cNvPr id="616" name="Shape 616" descr="Next step button, hyperlinked to next sheet">
              <a:hlinkClick xmlns:r="http://schemas.openxmlformats.org/officeDocument/2006/relationships" r:id="rId2"/>
              <a:extLst>
                <a:ext uri="{FF2B5EF4-FFF2-40B4-BE49-F238E27FC236}">
                  <a16:creationId xmlns:a16="http://schemas.microsoft.com/office/drawing/2014/main" id="{00000000-0008-0000-0700-000068020000}"/>
                </a:ext>
              </a:extLst>
            </xdr:cNvPr>
            <xdr:cNvSpPr/>
          </xdr:nvSpPr>
          <xdr:spPr>
            <a:xfrm>
              <a:off x="4293870" y="2220914"/>
              <a:ext cx="1154430" cy="348492"/>
            </a:xfrm>
            <a:prstGeom prst="rightArrowCallout">
              <a:avLst>
                <a:gd name="adj1" fmla="val 32829"/>
                <a:gd name="adj2" fmla="val 31524"/>
                <a:gd name="adj3" fmla="val 25000"/>
                <a:gd name="adj4" fmla="val 86357"/>
              </a:avLst>
            </a:prstGeom>
            <a:solidFill>
              <a:schemeClr val="lt1"/>
            </a:solidFill>
            <a:ln w="12700" cap="flat" cmpd="sng">
              <a:solidFill>
                <a:srgbClr val="0B744D"/>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a:solidFill>
                    <a:srgbClr val="0B744D"/>
                  </a:solidFill>
                  <a:latin typeface="Quattrocento Sans"/>
                  <a:ea typeface="Quattrocento Sans"/>
                  <a:cs typeface="Quattrocento Sans"/>
                  <a:sym typeface="Quattrocento Sans"/>
                </a:rPr>
                <a:t>Next step</a:t>
              </a:r>
              <a:endParaRPr sz="1400"/>
            </a:p>
          </xdr:txBody>
        </xdr:sp>
        <xdr:sp macro="" textlink="">
          <xdr:nvSpPr>
            <xdr:cNvPr id="617" name="Shape 617" descr="Analyze your data instantly, hyperlinked to web">
              <a:hlinkClick xmlns:r="http://schemas.openxmlformats.org/officeDocument/2006/relationships" r:id="rId3"/>
              <a:extLst>
                <a:ext uri="{FF2B5EF4-FFF2-40B4-BE49-F238E27FC236}">
                  <a16:creationId xmlns:a16="http://schemas.microsoft.com/office/drawing/2014/main" id="{00000000-0008-0000-0700-000069020000}"/>
                </a:ext>
              </a:extLst>
            </xdr:cNvPr>
            <xdr:cNvSpPr txBox="1"/>
          </xdr:nvSpPr>
          <xdr:spPr>
            <a:xfrm>
              <a:off x="638783" y="794849"/>
              <a:ext cx="1828192" cy="310052"/>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050" u="sng">
                  <a:solidFill>
                    <a:srgbClr val="3F3F3F"/>
                  </a:solidFill>
                  <a:latin typeface="Quattrocento Sans"/>
                  <a:ea typeface="Quattrocento Sans"/>
                  <a:cs typeface="Quattrocento Sans"/>
                  <a:sym typeface="Quattrocento Sans"/>
                </a:rPr>
                <a:t>Analyze your data instantly</a:t>
              </a:r>
              <a:endParaRPr sz="1400"/>
            </a:p>
          </xdr:txBody>
        </xdr:sp>
        <xdr:pic>
          <xdr:nvPicPr>
            <xdr:cNvPr id="618" name="Shape 618" descr="Arrow">
              <a:hlinkClick xmlns:r="http://schemas.openxmlformats.org/officeDocument/2006/relationships" r:id="rId3"/>
              <a:extLst>
                <a:ext uri="{FF2B5EF4-FFF2-40B4-BE49-F238E27FC236}">
                  <a16:creationId xmlns:a16="http://schemas.microsoft.com/office/drawing/2014/main" id="{00000000-0008-0000-0700-00006A020000}"/>
                </a:ext>
              </a:extLst>
            </xdr:cNvPr>
            <xdr:cNvPicPr preferRelativeResize="0"/>
          </xdr:nvPicPr>
          <xdr:blipFill rotWithShape="1">
            <a:blip xmlns:r="http://schemas.openxmlformats.org/officeDocument/2006/relationships" r:embed="rId4">
              <a:alphaModFix/>
            </a:blip>
            <a:srcRect/>
            <a:stretch/>
          </xdr:blipFill>
          <xdr:spPr>
            <a:xfrm>
              <a:off x="211503" y="699572"/>
              <a:ext cx="454554" cy="448472"/>
            </a:xfrm>
            <a:prstGeom prst="rect">
              <a:avLst/>
            </a:prstGeom>
            <a:noFill/>
            <a:ln>
              <a:noFill/>
            </a:ln>
          </xdr:spPr>
        </xdr:pic>
        <xdr:sp macro="" textlink="">
          <xdr:nvSpPr>
            <xdr:cNvPr id="619" name="Shape 619" descr="Analyze trends in data using sparklines, hyperlinked to web">
              <a:hlinkClick xmlns:r="http://schemas.openxmlformats.org/officeDocument/2006/relationships" r:id="rId5"/>
              <a:extLst>
                <a:ext uri="{FF2B5EF4-FFF2-40B4-BE49-F238E27FC236}">
                  <a16:creationId xmlns:a16="http://schemas.microsoft.com/office/drawing/2014/main" id="{00000000-0008-0000-0700-00006B020000}"/>
                </a:ext>
              </a:extLst>
            </xdr:cNvPr>
            <xdr:cNvSpPr txBox="1"/>
          </xdr:nvSpPr>
          <xdr:spPr>
            <a:xfrm>
              <a:off x="638783" y="1259456"/>
              <a:ext cx="2523517" cy="290453"/>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050" u="sng">
                  <a:solidFill>
                    <a:srgbClr val="3F3F3F"/>
                  </a:solidFill>
                  <a:latin typeface="Quattrocento Sans"/>
                  <a:ea typeface="Quattrocento Sans"/>
                  <a:cs typeface="Quattrocento Sans"/>
                  <a:sym typeface="Quattrocento Sans"/>
                </a:rPr>
                <a:t>Analyze trends in data using sparklines</a:t>
              </a:r>
              <a:endParaRPr sz="1400"/>
            </a:p>
            <a:p>
              <a:pPr marL="0" lvl="0" indent="0" algn="l" rtl="0">
                <a:spcBef>
                  <a:spcPts val="0"/>
                </a:spcBef>
                <a:spcAft>
                  <a:spcPts val="0"/>
                </a:spcAft>
                <a:buNone/>
              </a:pPr>
              <a:endParaRPr sz="1050" u="sng">
                <a:solidFill>
                  <a:srgbClr val="3F3F3F"/>
                </a:solidFill>
                <a:latin typeface="Quattrocento Sans"/>
                <a:ea typeface="Quattrocento Sans"/>
                <a:cs typeface="Quattrocento Sans"/>
                <a:sym typeface="Quattrocento Sans"/>
              </a:endParaRPr>
            </a:p>
          </xdr:txBody>
        </xdr:sp>
        <xdr:pic>
          <xdr:nvPicPr>
            <xdr:cNvPr id="620" name="Shape 620" descr="Arrow">
              <a:hlinkClick xmlns:r="http://schemas.openxmlformats.org/officeDocument/2006/relationships" r:id="rId5"/>
              <a:extLst>
                <a:ext uri="{FF2B5EF4-FFF2-40B4-BE49-F238E27FC236}">
                  <a16:creationId xmlns:a16="http://schemas.microsoft.com/office/drawing/2014/main" id="{00000000-0008-0000-0700-00006C020000}"/>
                </a:ext>
              </a:extLst>
            </xdr:cNvPr>
            <xdr:cNvPicPr preferRelativeResize="0"/>
          </xdr:nvPicPr>
          <xdr:blipFill rotWithShape="1">
            <a:blip xmlns:r="http://schemas.openxmlformats.org/officeDocument/2006/relationships" r:embed="rId4">
              <a:alphaModFix/>
            </a:blip>
            <a:srcRect/>
            <a:stretch/>
          </xdr:blipFill>
          <xdr:spPr>
            <a:xfrm>
              <a:off x="211503" y="1157426"/>
              <a:ext cx="454554" cy="448472"/>
            </a:xfrm>
            <a:prstGeom prst="rect">
              <a:avLst/>
            </a:prstGeom>
            <a:noFill/>
            <a:ln>
              <a:noFill/>
            </a:ln>
          </xdr:spPr>
        </xdr:pic>
      </xdr:grpSp>
    </xdr:grpSp>
    <xdr:clientData fLocksWithSheet="0"/>
  </xdr:oneCellAnchor>
  <xdr:oneCellAnchor>
    <xdr:from>
      <xdr:col>0</xdr:col>
      <xdr:colOff>333375</xdr:colOff>
      <xdr:row>0</xdr:row>
      <xdr:rowOff>266700</xdr:rowOff>
    </xdr:from>
    <xdr:ext cx="5695950" cy="4114800"/>
    <xdr:grpSp>
      <xdr:nvGrpSpPr>
        <xdr:cNvPr id="8" name="Shape 2">
          <a:extLst>
            <a:ext uri="{FF2B5EF4-FFF2-40B4-BE49-F238E27FC236}">
              <a16:creationId xmlns:a16="http://schemas.microsoft.com/office/drawing/2014/main" id="{00000000-0008-0000-0700-000008000000}"/>
            </a:ext>
          </a:extLst>
        </xdr:cNvPr>
        <xdr:cNvGrpSpPr/>
      </xdr:nvGrpSpPr>
      <xdr:grpSpPr>
        <a:xfrm>
          <a:off x="333375" y="266700"/>
          <a:ext cx="5695950" cy="4114800"/>
          <a:chOff x="2498025" y="1722600"/>
          <a:chExt cx="5695950" cy="4114800"/>
        </a:xfrm>
      </xdr:grpSpPr>
      <xdr:grpSp>
        <xdr:nvGrpSpPr>
          <xdr:cNvPr id="621" name="Shape 621" descr="Analyze data quickly&#10;Here’s how to analyze data so that you can spot patterns and trends quickly:&#10;Click and drag to select all cells on the right, and then click this button in the lower-right corner:&#10;On the panel that appears, click Data Bars. The cells under Oct, Nov, and Dec columns get special data bars that visualize their amounts.&#10;Now let's say you want to get rid of the bars. Click this button again:&#10;On the panel that appears, click the Clear Format button on the right.&#10;Dive down for more detail &#10;Next step">
            <a:extLst>
              <a:ext uri="{FF2B5EF4-FFF2-40B4-BE49-F238E27FC236}">
                <a16:creationId xmlns:a16="http://schemas.microsoft.com/office/drawing/2014/main" id="{00000000-0008-0000-0700-00006D020000}"/>
              </a:ext>
            </a:extLst>
          </xdr:cNvPr>
          <xdr:cNvGrpSpPr/>
        </xdr:nvGrpSpPr>
        <xdr:grpSpPr>
          <a:xfrm>
            <a:off x="2498025" y="1722600"/>
            <a:ext cx="5695950" cy="4114800"/>
            <a:chOff x="333375" y="266700"/>
            <a:chExt cx="5695950" cy="4114800"/>
          </a:xfrm>
        </xdr:grpSpPr>
        <xdr:sp macro="" textlink="">
          <xdr:nvSpPr>
            <xdr:cNvPr id="9" name="Shape 4">
              <a:extLst>
                <a:ext uri="{FF2B5EF4-FFF2-40B4-BE49-F238E27FC236}">
                  <a16:creationId xmlns:a16="http://schemas.microsoft.com/office/drawing/2014/main" id="{00000000-0008-0000-0700-000009000000}"/>
                </a:ext>
              </a:extLst>
            </xdr:cNvPr>
            <xdr:cNvSpPr/>
          </xdr:nvSpPr>
          <xdr:spPr>
            <a:xfrm>
              <a:off x="333375" y="266700"/>
              <a:ext cx="5695950" cy="4114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622" name="Shape 622" descr="Background">
              <a:extLst>
                <a:ext uri="{FF2B5EF4-FFF2-40B4-BE49-F238E27FC236}">
                  <a16:creationId xmlns:a16="http://schemas.microsoft.com/office/drawing/2014/main" id="{00000000-0008-0000-0700-00006E020000}"/>
                </a:ext>
              </a:extLst>
            </xdr:cNvPr>
            <xdr:cNvSpPr/>
          </xdr:nvSpPr>
          <xdr:spPr>
            <a:xfrm>
              <a:off x="333375" y="266700"/>
              <a:ext cx="5695950" cy="4114800"/>
            </a:xfrm>
            <a:prstGeom prst="rect">
              <a:avLst/>
            </a:prstGeom>
            <a:solidFill>
              <a:srgbClr val="F5F5F5"/>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623" name="Shape 623" descr="Analyze data quickly">
              <a:extLst>
                <a:ext uri="{FF2B5EF4-FFF2-40B4-BE49-F238E27FC236}">
                  <a16:creationId xmlns:a16="http://schemas.microsoft.com/office/drawing/2014/main" id="{00000000-0008-0000-0700-00006F020000}"/>
                </a:ext>
              </a:extLst>
            </xdr:cNvPr>
            <xdr:cNvSpPr txBox="1"/>
          </xdr:nvSpPr>
          <xdr:spPr>
            <a:xfrm>
              <a:off x="565123" y="385397"/>
              <a:ext cx="5216551" cy="490903"/>
            </a:xfrm>
            <a:prstGeom prst="rect">
              <a:avLst/>
            </a:prstGeom>
            <a:noFill/>
            <a:ln>
              <a:noFill/>
            </a:ln>
          </xdr:spPr>
          <xdr:txBody>
            <a:bodyPr spcFirstLastPara="1" wrap="square" lIns="0" tIns="45700" rIns="0" bIns="45700" anchor="t" anchorCtr="0">
              <a:noAutofit/>
            </a:bodyPr>
            <a:lstStyle/>
            <a:p>
              <a:pPr marL="0" lvl="0" indent="0" algn="l" rtl="0">
                <a:spcBef>
                  <a:spcPts val="0"/>
                </a:spcBef>
                <a:spcAft>
                  <a:spcPts val="0"/>
                </a:spcAft>
                <a:buNone/>
              </a:pPr>
              <a:r>
                <a:rPr lang="en-US" sz="2400">
                  <a:solidFill>
                    <a:srgbClr val="3A3838"/>
                  </a:solidFill>
                  <a:latin typeface="Quattrocento Sans"/>
                  <a:ea typeface="Quattrocento Sans"/>
                  <a:cs typeface="Quattrocento Sans"/>
                  <a:sym typeface="Quattrocento Sans"/>
                </a:rPr>
                <a:t>Analyze data quickly</a:t>
              </a:r>
              <a:endParaRPr sz="2400">
                <a:solidFill>
                  <a:srgbClr val="3A3838"/>
                </a:solidFill>
                <a:latin typeface="Quattrocento Sans"/>
                <a:ea typeface="Quattrocento Sans"/>
                <a:cs typeface="Quattrocento Sans"/>
                <a:sym typeface="Quattrocento Sans"/>
              </a:endParaRPr>
            </a:p>
          </xdr:txBody>
        </xdr:sp>
        <xdr:cxnSp macro="">
          <xdr:nvCxnSpPr>
            <xdr:cNvPr id="624" name="Shape 624" descr="Decorative line">
              <a:extLst>
                <a:ext uri="{FF2B5EF4-FFF2-40B4-BE49-F238E27FC236}">
                  <a16:creationId xmlns:a16="http://schemas.microsoft.com/office/drawing/2014/main" id="{00000000-0008-0000-0700-000070020000}"/>
                </a:ext>
              </a:extLst>
            </xdr:cNvPr>
            <xdr:cNvCxnSpPr/>
          </xdr:nvCxnSpPr>
          <xdr:spPr>
            <a:xfrm>
              <a:off x="568299" y="892810"/>
              <a:ext cx="5213376" cy="0"/>
            </a:xfrm>
            <a:prstGeom prst="straightConnector1">
              <a:avLst/>
            </a:prstGeom>
            <a:noFill/>
            <a:ln w="25400" cap="flat" cmpd="sng">
              <a:solidFill>
                <a:srgbClr val="217346"/>
              </a:solidFill>
              <a:prstDash val="solid"/>
              <a:round/>
              <a:headEnd type="none" w="sm" len="sm"/>
              <a:tailEnd type="none" w="sm" len="sm"/>
            </a:ln>
          </xdr:spPr>
        </xdr:cxnSp>
        <xdr:sp macro="" textlink="">
          <xdr:nvSpPr>
            <xdr:cNvPr id="625" name="Shape 625" descr="Dive down for more detail">
              <a:extLst>
                <a:ext uri="{FF2B5EF4-FFF2-40B4-BE49-F238E27FC236}">
                  <a16:creationId xmlns:a16="http://schemas.microsoft.com/office/drawing/2014/main" id="{00000000-0008-0000-0700-000071020000}"/>
                </a:ext>
              </a:extLst>
            </xdr:cNvPr>
            <xdr:cNvSpPr/>
          </xdr:nvSpPr>
          <xdr:spPr>
            <a:xfrm>
              <a:off x="568299" y="3672826"/>
              <a:ext cx="2723067" cy="536454"/>
            </a:xfrm>
            <a:prstGeom prst="downArrowCallout">
              <a:avLst>
                <a:gd name="adj1" fmla="val 25000"/>
                <a:gd name="adj2" fmla="val 25000"/>
                <a:gd name="adj3" fmla="val 25000"/>
                <a:gd name="adj4" fmla="val 64977"/>
              </a:avLst>
            </a:prstGeom>
            <a:solidFill>
              <a:srgbClr val="D8D8D8"/>
            </a:solidFill>
            <a:ln w="12700" cap="flat" cmpd="sng">
              <a:solidFill>
                <a:srgbClr val="0B744D">
                  <a:alpha val="49803"/>
                </a:srgb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a:solidFill>
                    <a:srgbClr val="0B744D"/>
                  </a:solidFill>
                  <a:latin typeface="Quattrocento Sans"/>
                  <a:ea typeface="Quattrocento Sans"/>
                  <a:cs typeface="Quattrocento Sans"/>
                  <a:sym typeface="Quattrocento Sans"/>
                </a:rPr>
                <a:t>Dive down for more detail</a:t>
              </a:r>
              <a:endParaRPr sz="1400"/>
            </a:p>
          </xdr:txBody>
        </xdr:sp>
        <xdr:cxnSp macro="">
          <xdr:nvCxnSpPr>
            <xdr:cNvPr id="626" name="Shape 626" descr="Decorative line">
              <a:extLst>
                <a:ext uri="{FF2B5EF4-FFF2-40B4-BE49-F238E27FC236}">
                  <a16:creationId xmlns:a16="http://schemas.microsoft.com/office/drawing/2014/main" id="{00000000-0008-0000-0700-000072020000}"/>
                </a:ext>
              </a:extLst>
            </xdr:cNvPr>
            <xdr:cNvCxnSpPr/>
          </xdr:nvCxnSpPr>
          <xdr:spPr>
            <a:xfrm>
              <a:off x="568299" y="3436937"/>
              <a:ext cx="5213376" cy="0"/>
            </a:xfrm>
            <a:prstGeom prst="straightConnector1">
              <a:avLst/>
            </a:prstGeom>
            <a:noFill/>
            <a:ln w="25400" cap="flat" cmpd="sng">
              <a:solidFill>
                <a:srgbClr val="217346"/>
              </a:solidFill>
              <a:prstDash val="solid"/>
              <a:round/>
              <a:headEnd type="none" w="sm" len="sm"/>
              <a:tailEnd type="none" w="sm" len="sm"/>
            </a:ln>
          </xdr:spPr>
        </xdr:cxnSp>
        <xdr:sp macro="" textlink="">
          <xdr:nvSpPr>
            <xdr:cNvPr id="627" name="Shape 627" descr="Next step button, hyperlinked to next sheet">
              <a:hlinkClick xmlns:r="http://schemas.openxmlformats.org/officeDocument/2006/relationships" r:id="rId2"/>
              <a:extLst>
                <a:ext uri="{FF2B5EF4-FFF2-40B4-BE49-F238E27FC236}">
                  <a16:creationId xmlns:a16="http://schemas.microsoft.com/office/drawing/2014/main" id="{00000000-0008-0000-0700-000073020000}"/>
                </a:ext>
              </a:extLst>
            </xdr:cNvPr>
            <xdr:cNvSpPr/>
          </xdr:nvSpPr>
          <xdr:spPr>
            <a:xfrm>
              <a:off x="4627245" y="3672826"/>
              <a:ext cx="1154430" cy="348492"/>
            </a:xfrm>
            <a:prstGeom prst="rightArrowCallout">
              <a:avLst>
                <a:gd name="adj1" fmla="val 32829"/>
                <a:gd name="adj2" fmla="val 31524"/>
                <a:gd name="adj3" fmla="val 25000"/>
                <a:gd name="adj4" fmla="val 86357"/>
              </a:avLst>
            </a:prstGeom>
            <a:solidFill>
              <a:schemeClr val="lt1"/>
            </a:solidFill>
            <a:ln w="12700" cap="flat" cmpd="sng">
              <a:solidFill>
                <a:srgbClr val="0B744D"/>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a:solidFill>
                    <a:srgbClr val="0B744D"/>
                  </a:solidFill>
                  <a:latin typeface="Quattrocento Sans"/>
                  <a:ea typeface="Quattrocento Sans"/>
                  <a:cs typeface="Quattrocento Sans"/>
                  <a:sym typeface="Quattrocento Sans"/>
                </a:rPr>
                <a:t>Next step</a:t>
              </a:r>
              <a:endParaRPr sz="1400"/>
            </a:p>
          </xdr:txBody>
        </xdr:sp>
        <xdr:sp macro="" textlink="">
          <xdr:nvSpPr>
            <xdr:cNvPr id="628" name="Shape 628" descr="Here’s how to analyze data so that you can spot patterns and trends quickly:">
              <a:extLst>
                <a:ext uri="{FF2B5EF4-FFF2-40B4-BE49-F238E27FC236}">
                  <a16:creationId xmlns:a16="http://schemas.microsoft.com/office/drawing/2014/main" id="{00000000-0008-0000-0700-000074020000}"/>
                </a:ext>
              </a:extLst>
            </xdr:cNvPr>
            <xdr:cNvSpPr txBox="1"/>
          </xdr:nvSpPr>
          <xdr:spPr>
            <a:xfrm>
              <a:off x="561975" y="966420"/>
              <a:ext cx="5300938" cy="252778"/>
            </a:xfrm>
            <a:prstGeom prst="rect">
              <a:avLst/>
            </a:prstGeom>
            <a:noFill/>
            <a:ln>
              <a:noFill/>
            </a:ln>
          </xdr:spPr>
          <xdr:txBody>
            <a:bodyPr spcFirstLastPara="1" wrap="square" lIns="0" tIns="45700" rIns="0" bIns="45700" anchor="t" anchorCtr="0">
              <a:noAutofit/>
            </a:bodyPr>
            <a:lstStyle/>
            <a:p>
              <a:pPr marL="0" marR="0" lvl="0" indent="0" algn="l" rtl="0">
                <a:lnSpc>
                  <a:spcPct val="100000"/>
                </a:lnSpc>
                <a:spcBef>
                  <a:spcPts val="0"/>
                </a:spcBef>
                <a:spcAft>
                  <a:spcPts val="0"/>
                </a:spcAft>
                <a:buClr>
                  <a:srgbClr val="3F3F3F"/>
                </a:buClr>
                <a:buSzPts val="1100"/>
                <a:buFont typeface="Quattrocento Sans"/>
                <a:buNone/>
              </a:pPr>
              <a:r>
                <a:rPr lang="en-US" sz="1100" b="0" i="0" u="none" strike="noStrike" cap="none">
                  <a:solidFill>
                    <a:srgbClr val="3F3F3F"/>
                  </a:solidFill>
                  <a:latin typeface="Quattrocento Sans"/>
                  <a:ea typeface="Quattrocento Sans"/>
                  <a:cs typeface="Quattrocento Sans"/>
                  <a:sym typeface="Quattrocento Sans"/>
                </a:rPr>
                <a:t>Here’s how to analyze data so that you can spot patterns and trends quickly:</a:t>
              </a:r>
              <a:endParaRPr sz="1400"/>
            </a:p>
          </xdr:txBody>
        </xdr:sp>
        <xdr:sp macro="" textlink="">
          <xdr:nvSpPr>
            <xdr:cNvPr id="629" name="Shape 629" descr="Click and drag to select all cells on the right, and then click this button in the lower-right corner:">
              <a:extLst>
                <a:ext uri="{FF2B5EF4-FFF2-40B4-BE49-F238E27FC236}">
                  <a16:creationId xmlns:a16="http://schemas.microsoft.com/office/drawing/2014/main" id="{00000000-0008-0000-0700-000075020000}"/>
                </a:ext>
              </a:extLst>
            </xdr:cNvPr>
            <xdr:cNvSpPr txBox="1"/>
          </xdr:nvSpPr>
          <xdr:spPr>
            <a:xfrm>
              <a:off x="972158" y="1312533"/>
              <a:ext cx="4809516" cy="478167"/>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050">
                  <a:solidFill>
                    <a:srgbClr val="3F3F3F"/>
                  </a:solidFill>
                  <a:latin typeface="Quattrocento Sans"/>
                  <a:ea typeface="Quattrocento Sans"/>
                  <a:cs typeface="Quattrocento Sans"/>
                  <a:sym typeface="Quattrocento Sans"/>
                </a:rPr>
                <a:t>Click and drag to select all cells on the right, and then click this button in the lower-right corner: </a:t>
              </a:r>
              <a:endParaRPr sz="1050">
                <a:solidFill>
                  <a:srgbClr val="3F3F3F"/>
                </a:solidFill>
                <a:latin typeface="Quattrocento Sans"/>
                <a:ea typeface="Quattrocento Sans"/>
                <a:cs typeface="Quattrocento Sans"/>
                <a:sym typeface="Quattrocento Sans"/>
              </a:endParaRPr>
            </a:p>
          </xdr:txBody>
        </xdr:sp>
        <xdr:sp macro="" textlink="">
          <xdr:nvSpPr>
            <xdr:cNvPr id="630" name="Shape 630" descr="1">
              <a:extLst>
                <a:ext uri="{FF2B5EF4-FFF2-40B4-BE49-F238E27FC236}">
                  <a16:creationId xmlns:a16="http://schemas.microsoft.com/office/drawing/2014/main" id="{00000000-0008-0000-0700-000076020000}"/>
                </a:ext>
              </a:extLst>
            </xdr:cNvPr>
            <xdr:cNvSpPr/>
          </xdr:nvSpPr>
          <xdr:spPr>
            <a:xfrm>
              <a:off x="565124" y="1270035"/>
              <a:ext cx="371587"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1</a:t>
              </a:r>
              <a:endParaRPr sz="1400"/>
            </a:p>
          </xdr:txBody>
        </xdr:sp>
        <xdr:sp macro="" textlink="">
          <xdr:nvSpPr>
            <xdr:cNvPr id="631" name="Shape 631" descr="On the panel that appears, click Data Bars. The cells under Oct, Nov, and Dec columns get special data bars that visualize their amounts">
              <a:extLst>
                <a:ext uri="{FF2B5EF4-FFF2-40B4-BE49-F238E27FC236}">
                  <a16:creationId xmlns:a16="http://schemas.microsoft.com/office/drawing/2014/main" id="{00000000-0008-0000-0700-000077020000}"/>
                </a:ext>
              </a:extLst>
            </xdr:cNvPr>
            <xdr:cNvSpPr txBox="1"/>
          </xdr:nvSpPr>
          <xdr:spPr>
            <a:xfrm>
              <a:off x="972157" y="1799454"/>
              <a:ext cx="4809517" cy="515122"/>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050">
                  <a:solidFill>
                    <a:srgbClr val="3F3F3F"/>
                  </a:solidFill>
                  <a:latin typeface="Quattrocento Sans"/>
                  <a:ea typeface="Quattrocento Sans"/>
                  <a:cs typeface="Quattrocento Sans"/>
                  <a:sym typeface="Quattrocento Sans"/>
                </a:rPr>
                <a:t>On the panel that appears, click </a:t>
              </a:r>
              <a:r>
                <a:rPr lang="en-US" sz="1050" b="1">
                  <a:solidFill>
                    <a:srgbClr val="3F3F3F"/>
                  </a:solidFill>
                  <a:latin typeface="Quattrocento Sans"/>
                  <a:ea typeface="Quattrocento Sans"/>
                  <a:cs typeface="Quattrocento Sans"/>
                  <a:sym typeface="Quattrocento Sans"/>
                </a:rPr>
                <a:t>Data Bars</a:t>
              </a:r>
              <a:r>
                <a:rPr lang="en-US" sz="1050">
                  <a:solidFill>
                    <a:srgbClr val="3F3F3F"/>
                  </a:solidFill>
                  <a:latin typeface="Quattrocento Sans"/>
                  <a:ea typeface="Quattrocento Sans"/>
                  <a:cs typeface="Quattrocento Sans"/>
                  <a:sym typeface="Quattrocento Sans"/>
                </a:rPr>
                <a:t>. The cells under Oct, Nov, and Dec columns get special data bars that visualize their amounts.</a:t>
              </a:r>
              <a:endParaRPr sz="1400"/>
            </a:p>
          </xdr:txBody>
        </xdr:sp>
        <xdr:sp macro="" textlink="">
          <xdr:nvSpPr>
            <xdr:cNvPr id="632" name="Shape 632" descr="2">
              <a:extLst>
                <a:ext uri="{FF2B5EF4-FFF2-40B4-BE49-F238E27FC236}">
                  <a16:creationId xmlns:a16="http://schemas.microsoft.com/office/drawing/2014/main" id="{00000000-0008-0000-0700-000078020000}"/>
                </a:ext>
              </a:extLst>
            </xdr:cNvPr>
            <xdr:cNvSpPr/>
          </xdr:nvSpPr>
          <xdr:spPr>
            <a:xfrm>
              <a:off x="565124" y="1756955"/>
              <a:ext cx="371587"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2</a:t>
              </a:r>
              <a:endParaRPr sz="1400"/>
            </a:p>
          </xdr:txBody>
        </xdr:sp>
        <xdr:sp macro="" textlink="">
          <xdr:nvSpPr>
            <xdr:cNvPr id="633" name="Shape 633" descr="Now let's say you want to get rid of the bars. Click this button again:">
              <a:extLst>
                <a:ext uri="{FF2B5EF4-FFF2-40B4-BE49-F238E27FC236}">
                  <a16:creationId xmlns:a16="http://schemas.microsoft.com/office/drawing/2014/main" id="{00000000-0008-0000-0700-000079020000}"/>
                </a:ext>
              </a:extLst>
            </xdr:cNvPr>
            <xdr:cNvSpPr txBox="1"/>
          </xdr:nvSpPr>
          <xdr:spPr>
            <a:xfrm>
              <a:off x="972158" y="2303570"/>
              <a:ext cx="4809516" cy="430106"/>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050">
                  <a:solidFill>
                    <a:srgbClr val="3F3F3F"/>
                  </a:solidFill>
                  <a:latin typeface="Quattrocento Sans"/>
                  <a:ea typeface="Quattrocento Sans"/>
                  <a:cs typeface="Quattrocento Sans"/>
                  <a:sym typeface="Quattrocento Sans"/>
                </a:rPr>
                <a:t>Now let's say you want to get rid of the bars. Click this button again:</a:t>
              </a:r>
              <a:endParaRPr sz="1400"/>
            </a:p>
          </xdr:txBody>
        </xdr:sp>
        <xdr:sp macro="" textlink="">
          <xdr:nvSpPr>
            <xdr:cNvPr id="634" name="Shape 634" descr="3">
              <a:extLst>
                <a:ext uri="{FF2B5EF4-FFF2-40B4-BE49-F238E27FC236}">
                  <a16:creationId xmlns:a16="http://schemas.microsoft.com/office/drawing/2014/main" id="{00000000-0008-0000-0700-00007A020000}"/>
                </a:ext>
              </a:extLst>
            </xdr:cNvPr>
            <xdr:cNvSpPr/>
          </xdr:nvSpPr>
          <xdr:spPr>
            <a:xfrm>
              <a:off x="565124" y="2261071"/>
              <a:ext cx="371587"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3</a:t>
              </a:r>
              <a:endParaRPr sz="1400"/>
            </a:p>
          </xdr:txBody>
        </xdr:sp>
        <xdr:sp macro="" textlink="">
          <xdr:nvSpPr>
            <xdr:cNvPr id="635" name="Shape 635" descr="On the panel that appears, click the Clear Format button on the right">
              <a:extLst>
                <a:ext uri="{FF2B5EF4-FFF2-40B4-BE49-F238E27FC236}">
                  <a16:creationId xmlns:a16="http://schemas.microsoft.com/office/drawing/2014/main" id="{00000000-0008-0000-0700-00007B020000}"/>
                </a:ext>
              </a:extLst>
            </xdr:cNvPr>
            <xdr:cNvSpPr txBox="1"/>
          </xdr:nvSpPr>
          <xdr:spPr>
            <a:xfrm>
              <a:off x="972158" y="2792793"/>
              <a:ext cx="4809516" cy="464758"/>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050">
                  <a:solidFill>
                    <a:srgbClr val="3F3F3F"/>
                  </a:solidFill>
                  <a:latin typeface="Quattrocento Sans"/>
                  <a:ea typeface="Quattrocento Sans"/>
                  <a:cs typeface="Quattrocento Sans"/>
                  <a:sym typeface="Quattrocento Sans"/>
                </a:rPr>
                <a:t>On the panel that appears, click the </a:t>
              </a:r>
              <a:r>
                <a:rPr lang="en-US" sz="1050" b="1">
                  <a:solidFill>
                    <a:srgbClr val="3F3F3F"/>
                  </a:solidFill>
                  <a:latin typeface="Quattrocento Sans"/>
                  <a:ea typeface="Quattrocento Sans"/>
                  <a:cs typeface="Quattrocento Sans"/>
                  <a:sym typeface="Quattrocento Sans"/>
                </a:rPr>
                <a:t>Clear</a:t>
              </a:r>
              <a:r>
                <a:rPr lang="en-US" sz="1050">
                  <a:solidFill>
                    <a:srgbClr val="3F3F3F"/>
                  </a:solidFill>
                  <a:latin typeface="Quattrocento Sans"/>
                  <a:ea typeface="Quattrocento Sans"/>
                  <a:cs typeface="Quattrocento Sans"/>
                  <a:sym typeface="Quattrocento Sans"/>
                </a:rPr>
                <a:t> </a:t>
              </a:r>
              <a:r>
                <a:rPr lang="en-US" sz="1050" b="1">
                  <a:solidFill>
                    <a:srgbClr val="3F3F3F"/>
                  </a:solidFill>
                  <a:latin typeface="Quattrocento Sans"/>
                  <a:ea typeface="Quattrocento Sans"/>
                  <a:cs typeface="Quattrocento Sans"/>
                  <a:sym typeface="Quattrocento Sans"/>
                </a:rPr>
                <a:t>Format </a:t>
              </a:r>
              <a:r>
                <a:rPr lang="en-US" sz="1050">
                  <a:solidFill>
                    <a:srgbClr val="3F3F3F"/>
                  </a:solidFill>
                  <a:latin typeface="Quattrocento Sans"/>
                  <a:ea typeface="Quattrocento Sans"/>
                  <a:cs typeface="Quattrocento Sans"/>
                  <a:sym typeface="Quattrocento Sans"/>
                </a:rPr>
                <a:t>button on the right. </a:t>
              </a:r>
              <a:endParaRPr sz="1400"/>
            </a:p>
          </xdr:txBody>
        </xdr:sp>
        <xdr:sp macro="" textlink="">
          <xdr:nvSpPr>
            <xdr:cNvPr id="636" name="Shape 636" descr="4">
              <a:extLst>
                <a:ext uri="{FF2B5EF4-FFF2-40B4-BE49-F238E27FC236}">
                  <a16:creationId xmlns:a16="http://schemas.microsoft.com/office/drawing/2014/main" id="{00000000-0008-0000-0700-00007C020000}"/>
                </a:ext>
              </a:extLst>
            </xdr:cNvPr>
            <xdr:cNvSpPr/>
          </xdr:nvSpPr>
          <xdr:spPr>
            <a:xfrm>
              <a:off x="565124" y="2750294"/>
              <a:ext cx="371587"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4</a:t>
              </a:r>
              <a:endParaRPr sz="1400"/>
            </a:p>
          </xdr:txBody>
        </xdr:sp>
        <xdr:pic>
          <xdr:nvPicPr>
            <xdr:cNvPr id="637" name="Shape 637" descr="Quick Analysis button">
              <a:extLst>
                <a:ext uri="{FF2B5EF4-FFF2-40B4-BE49-F238E27FC236}">
                  <a16:creationId xmlns:a16="http://schemas.microsoft.com/office/drawing/2014/main" id="{00000000-0008-0000-0700-00007D020000}"/>
                </a:ext>
              </a:extLst>
            </xdr:cNvPr>
            <xdr:cNvPicPr preferRelativeResize="0"/>
          </xdr:nvPicPr>
          <xdr:blipFill rotWithShape="1">
            <a:blip xmlns:r="http://schemas.openxmlformats.org/officeDocument/2006/relationships" r:embed="rId6">
              <a:alphaModFix/>
            </a:blip>
            <a:srcRect l="29498" t="32404" r="36227" b="19590"/>
            <a:stretch/>
          </xdr:blipFill>
          <xdr:spPr>
            <a:xfrm>
              <a:off x="2251988" y="1546622"/>
              <a:ext cx="243562" cy="241511"/>
            </a:xfrm>
            <a:prstGeom prst="rect">
              <a:avLst/>
            </a:prstGeom>
            <a:noFill/>
            <a:ln>
              <a:noFill/>
            </a:ln>
          </xdr:spPr>
        </xdr:pic>
        <xdr:pic>
          <xdr:nvPicPr>
            <xdr:cNvPr id="638" name="Shape 638" descr="Quick Analysis button">
              <a:extLst>
                <a:ext uri="{FF2B5EF4-FFF2-40B4-BE49-F238E27FC236}">
                  <a16:creationId xmlns:a16="http://schemas.microsoft.com/office/drawing/2014/main" id="{00000000-0008-0000-0700-00007E020000}"/>
                </a:ext>
              </a:extLst>
            </xdr:cNvPr>
            <xdr:cNvPicPr preferRelativeResize="0"/>
          </xdr:nvPicPr>
          <xdr:blipFill rotWithShape="1">
            <a:blip xmlns:r="http://schemas.openxmlformats.org/officeDocument/2006/relationships" r:embed="rId6">
              <a:alphaModFix/>
            </a:blip>
            <a:srcRect l="29498" t="32404" r="36227" b="19590"/>
            <a:stretch/>
          </xdr:blipFill>
          <xdr:spPr>
            <a:xfrm>
              <a:off x="5176163" y="2260997"/>
              <a:ext cx="243562" cy="241511"/>
            </a:xfrm>
            <a:prstGeom prst="rect">
              <a:avLst/>
            </a:prstGeom>
            <a:noFill/>
            <a:ln>
              <a:noFill/>
            </a:ln>
          </xdr:spPr>
        </xdr:pic>
      </xdr:grpSp>
    </xdr:grpSp>
    <xdr:clientData fLocksWithSheet="0"/>
  </xdr:oneCellAnchor>
  <xdr:oneCellAnchor>
    <xdr:from>
      <xdr:col>2</xdr:col>
      <xdr:colOff>723900</xdr:colOff>
      <xdr:row>13</xdr:row>
      <xdr:rowOff>104775</xdr:rowOff>
    </xdr:from>
    <xdr:ext cx="3171825" cy="1171575"/>
    <xdr:grpSp>
      <xdr:nvGrpSpPr>
        <xdr:cNvPr id="10" name="Shape 2">
          <a:extLst>
            <a:ext uri="{FF2B5EF4-FFF2-40B4-BE49-F238E27FC236}">
              <a16:creationId xmlns:a16="http://schemas.microsoft.com/office/drawing/2014/main" id="{00000000-0008-0000-0700-00000A000000}"/>
            </a:ext>
          </a:extLst>
        </xdr:cNvPr>
        <xdr:cNvGrpSpPr/>
      </xdr:nvGrpSpPr>
      <xdr:grpSpPr>
        <a:xfrm>
          <a:off x="7096125" y="3152775"/>
          <a:ext cx="3171825" cy="1171575"/>
          <a:chOff x="3760089" y="3194213"/>
          <a:chExt cx="3171825" cy="1171575"/>
        </a:xfrm>
      </xdr:grpSpPr>
      <xdr:grpSp>
        <xdr:nvGrpSpPr>
          <xdr:cNvPr id="639" name="Shape 639" descr="GOOD TO KNOW: When you select cells, this button appears: It's called the Quick Analysis button. Aptly named, don't you think? If you ever have a question about the data, click this button and see if it gives you some answers">
            <a:extLst>
              <a:ext uri="{FF2B5EF4-FFF2-40B4-BE49-F238E27FC236}">
                <a16:creationId xmlns:a16="http://schemas.microsoft.com/office/drawing/2014/main" id="{00000000-0008-0000-0700-00007F020000}"/>
              </a:ext>
            </a:extLst>
          </xdr:cNvPr>
          <xdr:cNvGrpSpPr/>
        </xdr:nvGrpSpPr>
        <xdr:grpSpPr>
          <a:xfrm>
            <a:off x="3760089" y="3194213"/>
            <a:ext cx="3171825" cy="1171575"/>
            <a:chOff x="7099696" y="3364706"/>
            <a:chExt cx="3025379" cy="1072754"/>
          </a:xfrm>
        </xdr:grpSpPr>
        <xdr:sp macro="" textlink="">
          <xdr:nvSpPr>
            <xdr:cNvPr id="11" name="Shape 4">
              <a:extLst>
                <a:ext uri="{FF2B5EF4-FFF2-40B4-BE49-F238E27FC236}">
                  <a16:creationId xmlns:a16="http://schemas.microsoft.com/office/drawing/2014/main" id="{00000000-0008-0000-0700-00000B000000}"/>
                </a:ext>
              </a:extLst>
            </xdr:cNvPr>
            <xdr:cNvSpPr/>
          </xdr:nvSpPr>
          <xdr:spPr>
            <a:xfrm>
              <a:off x="7099696" y="3364706"/>
              <a:ext cx="3025375" cy="10727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640" name="Shape 640" descr="GOOD TO KNOW&#10;When you select cells, this button appears: It's called the Quick Analysis button. Aptly named, don't you think? If you ever have a question about the data, click this button and see if it gives you some answers">
              <a:extLst>
                <a:ext uri="{FF2B5EF4-FFF2-40B4-BE49-F238E27FC236}">
                  <a16:creationId xmlns:a16="http://schemas.microsoft.com/office/drawing/2014/main" id="{00000000-0008-0000-0700-000080020000}"/>
                </a:ext>
              </a:extLst>
            </xdr:cNvPr>
            <xdr:cNvSpPr txBox="1"/>
          </xdr:nvSpPr>
          <xdr:spPr>
            <a:xfrm>
              <a:off x="7389029" y="3389710"/>
              <a:ext cx="2555071" cy="10477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200" b="1">
                  <a:solidFill>
                    <a:srgbClr val="F4B081"/>
                  </a:solidFill>
                  <a:latin typeface="Quattrocento Sans"/>
                  <a:ea typeface="Quattrocento Sans"/>
                  <a:cs typeface="Quattrocento Sans"/>
                  <a:sym typeface="Quattrocento Sans"/>
                </a:rPr>
                <a:t>GOOD TO KNOW</a:t>
              </a:r>
              <a:endParaRPr sz="1200" b="1">
                <a:solidFill>
                  <a:srgbClr val="F4B081"/>
                </a:solidFill>
                <a:latin typeface="Quattrocento Sans"/>
                <a:ea typeface="Quattrocento Sans"/>
                <a:cs typeface="Quattrocento Sans"/>
                <a:sym typeface="Quattrocento Sans"/>
              </a:endParaRPr>
            </a:p>
            <a:p>
              <a:pPr marL="0" lvl="0" indent="0" algn="l" rtl="0">
                <a:spcBef>
                  <a:spcPts val="0"/>
                </a:spcBef>
                <a:spcAft>
                  <a:spcPts val="0"/>
                </a:spcAft>
                <a:buNone/>
              </a:pPr>
              <a:r>
                <a:rPr lang="en-US" sz="1100">
                  <a:solidFill>
                    <a:srgbClr val="3A3838"/>
                  </a:solidFill>
                  <a:latin typeface="Calibri"/>
                  <a:ea typeface="Calibri"/>
                  <a:cs typeface="Calibri"/>
                  <a:sym typeface="Calibri"/>
                </a:rPr>
                <a:t>When you select cells, this button appears:            It's called the </a:t>
              </a:r>
              <a:r>
                <a:rPr lang="en-US" sz="1100" b="1">
                  <a:solidFill>
                    <a:srgbClr val="3A3838"/>
                  </a:solidFill>
                  <a:latin typeface="Calibri"/>
                  <a:ea typeface="Calibri"/>
                  <a:cs typeface="Calibri"/>
                  <a:sym typeface="Calibri"/>
                </a:rPr>
                <a:t>Quick Analysis </a:t>
              </a:r>
              <a:r>
                <a:rPr lang="en-US" sz="1100">
                  <a:solidFill>
                    <a:srgbClr val="3A3838"/>
                  </a:solidFill>
                  <a:latin typeface="Calibri"/>
                  <a:ea typeface="Calibri"/>
                  <a:cs typeface="Calibri"/>
                  <a:sym typeface="Calibri"/>
                </a:rPr>
                <a:t>button. Aptly named, don't you think? If you ever have a question about the data, click this button and see if it gives you some answers. </a:t>
              </a:r>
              <a:endParaRPr sz="1100" b="0" i="0">
                <a:solidFill>
                  <a:srgbClr val="3A3838"/>
                </a:solidFill>
                <a:latin typeface="Calibri"/>
                <a:ea typeface="Calibri"/>
                <a:cs typeface="Calibri"/>
                <a:sym typeface="Calibri"/>
              </a:endParaRPr>
            </a:p>
          </xdr:txBody>
        </xdr:sp>
        <xdr:pic>
          <xdr:nvPicPr>
            <xdr:cNvPr id="641" name="Shape 641" descr="Glasses">
              <a:extLst>
                <a:ext uri="{FF2B5EF4-FFF2-40B4-BE49-F238E27FC236}">
                  <a16:creationId xmlns:a16="http://schemas.microsoft.com/office/drawing/2014/main" id="{00000000-0008-0000-0700-000081020000}"/>
                </a:ext>
              </a:extLst>
            </xdr:cNvPr>
            <xdr:cNvPicPr preferRelativeResize="0"/>
          </xdr:nvPicPr>
          <xdr:blipFill rotWithShape="1">
            <a:blip xmlns:r="http://schemas.openxmlformats.org/officeDocument/2006/relationships" r:embed="rId7">
              <a:alphaModFix/>
            </a:blip>
            <a:srcRect/>
            <a:stretch/>
          </xdr:blipFill>
          <xdr:spPr>
            <a:xfrm>
              <a:off x="7099696" y="3364706"/>
              <a:ext cx="324537" cy="367371"/>
            </a:xfrm>
            <a:prstGeom prst="rect">
              <a:avLst/>
            </a:prstGeom>
            <a:noFill/>
            <a:ln>
              <a:noFill/>
            </a:ln>
          </xdr:spPr>
        </xdr:pic>
        <xdr:pic>
          <xdr:nvPicPr>
            <xdr:cNvPr id="642" name="Shape 642" descr="Quick Analysis button">
              <a:extLst>
                <a:ext uri="{FF2B5EF4-FFF2-40B4-BE49-F238E27FC236}">
                  <a16:creationId xmlns:a16="http://schemas.microsoft.com/office/drawing/2014/main" id="{00000000-0008-0000-0700-000082020000}"/>
                </a:ext>
              </a:extLst>
            </xdr:cNvPr>
            <xdr:cNvPicPr preferRelativeResize="0"/>
          </xdr:nvPicPr>
          <xdr:blipFill rotWithShape="1">
            <a:blip xmlns:r="http://schemas.openxmlformats.org/officeDocument/2006/relationships" r:embed="rId6">
              <a:alphaModFix/>
            </a:blip>
            <a:srcRect l="29498" t="32404" r="36227" b="19590"/>
            <a:stretch/>
          </xdr:blipFill>
          <xdr:spPr>
            <a:xfrm>
              <a:off x="9881513" y="3480197"/>
              <a:ext cx="243562" cy="241511"/>
            </a:xfrm>
            <a:prstGeom prst="rect">
              <a:avLst/>
            </a:prstGeom>
            <a:noFill/>
            <a:ln>
              <a:noFill/>
            </a:ln>
          </xdr:spPr>
        </xdr:pic>
      </xdr:grpSp>
    </xdr:grpSp>
    <xdr:clientData fLocksWithSheet="0"/>
  </xdr:oneCellAnchor>
</xdr:wsDr>
</file>

<file path=xl/drawings/drawing10.xml><?xml version="1.0" encoding="utf-8"?>
<xdr:wsDr xmlns:xdr="http://schemas.openxmlformats.org/drawingml/2006/spreadsheetDrawing" xmlns:a="http://schemas.openxmlformats.org/drawingml/2006/main">
  <xdr:oneCellAnchor>
    <xdr:from>
      <xdr:col>3</xdr:col>
      <xdr:colOff>19050</xdr:colOff>
      <xdr:row>51</xdr:row>
      <xdr:rowOff>133350</xdr:rowOff>
    </xdr:from>
    <xdr:ext cx="5438775" cy="2552700"/>
    <xdr:graphicFrame macro="">
      <xdr:nvGraphicFramePr>
        <xdr:cNvPr id="398739307" name="Chart 1" descr="Combo Chart">
          <a:extLst>
            <a:ext uri="{FF2B5EF4-FFF2-40B4-BE49-F238E27FC236}">
              <a16:creationId xmlns:a16="http://schemas.microsoft.com/office/drawing/2014/main" id="{00000000-0008-0000-0800-00006B47C4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xdr:col>
      <xdr:colOff>5200650</xdr:colOff>
      <xdr:row>29</xdr:row>
      <xdr:rowOff>85725</xdr:rowOff>
    </xdr:from>
    <xdr:ext cx="5419725" cy="3219450"/>
    <xdr:graphicFrame macro="">
      <xdr:nvGraphicFramePr>
        <xdr:cNvPr id="619200065" name="Chart 2" descr="Chart">
          <a:extLst>
            <a:ext uri="{FF2B5EF4-FFF2-40B4-BE49-F238E27FC236}">
              <a16:creationId xmlns:a16="http://schemas.microsoft.com/office/drawing/2014/main" id="{00000000-0008-0000-0800-0000413EE8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2</xdr:col>
      <xdr:colOff>723900</xdr:colOff>
      <xdr:row>13</xdr:row>
      <xdr:rowOff>161925</xdr:rowOff>
    </xdr:from>
    <xdr:ext cx="2762250" cy="1257300"/>
    <xdr:grpSp>
      <xdr:nvGrpSpPr>
        <xdr:cNvPr id="2" name="Shape 2">
          <a:extLst>
            <a:ext uri="{FF2B5EF4-FFF2-40B4-BE49-F238E27FC236}">
              <a16:creationId xmlns:a16="http://schemas.microsoft.com/office/drawing/2014/main" id="{00000000-0008-0000-0800-000002000000}"/>
            </a:ext>
          </a:extLst>
        </xdr:cNvPr>
        <xdr:cNvGrpSpPr/>
      </xdr:nvGrpSpPr>
      <xdr:grpSpPr>
        <a:xfrm>
          <a:off x="7096125" y="3209925"/>
          <a:ext cx="2762250" cy="1257300"/>
          <a:chOff x="3964875" y="3151350"/>
          <a:chExt cx="2762250" cy="1508760"/>
        </a:xfrm>
      </xdr:grpSpPr>
      <xdr:grpSp>
        <xdr:nvGrpSpPr>
          <xdr:cNvPr id="643" name="Shape 643" descr="EXTRA CREDIT&#10;Want a data table directly under the chart? Click the chart. On the Chart Tools tab, click Design. Then click Add Chart Element &gt; Data Table &gt; With Legend Keys">
            <a:extLst>
              <a:ext uri="{FF2B5EF4-FFF2-40B4-BE49-F238E27FC236}">
                <a16:creationId xmlns:a16="http://schemas.microsoft.com/office/drawing/2014/main" id="{00000000-0008-0000-0800-000083020000}"/>
              </a:ext>
            </a:extLst>
          </xdr:cNvPr>
          <xdr:cNvGrpSpPr/>
        </xdr:nvGrpSpPr>
        <xdr:grpSpPr>
          <a:xfrm>
            <a:off x="3964875" y="3151350"/>
            <a:ext cx="2762250" cy="1508760"/>
            <a:chOff x="7096125" y="3419475"/>
            <a:chExt cx="2762250" cy="1257300"/>
          </a:xfrm>
        </xdr:grpSpPr>
        <xdr:sp macro="" textlink="">
          <xdr:nvSpPr>
            <xdr:cNvPr id="4" name="Shape 4">
              <a:extLst>
                <a:ext uri="{FF2B5EF4-FFF2-40B4-BE49-F238E27FC236}">
                  <a16:creationId xmlns:a16="http://schemas.microsoft.com/office/drawing/2014/main" id="{00000000-0008-0000-0800-000004000000}"/>
                </a:ext>
              </a:extLst>
            </xdr:cNvPr>
            <xdr:cNvSpPr/>
          </xdr:nvSpPr>
          <xdr:spPr>
            <a:xfrm>
              <a:off x="7096125" y="3419475"/>
              <a:ext cx="2762250" cy="10477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644" name="Shape 644" descr="EXTRA CREDIT&#10;Want a data table directly under the chart? Click the chart. On the Chart Tools tab, click Design. Then click Add Chart Element &gt; Data Table &gt; With Legend Keys">
              <a:extLst>
                <a:ext uri="{FF2B5EF4-FFF2-40B4-BE49-F238E27FC236}">
                  <a16:creationId xmlns:a16="http://schemas.microsoft.com/office/drawing/2014/main" id="{00000000-0008-0000-0800-000084020000}"/>
                </a:ext>
              </a:extLst>
            </xdr:cNvPr>
            <xdr:cNvSpPr txBox="1"/>
          </xdr:nvSpPr>
          <xdr:spPr>
            <a:xfrm>
              <a:off x="7455706" y="3419475"/>
              <a:ext cx="2402669" cy="1257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200" b="1">
                  <a:solidFill>
                    <a:srgbClr val="F4B081"/>
                  </a:solidFill>
                  <a:latin typeface="Quattrocento Sans"/>
                  <a:ea typeface="Quattrocento Sans"/>
                  <a:cs typeface="Quattrocento Sans"/>
                  <a:sym typeface="Quattrocento Sans"/>
                </a:rPr>
                <a:t>EXTRA CREDIT</a:t>
              </a:r>
              <a:endParaRPr sz="1200" b="1">
                <a:solidFill>
                  <a:srgbClr val="F4B081"/>
                </a:solidFill>
                <a:latin typeface="Quattrocento Sans"/>
                <a:ea typeface="Quattrocento Sans"/>
                <a:cs typeface="Quattrocento Sans"/>
                <a:sym typeface="Quattrocento Sans"/>
              </a:endParaRPr>
            </a:p>
            <a:p>
              <a:pPr marL="0" lvl="0" indent="0" algn="l" rtl="0">
                <a:spcBef>
                  <a:spcPts val="0"/>
                </a:spcBef>
                <a:spcAft>
                  <a:spcPts val="0"/>
                </a:spcAft>
                <a:buNone/>
              </a:pPr>
              <a:r>
                <a:rPr lang="en-US" sz="1100">
                  <a:solidFill>
                    <a:srgbClr val="3A3838"/>
                  </a:solidFill>
                  <a:latin typeface="Calibri"/>
                  <a:ea typeface="Calibri"/>
                  <a:cs typeface="Calibri"/>
                  <a:sym typeface="Calibri"/>
                </a:rPr>
                <a:t>Want a data table directly under the chart? Click the chart. On the </a:t>
              </a:r>
              <a:r>
                <a:rPr lang="en-US" sz="1100" b="1">
                  <a:solidFill>
                    <a:srgbClr val="3A3838"/>
                  </a:solidFill>
                  <a:latin typeface="Calibri"/>
                  <a:ea typeface="Calibri"/>
                  <a:cs typeface="Calibri"/>
                  <a:sym typeface="Calibri"/>
                </a:rPr>
                <a:t>Chart Tools </a:t>
              </a:r>
              <a:r>
                <a:rPr lang="en-US" sz="1100">
                  <a:solidFill>
                    <a:srgbClr val="3A3838"/>
                  </a:solidFill>
                  <a:latin typeface="Calibri"/>
                  <a:ea typeface="Calibri"/>
                  <a:cs typeface="Calibri"/>
                  <a:sym typeface="Calibri"/>
                </a:rPr>
                <a:t>tab, click </a:t>
              </a:r>
              <a:r>
                <a:rPr lang="en-US" sz="1100" b="1">
                  <a:solidFill>
                    <a:srgbClr val="3A3838"/>
                  </a:solidFill>
                  <a:latin typeface="Calibri"/>
                  <a:ea typeface="Calibri"/>
                  <a:cs typeface="Calibri"/>
                  <a:sym typeface="Calibri"/>
                </a:rPr>
                <a:t>Design</a:t>
              </a:r>
              <a:r>
                <a:rPr lang="en-US" sz="1100">
                  <a:solidFill>
                    <a:srgbClr val="3A3838"/>
                  </a:solidFill>
                  <a:latin typeface="Calibri"/>
                  <a:ea typeface="Calibri"/>
                  <a:cs typeface="Calibri"/>
                  <a:sym typeface="Calibri"/>
                </a:rPr>
                <a:t>. Then click </a:t>
              </a:r>
              <a:r>
                <a:rPr lang="en-US" sz="1100" b="1">
                  <a:solidFill>
                    <a:srgbClr val="3A3838"/>
                  </a:solidFill>
                  <a:latin typeface="Calibri"/>
                  <a:ea typeface="Calibri"/>
                  <a:cs typeface="Calibri"/>
                  <a:sym typeface="Calibri"/>
                </a:rPr>
                <a:t>Add Chart Element</a:t>
              </a:r>
              <a:r>
                <a:rPr lang="en-US" sz="1100">
                  <a:solidFill>
                    <a:srgbClr val="3A3838"/>
                  </a:solidFill>
                  <a:latin typeface="Calibri"/>
                  <a:ea typeface="Calibri"/>
                  <a:cs typeface="Calibri"/>
                  <a:sym typeface="Calibri"/>
                </a:rPr>
                <a:t> &gt; </a:t>
              </a:r>
              <a:r>
                <a:rPr lang="en-US" sz="1100" b="1">
                  <a:solidFill>
                    <a:srgbClr val="3A3838"/>
                  </a:solidFill>
                  <a:latin typeface="Calibri"/>
                  <a:ea typeface="Calibri"/>
                  <a:cs typeface="Calibri"/>
                  <a:sym typeface="Calibri"/>
                </a:rPr>
                <a:t>Data</a:t>
              </a:r>
              <a:r>
                <a:rPr lang="en-US" sz="1100">
                  <a:solidFill>
                    <a:srgbClr val="3A3838"/>
                  </a:solidFill>
                  <a:latin typeface="Calibri"/>
                  <a:ea typeface="Calibri"/>
                  <a:cs typeface="Calibri"/>
                  <a:sym typeface="Calibri"/>
                </a:rPr>
                <a:t> </a:t>
              </a:r>
              <a:r>
                <a:rPr lang="en-US" sz="1100" b="1">
                  <a:solidFill>
                    <a:srgbClr val="3A3838"/>
                  </a:solidFill>
                  <a:latin typeface="Calibri"/>
                  <a:ea typeface="Calibri"/>
                  <a:cs typeface="Calibri"/>
                  <a:sym typeface="Calibri"/>
                </a:rPr>
                <a:t>Table</a:t>
              </a:r>
              <a:r>
                <a:rPr lang="en-US" sz="1100">
                  <a:solidFill>
                    <a:srgbClr val="3A3838"/>
                  </a:solidFill>
                  <a:latin typeface="Calibri"/>
                  <a:ea typeface="Calibri"/>
                  <a:cs typeface="Calibri"/>
                  <a:sym typeface="Calibri"/>
                </a:rPr>
                <a:t> &gt; </a:t>
              </a:r>
              <a:r>
                <a:rPr lang="en-US" sz="1100" b="1">
                  <a:solidFill>
                    <a:srgbClr val="3A3838"/>
                  </a:solidFill>
                  <a:latin typeface="Calibri"/>
                  <a:ea typeface="Calibri"/>
                  <a:cs typeface="Calibri"/>
                  <a:sym typeface="Calibri"/>
                </a:rPr>
                <a:t>With</a:t>
              </a:r>
              <a:r>
                <a:rPr lang="en-US" sz="1100">
                  <a:solidFill>
                    <a:srgbClr val="3A3838"/>
                  </a:solidFill>
                  <a:latin typeface="Calibri"/>
                  <a:ea typeface="Calibri"/>
                  <a:cs typeface="Calibri"/>
                  <a:sym typeface="Calibri"/>
                </a:rPr>
                <a:t> </a:t>
              </a:r>
              <a:r>
                <a:rPr lang="en-US" sz="1100" b="1">
                  <a:solidFill>
                    <a:srgbClr val="3A3838"/>
                  </a:solidFill>
                  <a:latin typeface="Calibri"/>
                  <a:ea typeface="Calibri"/>
                  <a:cs typeface="Calibri"/>
                  <a:sym typeface="Calibri"/>
                </a:rPr>
                <a:t>Legend</a:t>
              </a:r>
              <a:r>
                <a:rPr lang="en-US" sz="1100">
                  <a:solidFill>
                    <a:srgbClr val="3A3838"/>
                  </a:solidFill>
                  <a:latin typeface="Calibri"/>
                  <a:ea typeface="Calibri"/>
                  <a:cs typeface="Calibri"/>
                  <a:sym typeface="Calibri"/>
                </a:rPr>
                <a:t> </a:t>
              </a:r>
              <a:r>
                <a:rPr lang="en-US" sz="1100" b="1">
                  <a:solidFill>
                    <a:srgbClr val="3A3838"/>
                  </a:solidFill>
                  <a:latin typeface="Calibri"/>
                  <a:ea typeface="Calibri"/>
                  <a:cs typeface="Calibri"/>
                  <a:sym typeface="Calibri"/>
                </a:rPr>
                <a:t>Keys</a:t>
              </a:r>
              <a:r>
                <a:rPr lang="en-US" sz="1100">
                  <a:solidFill>
                    <a:srgbClr val="3A3838"/>
                  </a:solidFill>
                  <a:latin typeface="Calibri"/>
                  <a:ea typeface="Calibri"/>
                  <a:cs typeface="Calibri"/>
                  <a:sym typeface="Calibri"/>
                </a:rPr>
                <a:t>.</a:t>
              </a:r>
              <a:endParaRPr sz="1100" b="0" i="0">
                <a:solidFill>
                  <a:srgbClr val="3A3838"/>
                </a:solidFill>
                <a:latin typeface="Calibri"/>
                <a:ea typeface="Calibri"/>
                <a:cs typeface="Calibri"/>
                <a:sym typeface="Calibri"/>
              </a:endParaRPr>
            </a:p>
          </xdr:txBody>
        </xdr:sp>
        <xdr:pic>
          <xdr:nvPicPr>
            <xdr:cNvPr id="645" name="Shape 645" descr="Ribbon">
              <a:extLst>
                <a:ext uri="{FF2B5EF4-FFF2-40B4-BE49-F238E27FC236}">
                  <a16:creationId xmlns:a16="http://schemas.microsoft.com/office/drawing/2014/main" id="{00000000-0008-0000-0800-000085020000}"/>
                </a:ext>
              </a:extLst>
            </xdr:cNvPr>
            <xdr:cNvPicPr preferRelativeResize="0"/>
          </xdr:nvPicPr>
          <xdr:blipFill rotWithShape="1">
            <a:blip xmlns:r="http://schemas.openxmlformats.org/officeDocument/2006/relationships" r:embed="rId3">
              <a:alphaModFix/>
            </a:blip>
            <a:srcRect/>
            <a:stretch/>
          </xdr:blipFill>
          <xdr:spPr>
            <a:xfrm>
              <a:off x="7096125" y="3474301"/>
              <a:ext cx="471716" cy="439736"/>
            </a:xfrm>
            <a:prstGeom prst="rect">
              <a:avLst/>
            </a:prstGeom>
            <a:noFill/>
            <a:ln>
              <a:noFill/>
            </a:ln>
          </xdr:spPr>
        </xdr:pic>
      </xdr:grpSp>
    </xdr:grpSp>
    <xdr:clientData fLocksWithSheet="0"/>
  </xdr:oneCellAnchor>
  <xdr:oneCellAnchor>
    <xdr:from>
      <xdr:col>0</xdr:col>
      <xdr:colOff>333375</xdr:colOff>
      <xdr:row>0</xdr:row>
      <xdr:rowOff>266700</xdr:rowOff>
    </xdr:from>
    <xdr:ext cx="5695950" cy="4619625"/>
    <xdr:grpSp>
      <xdr:nvGrpSpPr>
        <xdr:cNvPr id="3" name="Shape 2">
          <a:extLst>
            <a:ext uri="{FF2B5EF4-FFF2-40B4-BE49-F238E27FC236}">
              <a16:creationId xmlns:a16="http://schemas.microsoft.com/office/drawing/2014/main" id="{00000000-0008-0000-0800-000003000000}"/>
            </a:ext>
          </a:extLst>
        </xdr:cNvPr>
        <xdr:cNvGrpSpPr/>
      </xdr:nvGrpSpPr>
      <xdr:grpSpPr>
        <a:xfrm>
          <a:off x="333375" y="266700"/>
          <a:ext cx="5695950" cy="4619625"/>
          <a:chOff x="2498025" y="1470188"/>
          <a:chExt cx="5695950" cy="4619625"/>
        </a:xfrm>
      </xdr:grpSpPr>
      <xdr:grpSp>
        <xdr:nvGrpSpPr>
          <xdr:cNvPr id="646" name="Shape 646" descr="Great charts recommended for you&#10;Click anywhere in the data to the right, and then click Insert &gt; Recommended Charts.&#10;You'll see several recommendations. Click the second one on the left called Clustered Columns. Then click OK.&#10;A column chart appears showing total number of conference attendees per year. Feel free to move it anywhere you'd like.&#10;Now you'll add a trendline. Select the chart, and the Chart Tools tab will appear at the top of the Excel window.&#10;On the Chart Tools tab, click Design. Then click Add chart element &gt; Trendline &gt; Linear. Now you have a trendline that shows the general direction of the units sold over time.&#10;Dive down for more detail &#10;Next step">
            <a:extLst>
              <a:ext uri="{FF2B5EF4-FFF2-40B4-BE49-F238E27FC236}">
                <a16:creationId xmlns:a16="http://schemas.microsoft.com/office/drawing/2014/main" id="{00000000-0008-0000-0800-000086020000}"/>
              </a:ext>
            </a:extLst>
          </xdr:cNvPr>
          <xdr:cNvGrpSpPr/>
        </xdr:nvGrpSpPr>
        <xdr:grpSpPr>
          <a:xfrm>
            <a:off x="2498025" y="1470188"/>
            <a:ext cx="5695950" cy="4619625"/>
            <a:chOff x="0" y="0"/>
            <a:chExt cx="5695950" cy="4619625"/>
          </a:xfrm>
        </xdr:grpSpPr>
        <xdr:sp macro="" textlink="">
          <xdr:nvSpPr>
            <xdr:cNvPr id="5" name="Shape 4">
              <a:extLst>
                <a:ext uri="{FF2B5EF4-FFF2-40B4-BE49-F238E27FC236}">
                  <a16:creationId xmlns:a16="http://schemas.microsoft.com/office/drawing/2014/main" id="{00000000-0008-0000-0800-000005000000}"/>
                </a:ext>
              </a:extLst>
            </xdr:cNvPr>
            <xdr:cNvSpPr/>
          </xdr:nvSpPr>
          <xdr:spPr>
            <a:xfrm>
              <a:off x="0" y="0"/>
              <a:ext cx="5695950" cy="4619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647" name="Shape 647" descr="Background">
              <a:extLst>
                <a:ext uri="{FF2B5EF4-FFF2-40B4-BE49-F238E27FC236}">
                  <a16:creationId xmlns:a16="http://schemas.microsoft.com/office/drawing/2014/main" id="{00000000-0008-0000-0800-000087020000}"/>
                </a:ext>
              </a:extLst>
            </xdr:cNvPr>
            <xdr:cNvSpPr/>
          </xdr:nvSpPr>
          <xdr:spPr>
            <a:xfrm>
              <a:off x="0" y="0"/>
              <a:ext cx="5695950" cy="4619625"/>
            </a:xfrm>
            <a:prstGeom prst="rect">
              <a:avLst/>
            </a:prstGeom>
            <a:solidFill>
              <a:srgbClr val="F5F5F5"/>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648" name="Shape 648" descr="Great charts recommended for you">
              <a:extLst>
                <a:ext uri="{FF2B5EF4-FFF2-40B4-BE49-F238E27FC236}">
                  <a16:creationId xmlns:a16="http://schemas.microsoft.com/office/drawing/2014/main" id="{00000000-0008-0000-0800-000088020000}"/>
                </a:ext>
              </a:extLst>
            </xdr:cNvPr>
            <xdr:cNvSpPr txBox="1"/>
          </xdr:nvSpPr>
          <xdr:spPr>
            <a:xfrm>
              <a:off x="231748" y="118698"/>
              <a:ext cx="5216551" cy="490903"/>
            </a:xfrm>
            <a:prstGeom prst="rect">
              <a:avLst/>
            </a:prstGeom>
            <a:noFill/>
            <a:ln>
              <a:noFill/>
            </a:ln>
          </xdr:spPr>
          <xdr:txBody>
            <a:bodyPr spcFirstLastPara="1" wrap="square" lIns="0" tIns="45700" rIns="0" bIns="45700" anchor="t" anchorCtr="0">
              <a:noAutofit/>
            </a:bodyPr>
            <a:lstStyle/>
            <a:p>
              <a:pPr marL="0" lvl="0" indent="0" algn="l" rtl="0">
                <a:spcBef>
                  <a:spcPts val="0"/>
                </a:spcBef>
                <a:spcAft>
                  <a:spcPts val="0"/>
                </a:spcAft>
                <a:buNone/>
              </a:pPr>
              <a:r>
                <a:rPr lang="en-US" sz="2400">
                  <a:solidFill>
                    <a:srgbClr val="3A3838"/>
                  </a:solidFill>
                  <a:latin typeface="Quattrocento Sans"/>
                  <a:ea typeface="Quattrocento Sans"/>
                  <a:cs typeface="Quattrocento Sans"/>
                  <a:sym typeface="Quattrocento Sans"/>
                </a:rPr>
                <a:t>Great charts recommended for you</a:t>
              </a:r>
              <a:endParaRPr sz="2400">
                <a:solidFill>
                  <a:srgbClr val="3A3838"/>
                </a:solidFill>
                <a:latin typeface="Quattrocento Sans"/>
                <a:ea typeface="Quattrocento Sans"/>
                <a:cs typeface="Quattrocento Sans"/>
                <a:sym typeface="Quattrocento Sans"/>
              </a:endParaRPr>
            </a:p>
          </xdr:txBody>
        </xdr:sp>
        <xdr:cxnSp macro="">
          <xdr:nvCxnSpPr>
            <xdr:cNvPr id="649" name="Shape 649" descr="Decorative line">
              <a:extLst>
                <a:ext uri="{FF2B5EF4-FFF2-40B4-BE49-F238E27FC236}">
                  <a16:creationId xmlns:a16="http://schemas.microsoft.com/office/drawing/2014/main" id="{00000000-0008-0000-0800-000089020000}"/>
                </a:ext>
              </a:extLst>
            </xdr:cNvPr>
            <xdr:cNvCxnSpPr/>
          </xdr:nvCxnSpPr>
          <xdr:spPr>
            <a:xfrm>
              <a:off x="234924" y="626111"/>
              <a:ext cx="5213376" cy="0"/>
            </a:xfrm>
            <a:prstGeom prst="straightConnector1">
              <a:avLst/>
            </a:prstGeom>
            <a:noFill/>
            <a:ln w="25400" cap="flat" cmpd="sng">
              <a:solidFill>
                <a:srgbClr val="217346"/>
              </a:solidFill>
              <a:prstDash val="solid"/>
              <a:round/>
              <a:headEnd type="none" w="sm" len="sm"/>
              <a:tailEnd type="none" w="sm" len="sm"/>
            </a:ln>
          </xdr:spPr>
        </xdr:cxnSp>
        <xdr:sp macro="" textlink="">
          <xdr:nvSpPr>
            <xdr:cNvPr id="650" name="Shape 650" descr="Dive down for more detail">
              <a:extLst>
                <a:ext uri="{FF2B5EF4-FFF2-40B4-BE49-F238E27FC236}">
                  <a16:creationId xmlns:a16="http://schemas.microsoft.com/office/drawing/2014/main" id="{00000000-0008-0000-0800-00008A020000}"/>
                </a:ext>
              </a:extLst>
            </xdr:cNvPr>
            <xdr:cNvSpPr/>
          </xdr:nvSpPr>
          <xdr:spPr>
            <a:xfrm>
              <a:off x="234924" y="3842507"/>
              <a:ext cx="2723067" cy="536454"/>
            </a:xfrm>
            <a:prstGeom prst="downArrowCallout">
              <a:avLst>
                <a:gd name="adj1" fmla="val 25000"/>
                <a:gd name="adj2" fmla="val 25000"/>
                <a:gd name="adj3" fmla="val 25000"/>
                <a:gd name="adj4" fmla="val 64977"/>
              </a:avLst>
            </a:prstGeom>
            <a:solidFill>
              <a:srgbClr val="D8D8D8"/>
            </a:solidFill>
            <a:ln w="12700" cap="flat" cmpd="sng">
              <a:solidFill>
                <a:srgbClr val="0B744D">
                  <a:alpha val="49803"/>
                </a:srgb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a:solidFill>
                    <a:srgbClr val="0B744D"/>
                  </a:solidFill>
                  <a:latin typeface="Quattrocento Sans"/>
                  <a:ea typeface="Quattrocento Sans"/>
                  <a:cs typeface="Quattrocento Sans"/>
                  <a:sym typeface="Quattrocento Sans"/>
                </a:rPr>
                <a:t>Dive down for more detail</a:t>
              </a:r>
              <a:endParaRPr sz="1400"/>
            </a:p>
          </xdr:txBody>
        </xdr:sp>
        <xdr:cxnSp macro="">
          <xdr:nvCxnSpPr>
            <xdr:cNvPr id="651" name="Shape 651" descr="Decorative line">
              <a:extLst>
                <a:ext uri="{FF2B5EF4-FFF2-40B4-BE49-F238E27FC236}">
                  <a16:creationId xmlns:a16="http://schemas.microsoft.com/office/drawing/2014/main" id="{00000000-0008-0000-0800-00008B020000}"/>
                </a:ext>
              </a:extLst>
            </xdr:cNvPr>
            <xdr:cNvCxnSpPr/>
          </xdr:nvCxnSpPr>
          <xdr:spPr>
            <a:xfrm>
              <a:off x="234924" y="3581400"/>
              <a:ext cx="5213376" cy="0"/>
            </a:xfrm>
            <a:prstGeom prst="straightConnector1">
              <a:avLst/>
            </a:prstGeom>
            <a:noFill/>
            <a:ln w="25400" cap="flat" cmpd="sng">
              <a:solidFill>
                <a:srgbClr val="217346"/>
              </a:solidFill>
              <a:prstDash val="solid"/>
              <a:round/>
              <a:headEnd type="none" w="sm" len="sm"/>
              <a:tailEnd type="none" w="sm" len="sm"/>
            </a:ln>
          </xdr:spPr>
        </xdr:cxnSp>
        <xdr:sp macro="" textlink="">
          <xdr:nvSpPr>
            <xdr:cNvPr id="652" name="Shape 652" descr="Next step button, hyperlinked to next sheet">
              <a:hlinkClick xmlns:r="http://schemas.openxmlformats.org/officeDocument/2006/relationships" r:id="rId4"/>
              <a:extLst>
                <a:ext uri="{FF2B5EF4-FFF2-40B4-BE49-F238E27FC236}">
                  <a16:creationId xmlns:a16="http://schemas.microsoft.com/office/drawing/2014/main" id="{00000000-0008-0000-0800-00008C020000}"/>
                </a:ext>
              </a:extLst>
            </xdr:cNvPr>
            <xdr:cNvSpPr/>
          </xdr:nvSpPr>
          <xdr:spPr>
            <a:xfrm>
              <a:off x="4293870" y="3842507"/>
              <a:ext cx="1154430" cy="348492"/>
            </a:xfrm>
            <a:prstGeom prst="rightArrowCallout">
              <a:avLst>
                <a:gd name="adj1" fmla="val 32829"/>
                <a:gd name="adj2" fmla="val 31524"/>
                <a:gd name="adj3" fmla="val 25000"/>
                <a:gd name="adj4" fmla="val 86357"/>
              </a:avLst>
            </a:prstGeom>
            <a:solidFill>
              <a:schemeClr val="lt1"/>
            </a:solidFill>
            <a:ln w="12700" cap="flat" cmpd="sng">
              <a:solidFill>
                <a:srgbClr val="0B744D"/>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a:solidFill>
                    <a:srgbClr val="0B744D"/>
                  </a:solidFill>
                  <a:latin typeface="Quattrocento Sans"/>
                  <a:ea typeface="Quattrocento Sans"/>
                  <a:cs typeface="Quattrocento Sans"/>
                  <a:sym typeface="Quattrocento Sans"/>
                </a:rPr>
                <a:t>Next step</a:t>
              </a:r>
              <a:endParaRPr sz="1400"/>
            </a:p>
          </xdr:txBody>
        </xdr:sp>
        <xdr:sp macro="" textlink="">
          <xdr:nvSpPr>
            <xdr:cNvPr id="653" name="Shape 653" descr="Click anywhere in the data to the right, and then click Insert &gt; Recommended Charts">
              <a:extLst>
                <a:ext uri="{FF2B5EF4-FFF2-40B4-BE49-F238E27FC236}">
                  <a16:creationId xmlns:a16="http://schemas.microsoft.com/office/drawing/2014/main" id="{00000000-0008-0000-0800-00008D020000}"/>
                </a:ext>
              </a:extLst>
            </xdr:cNvPr>
            <xdr:cNvSpPr txBox="1"/>
          </xdr:nvSpPr>
          <xdr:spPr>
            <a:xfrm>
              <a:off x="638783" y="814277"/>
              <a:ext cx="4809516" cy="421436"/>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050">
                  <a:solidFill>
                    <a:srgbClr val="3F3F3F"/>
                  </a:solidFill>
                  <a:latin typeface="Quattrocento Sans"/>
                  <a:ea typeface="Quattrocento Sans"/>
                  <a:cs typeface="Quattrocento Sans"/>
                  <a:sym typeface="Quattrocento Sans"/>
                </a:rPr>
                <a:t>Click anywhere in the data to the right, and then click </a:t>
              </a:r>
              <a:r>
                <a:rPr lang="en-US" sz="1050" b="1">
                  <a:solidFill>
                    <a:srgbClr val="3F3F3F"/>
                  </a:solidFill>
                  <a:latin typeface="Quattrocento Sans"/>
                  <a:ea typeface="Quattrocento Sans"/>
                  <a:cs typeface="Quattrocento Sans"/>
                  <a:sym typeface="Quattrocento Sans"/>
                </a:rPr>
                <a:t>Insert</a:t>
              </a:r>
              <a:r>
                <a:rPr lang="en-US" sz="1050">
                  <a:solidFill>
                    <a:srgbClr val="3F3F3F"/>
                  </a:solidFill>
                  <a:latin typeface="Quattrocento Sans"/>
                  <a:ea typeface="Quattrocento Sans"/>
                  <a:cs typeface="Quattrocento Sans"/>
                  <a:sym typeface="Quattrocento Sans"/>
                </a:rPr>
                <a:t> &gt; </a:t>
              </a:r>
              <a:r>
                <a:rPr lang="en-US" sz="1050" b="1">
                  <a:solidFill>
                    <a:srgbClr val="3F3F3F"/>
                  </a:solidFill>
                  <a:latin typeface="Quattrocento Sans"/>
                  <a:ea typeface="Quattrocento Sans"/>
                  <a:cs typeface="Quattrocento Sans"/>
                  <a:sym typeface="Quattrocento Sans"/>
                </a:rPr>
                <a:t>Recommended</a:t>
              </a:r>
              <a:r>
                <a:rPr lang="en-US" sz="1050">
                  <a:solidFill>
                    <a:srgbClr val="3F3F3F"/>
                  </a:solidFill>
                  <a:latin typeface="Quattrocento Sans"/>
                  <a:ea typeface="Quattrocento Sans"/>
                  <a:cs typeface="Quattrocento Sans"/>
                  <a:sym typeface="Quattrocento Sans"/>
                </a:rPr>
                <a:t> </a:t>
              </a:r>
              <a:r>
                <a:rPr lang="en-US" sz="1050" b="1">
                  <a:solidFill>
                    <a:srgbClr val="3F3F3F"/>
                  </a:solidFill>
                  <a:latin typeface="Quattrocento Sans"/>
                  <a:ea typeface="Quattrocento Sans"/>
                  <a:cs typeface="Quattrocento Sans"/>
                  <a:sym typeface="Quattrocento Sans"/>
                </a:rPr>
                <a:t>Charts</a:t>
              </a:r>
              <a:r>
                <a:rPr lang="en-US" sz="1050">
                  <a:solidFill>
                    <a:srgbClr val="3F3F3F"/>
                  </a:solidFill>
                  <a:latin typeface="Quattrocento Sans"/>
                  <a:ea typeface="Quattrocento Sans"/>
                  <a:cs typeface="Quattrocento Sans"/>
                  <a:sym typeface="Quattrocento Sans"/>
                </a:rPr>
                <a:t>.</a:t>
              </a:r>
              <a:endParaRPr sz="1400"/>
            </a:p>
          </xdr:txBody>
        </xdr:sp>
        <xdr:sp macro="" textlink="">
          <xdr:nvSpPr>
            <xdr:cNvPr id="654" name="Shape 654" descr="1">
              <a:extLst>
                <a:ext uri="{FF2B5EF4-FFF2-40B4-BE49-F238E27FC236}">
                  <a16:creationId xmlns:a16="http://schemas.microsoft.com/office/drawing/2014/main" id="{00000000-0008-0000-0800-00008E020000}"/>
                </a:ext>
              </a:extLst>
            </xdr:cNvPr>
            <xdr:cNvSpPr/>
          </xdr:nvSpPr>
          <xdr:spPr>
            <a:xfrm>
              <a:off x="231749" y="771778"/>
              <a:ext cx="371587"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1</a:t>
              </a:r>
              <a:endParaRPr sz="1400"/>
            </a:p>
          </xdr:txBody>
        </xdr:sp>
        <xdr:sp macro="" textlink="">
          <xdr:nvSpPr>
            <xdr:cNvPr id="655" name="Shape 655" descr="You'll see several recommendations. Click the second one on the left called Clustered Columns. Then click OK">
              <a:extLst>
                <a:ext uri="{FF2B5EF4-FFF2-40B4-BE49-F238E27FC236}">
                  <a16:creationId xmlns:a16="http://schemas.microsoft.com/office/drawing/2014/main" id="{00000000-0008-0000-0800-00008F020000}"/>
                </a:ext>
              </a:extLst>
            </xdr:cNvPr>
            <xdr:cNvSpPr txBox="1"/>
          </xdr:nvSpPr>
          <xdr:spPr>
            <a:xfrm>
              <a:off x="638782" y="1319302"/>
              <a:ext cx="4809517" cy="499973"/>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050">
                  <a:solidFill>
                    <a:srgbClr val="3F3F3F"/>
                  </a:solidFill>
                  <a:latin typeface="Quattrocento Sans"/>
                  <a:ea typeface="Quattrocento Sans"/>
                  <a:cs typeface="Quattrocento Sans"/>
                  <a:sym typeface="Quattrocento Sans"/>
                </a:rPr>
                <a:t>You'll see several recommendations. Click the second one on the left called Clustered Columns. Then click </a:t>
              </a:r>
              <a:r>
                <a:rPr lang="en-US" sz="1050" b="1">
                  <a:solidFill>
                    <a:srgbClr val="3F3F3F"/>
                  </a:solidFill>
                  <a:latin typeface="Quattrocento Sans"/>
                  <a:ea typeface="Quattrocento Sans"/>
                  <a:cs typeface="Quattrocento Sans"/>
                  <a:sym typeface="Quattrocento Sans"/>
                </a:rPr>
                <a:t>OK</a:t>
              </a:r>
              <a:r>
                <a:rPr lang="en-US" sz="1050">
                  <a:solidFill>
                    <a:srgbClr val="3F3F3F"/>
                  </a:solidFill>
                  <a:latin typeface="Quattrocento Sans"/>
                  <a:ea typeface="Quattrocento Sans"/>
                  <a:cs typeface="Quattrocento Sans"/>
                  <a:sym typeface="Quattrocento Sans"/>
                </a:rPr>
                <a:t>.</a:t>
              </a:r>
              <a:endParaRPr sz="1400"/>
            </a:p>
          </xdr:txBody>
        </xdr:sp>
        <xdr:sp macro="" textlink="">
          <xdr:nvSpPr>
            <xdr:cNvPr id="656" name="Shape 656" descr="2">
              <a:extLst>
                <a:ext uri="{FF2B5EF4-FFF2-40B4-BE49-F238E27FC236}">
                  <a16:creationId xmlns:a16="http://schemas.microsoft.com/office/drawing/2014/main" id="{00000000-0008-0000-0800-000090020000}"/>
                </a:ext>
              </a:extLst>
            </xdr:cNvPr>
            <xdr:cNvSpPr/>
          </xdr:nvSpPr>
          <xdr:spPr>
            <a:xfrm>
              <a:off x="231749" y="1276804"/>
              <a:ext cx="371587"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2</a:t>
              </a:r>
              <a:endParaRPr sz="1400"/>
            </a:p>
          </xdr:txBody>
        </xdr:sp>
        <xdr:sp macro="" textlink="">
          <xdr:nvSpPr>
            <xdr:cNvPr id="657" name="Shape 657" descr="A column chart appears showing total number of conference attendees per year. Feel free to move it anywhere you'd like">
              <a:extLst>
                <a:ext uri="{FF2B5EF4-FFF2-40B4-BE49-F238E27FC236}">
                  <a16:creationId xmlns:a16="http://schemas.microsoft.com/office/drawing/2014/main" id="{00000000-0008-0000-0800-000091020000}"/>
                </a:ext>
              </a:extLst>
            </xdr:cNvPr>
            <xdr:cNvSpPr txBox="1"/>
          </xdr:nvSpPr>
          <xdr:spPr>
            <a:xfrm>
              <a:off x="638783" y="1816432"/>
              <a:ext cx="4809516" cy="517193"/>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050">
                  <a:solidFill>
                    <a:srgbClr val="3F3F3F"/>
                  </a:solidFill>
                  <a:latin typeface="Quattrocento Sans"/>
                  <a:ea typeface="Quattrocento Sans"/>
                  <a:cs typeface="Quattrocento Sans"/>
                  <a:sym typeface="Quattrocento Sans"/>
                </a:rPr>
                <a:t>A column chart appears showing total number of conference attendees per year. Feel free to move it anywhere you'd like.</a:t>
              </a:r>
              <a:endParaRPr sz="1400"/>
            </a:p>
          </xdr:txBody>
        </xdr:sp>
        <xdr:sp macro="" textlink="">
          <xdr:nvSpPr>
            <xdr:cNvPr id="658" name="Shape 658" descr="3">
              <a:extLst>
                <a:ext uri="{FF2B5EF4-FFF2-40B4-BE49-F238E27FC236}">
                  <a16:creationId xmlns:a16="http://schemas.microsoft.com/office/drawing/2014/main" id="{00000000-0008-0000-0800-000092020000}"/>
                </a:ext>
              </a:extLst>
            </xdr:cNvPr>
            <xdr:cNvSpPr/>
          </xdr:nvSpPr>
          <xdr:spPr>
            <a:xfrm>
              <a:off x="231749" y="1773934"/>
              <a:ext cx="371587"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3</a:t>
              </a:r>
              <a:endParaRPr sz="1400"/>
            </a:p>
          </xdr:txBody>
        </xdr:sp>
        <xdr:sp macro="" textlink="">
          <xdr:nvSpPr>
            <xdr:cNvPr id="659" name="Shape 659" descr="Now you'll add a trendline. Select the chart, and the Chart Tools tab will appear at the top of the Excel window">
              <a:extLst>
                <a:ext uri="{FF2B5EF4-FFF2-40B4-BE49-F238E27FC236}">
                  <a16:creationId xmlns:a16="http://schemas.microsoft.com/office/drawing/2014/main" id="{00000000-0008-0000-0800-000093020000}"/>
                </a:ext>
              </a:extLst>
            </xdr:cNvPr>
            <xdr:cNvSpPr txBox="1"/>
          </xdr:nvSpPr>
          <xdr:spPr>
            <a:xfrm>
              <a:off x="638783" y="2312507"/>
              <a:ext cx="4809516" cy="506894"/>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050">
                  <a:solidFill>
                    <a:srgbClr val="3F3F3F"/>
                  </a:solidFill>
                  <a:latin typeface="Quattrocento Sans"/>
                  <a:ea typeface="Quattrocento Sans"/>
                  <a:cs typeface="Quattrocento Sans"/>
                  <a:sym typeface="Quattrocento Sans"/>
                </a:rPr>
                <a:t>Now you'll add a trendline. Select the chart, and the </a:t>
              </a:r>
              <a:r>
                <a:rPr lang="en-US" sz="1050" b="1">
                  <a:solidFill>
                    <a:srgbClr val="3F3F3F"/>
                  </a:solidFill>
                  <a:latin typeface="Quattrocento Sans"/>
                  <a:ea typeface="Quattrocento Sans"/>
                  <a:cs typeface="Quattrocento Sans"/>
                  <a:sym typeface="Quattrocento Sans"/>
                </a:rPr>
                <a:t>Chart Tools </a:t>
              </a:r>
              <a:r>
                <a:rPr lang="en-US" sz="1050">
                  <a:solidFill>
                    <a:srgbClr val="3F3F3F"/>
                  </a:solidFill>
                  <a:latin typeface="Quattrocento Sans"/>
                  <a:ea typeface="Quattrocento Sans"/>
                  <a:cs typeface="Quattrocento Sans"/>
                  <a:sym typeface="Quattrocento Sans"/>
                </a:rPr>
                <a:t>tab will appear at the top of the Excel window. </a:t>
              </a:r>
              <a:endParaRPr sz="1400"/>
            </a:p>
          </xdr:txBody>
        </xdr:sp>
        <xdr:sp macro="" textlink="">
          <xdr:nvSpPr>
            <xdr:cNvPr id="660" name="Shape 660" descr="4">
              <a:extLst>
                <a:ext uri="{FF2B5EF4-FFF2-40B4-BE49-F238E27FC236}">
                  <a16:creationId xmlns:a16="http://schemas.microsoft.com/office/drawing/2014/main" id="{00000000-0008-0000-0800-000094020000}"/>
                </a:ext>
              </a:extLst>
            </xdr:cNvPr>
            <xdr:cNvSpPr/>
          </xdr:nvSpPr>
          <xdr:spPr>
            <a:xfrm>
              <a:off x="231749" y="2270008"/>
              <a:ext cx="371587"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4</a:t>
              </a:r>
              <a:endParaRPr sz="1400"/>
            </a:p>
          </xdr:txBody>
        </xdr:sp>
        <xdr:sp macro="" textlink="">
          <xdr:nvSpPr>
            <xdr:cNvPr id="661" name="Shape 661" descr="On the Chart Tools tab, click Design. Then click Add chart element &gt; Trendline &gt; Linear. Now you have a trendline that shows the general direction of the units sold over time">
              <a:extLst>
                <a:ext uri="{FF2B5EF4-FFF2-40B4-BE49-F238E27FC236}">
                  <a16:creationId xmlns:a16="http://schemas.microsoft.com/office/drawing/2014/main" id="{00000000-0008-0000-0800-000095020000}"/>
                </a:ext>
              </a:extLst>
            </xdr:cNvPr>
            <xdr:cNvSpPr txBox="1"/>
          </xdr:nvSpPr>
          <xdr:spPr>
            <a:xfrm>
              <a:off x="638783" y="2861086"/>
              <a:ext cx="4809516" cy="561387"/>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050">
                  <a:solidFill>
                    <a:srgbClr val="3F3F3F"/>
                  </a:solidFill>
                  <a:latin typeface="Quattrocento Sans"/>
                  <a:ea typeface="Quattrocento Sans"/>
                  <a:cs typeface="Quattrocento Sans"/>
                  <a:sym typeface="Quattrocento Sans"/>
                </a:rPr>
                <a:t>On the </a:t>
              </a:r>
              <a:r>
                <a:rPr lang="en-US" sz="1050" b="1">
                  <a:solidFill>
                    <a:srgbClr val="3F3F3F"/>
                  </a:solidFill>
                  <a:latin typeface="Quattrocento Sans"/>
                  <a:ea typeface="Quattrocento Sans"/>
                  <a:cs typeface="Quattrocento Sans"/>
                  <a:sym typeface="Quattrocento Sans"/>
                </a:rPr>
                <a:t>Chart Tools </a:t>
              </a:r>
              <a:r>
                <a:rPr lang="en-US" sz="1050">
                  <a:solidFill>
                    <a:srgbClr val="3F3F3F"/>
                  </a:solidFill>
                  <a:latin typeface="Quattrocento Sans"/>
                  <a:ea typeface="Quattrocento Sans"/>
                  <a:cs typeface="Quattrocento Sans"/>
                  <a:sym typeface="Quattrocento Sans"/>
                </a:rPr>
                <a:t>tab, click </a:t>
              </a:r>
              <a:r>
                <a:rPr lang="en-US" sz="1050" b="1">
                  <a:solidFill>
                    <a:srgbClr val="3F3F3F"/>
                  </a:solidFill>
                  <a:latin typeface="Quattrocento Sans"/>
                  <a:ea typeface="Quattrocento Sans"/>
                  <a:cs typeface="Quattrocento Sans"/>
                  <a:sym typeface="Quattrocento Sans"/>
                </a:rPr>
                <a:t>Design</a:t>
              </a:r>
              <a:r>
                <a:rPr lang="en-US" sz="1050">
                  <a:solidFill>
                    <a:srgbClr val="3F3F3F"/>
                  </a:solidFill>
                  <a:latin typeface="Quattrocento Sans"/>
                  <a:ea typeface="Quattrocento Sans"/>
                  <a:cs typeface="Quattrocento Sans"/>
                  <a:sym typeface="Quattrocento Sans"/>
                </a:rPr>
                <a:t>. Then click </a:t>
              </a:r>
              <a:r>
                <a:rPr lang="en-US" sz="1050" b="1">
                  <a:solidFill>
                    <a:srgbClr val="3F3F3F"/>
                  </a:solidFill>
                  <a:latin typeface="Quattrocento Sans"/>
                  <a:ea typeface="Quattrocento Sans"/>
                  <a:cs typeface="Quattrocento Sans"/>
                  <a:sym typeface="Quattrocento Sans"/>
                </a:rPr>
                <a:t>Add chart element </a:t>
              </a:r>
              <a:r>
                <a:rPr lang="en-US" sz="1050">
                  <a:solidFill>
                    <a:srgbClr val="3F3F3F"/>
                  </a:solidFill>
                  <a:latin typeface="Quattrocento Sans"/>
                  <a:ea typeface="Quattrocento Sans"/>
                  <a:cs typeface="Quattrocento Sans"/>
                  <a:sym typeface="Quattrocento Sans"/>
                </a:rPr>
                <a:t>&gt; </a:t>
              </a:r>
              <a:r>
                <a:rPr lang="en-US" sz="1050" b="1">
                  <a:solidFill>
                    <a:srgbClr val="3F3F3F"/>
                  </a:solidFill>
                  <a:latin typeface="Quattrocento Sans"/>
                  <a:ea typeface="Quattrocento Sans"/>
                  <a:cs typeface="Quattrocento Sans"/>
                  <a:sym typeface="Quattrocento Sans"/>
                </a:rPr>
                <a:t>Trendline</a:t>
              </a:r>
              <a:r>
                <a:rPr lang="en-US" sz="1050">
                  <a:solidFill>
                    <a:srgbClr val="3F3F3F"/>
                  </a:solidFill>
                  <a:latin typeface="Quattrocento Sans"/>
                  <a:ea typeface="Quattrocento Sans"/>
                  <a:cs typeface="Quattrocento Sans"/>
                  <a:sym typeface="Quattrocento Sans"/>
                </a:rPr>
                <a:t> &gt; </a:t>
              </a:r>
              <a:r>
                <a:rPr lang="en-US" sz="1050" b="1">
                  <a:solidFill>
                    <a:srgbClr val="3F3F3F"/>
                  </a:solidFill>
                  <a:latin typeface="Quattrocento Sans"/>
                  <a:ea typeface="Quattrocento Sans"/>
                  <a:cs typeface="Quattrocento Sans"/>
                  <a:sym typeface="Quattrocento Sans"/>
                </a:rPr>
                <a:t>Linear</a:t>
              </a:r>
              <a:r>
                <a:rPr lang="en-US" sz="1050">
                  <a:solidFill>
                    <a:srgbClr val="3F3F3F"/>
                  </a:solidFill>
                  <a:latin typeface="Quattrocento Sans"/>
                  <a:ea typeface="Quattrocento Sans"/>
                  <a:cs typeface="Quattrocento Sans"/>
                  <a:sym typeface="Quattrocento Sans"/>
                </a:rPr>
                <a:t>. Now you have a trendline that shows the general direction of the units sold over time.</a:t>
              </a:r>
              <a:endParaRPr sz="1400"/>
            </a:p>
          </xdr:txBody>
        </xdr:sp>
        <xdr:sp macro="" textlink="">
          <xdr:nvSpPr>
            <xdr:cNvPr id="662" name="Shape 662" descr="5">
              <a:extLst>
                <a:ext uri="{FF2B5EF4-FFF2-40B4-BE49-F238E27FC236}">
                  <a16:creationId xmlns:a16="http://schemas.microsoft.com/office/drawing/2014/main" id="{00000000-0008-0000-0800-000096020000}"/>
                </a:ext>
              </a:extLst>
            </xdr:cNvPr>
            <xdr:cNvSpPr/>
          </xdr:nvSpPr>
          <xdr:spPr>
            <a:xfrm>
              <a:off x="231749" y="2818588"/>
              <a:ext cx="371587"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5</a:t>
              </a:r>
              <a:endParaRPr sz="1400"/>
            </a:p>
          </xdr:txBody>
        </xdr:sp>
      </xdr:grpSp>
    </xdr:grpSp>
    <xdr:clientData fLocksWithSheet="0"/>
  </xdr:oneCellAnchor>
  <xdr:oneCellAnchor>
    <xdr:from>
      <xdr:col>0</xdr:col>
      <xdr:colOff>390525</xdr:colOff>
      <xdr:row>26</xdr:row>
      <xdr:rowOff>0</xdr:rowOff>
    </xdr:from>
    <xdr:ext cx="5695950" cy="4619625"/>
    <xdr:grpSp>
      <xdr:nvGrpSpPr>
        <xdr:cNvPr id="6" name="Shape 2">
          <a:extLst>
            <a:ext uri="{FF2B5EF4-FFF2-40B4-BE49-F238E27FC236}">
              <a16:creationId xmlns:a16="http://schemas.microsoft.com/office/drawing/2014/main" id="{00000000-0008-0000-0800-000006000000}"/>
            </a:ext>
          </a:extLst>
        </xdr:cNvPr>
        <xdr:cNvGrpSpPr/>
      </xdr:nvGrpSpPr>
      <xdr:grpSpPr>
        <a:xfrm>
          <a:off x="390525" y="5543550"/>
          <a:ext cx="5695950" cy="4619625"/>
          <a:chOff x="2498025" y="1470188"/>
          <a:chExt cx="5695950" cy="4619625"/>
        </a:xfrm>
      </xdr:grpSpPr>
      <xdr:grpSp>
        <xdr:nvGrpSpPr>
          <xdr:cNvPr id="663" name="Shape 663" descr="Horizontal and vertical axes&#10;In school you might have learned that there is an x-axis and a y-axis. Excel has these two axes as well, but it calls them something different.&#10;&#10;In Excel this is what they are called:&#10;• The x-axis along the bottom is called the horizontal axis. &#10;• The y-axis that runs up and down is called the vertical axis. &#10;&#10;Each axis can either be a value axis or a category axis.&#10;• A value axis represents numerical values. For example, a value axis can represent dollars, hours, duration, temperature, and so on.  The vertical axis on the right is a value axis. &#10;• A category axis represents things like dates, people names, product names. The horizontal axis on the right has years so this is a category axis">
            <a:extLst>
              <a:ext uri="{FF2B5EF4-FFF2-40B4-BE49-F238E27FC236}">
                <a16:creationId xmlns:a16="http://schemas.microsoft.com/office/drawing/2014/main" id="{00000000-0008-0000-0800-000097020000}"/>
              </a:ext>
            </a:extLst>
          </xdr:cNvPr>
          <xdr:cNvGrpSpPr/>
        </xdr:nvGrpSpPr>
        <xdr:grpSpPr>
          <a:xfrm>
            <a:off x="2498025" y="1470188"/>
            <a:ext cx="5695950" cy="4619625"/>
            <a:chOff x="390525" y="5943600"/>
            <a:chExt cx="5695950" cy="4619625"/>
          </a:xfrm>
        </xdr:grpSpPr>
        <xdr:sp macro="" textlink="">
          <xdr:nvSpPr>
            <xdr:cNvPr id="7" name="Shape 4">
              <a:extLst>
                <a:ext uri="{FF2B5EF4-FFF2-40B4-BE49-F238E27FC236}">
                  <a16:creationId xmlns:a16="http://schemas.microsoft.com/office/drawing/2014/main" id="{00000000-0008-0000-0800-000007000000}"/>
                </a:ext>
              </a:extLst>
            </xdr:cNvPr>
            <xdr:cNvSpPr/>
          </xdr:nvSpPr>
          <xdr:spPr>
            <a:xfrm>
              <a:off x="390525" y="5943600"/>
              <a:ext cx="5695950" cy="4619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664" name="Shape 664" descr="Background">
              <a:extLst>
                <a:ext uri="{FF2B5EF4-FFF2-40B4-BE49-F238E27FC236}">
                  <a16:creationId xmlns:a16="http://schemas.microsoft.com/office/drawing/2014/main" id="{00000000-0008-0000-0800-000098020000}"/>
                </a:ext>
              </a:extLst>
            </xdr:cNvPr>
            <xdr:cNvSpPr/>
          </xdr:nvSpPr>
          <xdr:spPr>
            <a:xfrm>
              <a:off x="390525" y="5943600"/>
              <a:ext cx="5695950" cy="4619625"/>
            </a:xfrm>
            <a:prstGeom prst="rect">
              <a:avLst/>
            </a:prstGeom>
            <a:solidFill>
              <a:srgbClr val="F5F5F5"/>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xnSp macro="">
          <xdr:nvCxnSpPr>
            <xdr:cNvPr id="665" name="Shape 665" descr="Decorative line">
              <a:extLst>
                <a:ext uri="{FF2B5EF4-FFF2-40B4-BE49-F238E27FC236}">
                  <a16:creationId xmlns:a16="http://schemas.microsoft.com/office/drawing/2014/main" id="{00000000-0008-0000-0800-000099020000}"/>
                </a:ext>
              </a:extLst>
            </xdr:cNvPr>
            <xdr:cNvCxnSpPr/>
          </xdr:nvCxnSpPr>
          <xdr:spPr>
            <a:xfrm>
              <a:off x="625449" y="6569711"/>
              <a:ext cx="5213376" cy="0"/>
            </a:xfrm>
            <a:prstGeom prst="straightConnector1">
              <a:avLst/>
            </a:prstGeom>
            <a:noFill/>
            <a:ln w="25400" cap="flat" cmpd="sng">
              <a:solidFill>
                <a:srgbClr val="217346"/>
              </a:solidFill>
              <a:prstDash val="solid"/>
              <a:round/>
              <a:headEnd type="none" w="sm" len="sm"/>
              <a:tailEnd type="none" w="sm" len="sm"/>
            </a:ln>
          </xdr:spPr>
        </xdr:cxnSp>
        <xdr:cxnSp macro="">
          <xdr:nvCxnSpPr>
            <xdr:cNvPr id="666" name="Shape 666" descr="Decorative line">
              <a:extLst>
                <a:ext uri="{FF2B5EF4-FFF2-40B4-BE49-F238E27FC236}">
                  <a16:creationId xmlns:a16="http://schemas.microsoft.com/office/drawing/2014/main" id="{00000000-0008-0000-0800-00009A020000}"/>
                </a:ext>
              </a:extLst>
            </xdr:cNvPr>
            <xdr:cNvCxnSpPr/>
          </xdr:nvCxnSpPr>
          <xdr:spPr>
            <a:xfrm>
              <a:off x="625449" y="10322561"/>
              <a:ext cx="5213376" cy="0"/>
            </a:xfrm>
            <a:prstGeom prst="straightConnector1">
              <a:avLst/>
            </a:prstGeom>
            <a:noFill/>
            <a:ln w="25400" cap="flat" cmpd="sng">
              <a:solidFill>
                <a:srgbClr val="217346"/>
              </a:solidFill>
              <a:prstDash val="solid"/>
              <a:round/>
              <a:headEnd type="none" w="sm" len="sm"/>
              <a:tailEnd type="none" w="sm" len="sm"/>
            </a:ln>
          </xdr:spPr>
        </xdr:cxnSp>
        <xdr:sp macro="" textlink="">
          <xdr:nvSpPr>
            <xdr:cNvPr id="667" name="Shape 667" descr="Horizontal and vertical axes">
              <a:extLst>
                <a:ext uri="{FF2B5EF4-FFF2-40B4-BE49-F238E27FC236}">
                  <a16:creationId xmlns:a16="http://schemas.microsoft.com/office/drawing/2014/main" id="{00000000-0008-0000-0800-00009B020000}"/>
                </a:ext>
              </a:extLst>
            </xdr:cNvPr>
            <xdr:cNvSpPr txBox="1"/>
          </xdr:nvSpPr>
          <xdr:spPr>
            <a:xfrm>
              <a:off x="622273" y="6062298"/>
              <a:ext cx="5216551" cy="490903"/>
            </a:xfrm>
            <a:prstGeom prst="rect">
              <a:avLst/>
            </a:prstGeom>
            <a:noFill/>
            <a:ln>
              <a:noFill/>
            </a:ln>
          </xdr:spPr>
          <xdr:txBody>
            <a:bodyPr spcFirstLastPara="1" wrap="square" lIns="0" tIns="45700" rIns="0" bIns="45700" anchor="t" anchorCtr="0">
              <a:noAutofit/>
            </a:bodyPr>
            <a:lstStyle/>
            <a:p>
              <a:pPr marL="0" marR="0" lvl="0" indent="0" algn="l" rtl="0">
                <a:lnSpc>
                  <a:spcPct val="100000"/>
                </a:lnSpc>
                <a:spcBef>
                  <a:spcPts val="0"/>
                </a:spcBef>
                <a:spcAft>
                  <a:spcPts val="0"/>
                </a:spcAft>
                <a:buClr>
                  <a:srgbClr val="3A3838"/>
                </a:buClr>
                <a:buSzPts val="2200"/>
                <a:buFont typeface="Quattrocento Sans"/>
                <a:buNone/>
              </a:pPr>
              <a:r>
                <a:rPr lang="en-US" sz="2200" b="0" i="0" u="none" strike="noStrike" cap="none">
                  <a:solidFill>
                    <a:srgbClr val="3A3838"/>
                  </a:solidFill>
                  <a:latin typeface="Quattrocento Sans"/>
                  <a:ea typeface="Quattrocento Sans"/>
                  <a:cs typeface="Quattrocento Sans"/>
                  <a:sym typeface="Quattrocento Sans"/>
                </a:rPr>
                <a:t>Horizontal and vertical axes</a:t>
              </a:r>
              <a:endParaRPr sz="2200" b="0">
                <a:solidFill>
                  <a:srgbClr val="3A3838"/>
                </a:solidFill>
                <a:latin typeface="Quattrocento Sans"/>
                <a:ea typeface="Quattrocento Sans"/>
                <a:cs typeface="Quattrocento Sans"/>
                <a:sym typeface="Quattrocento Sans"/>
              </a:endParaRPr>
            </a:p>
          </xdr:txBody>
        </xdr:sp>
        <xdr:sp macro="" textlink="">
          <xdr:nvSpPr>
            <xdr:cNvPr id="668" name="Shape 668" descr="In school you might have learned that there is an x-axis and a y-axis. Excel has these two axes as well, but it calls them something different. &#10;&#10;In Excel this is what they are called:&#10;&#10;• The x-axis along the bottom is called the horizontal axis. &#10;• The y-axis that runs up and down is called the vertical axis. &#10;&#10;Each axis can either be a value axis or a category axis. &#10;• A value axis represents numerical values. For example, a value axis can represent dollars, hours, duration, temperature, and so on.  The vertical axis on the right is a value axis. &#10;• A category axis represents things like dates, people names, product names. The horizontal axis on the right has years so this is a category axis">
              <a:extLst>
                <a:ext uri="{FF2B5EF4-FFF2-40B4-BE49-F238E27FC236}">
                  <a16:creationId xmlns:a16="http://schemas.microsoft.com/office/drawing/2014/main" id="{00000000-0008-0000-0800-00009C020000}"/>
                </a:ext>
              </a:extLst>
            </xdr:cNvPr>
            <xdr:cNvSpPr txBox="1"/>
          </xdr:nvSpPr>
          <xdr:spPr>
            <a:xfrm>
              <a:off x="619125" y="6643320"/>
              <a:ext cx="5300938" cy="3438578"/>
            </a:xfrm>
            <a:prstGeom prst="rect">
              <a:avLst/>
            </a:prstGeom>
            <a:noFill/>
            <a:ln>
              <a:noFill/>
            </a:ln>
          </xdr:spPr>
          <xdr:txBody>
            <a:bodyPr spcFirstLastPara="1" wrap="square" lIns="0" tIns="45700" rIns="0" bIns="45700" anchor="t" anchorCtr="0">
              <a:noAutofit/>
            </a:bodyPr>
            <a:lstStyle/>
            <a:p>
              <a:pPr marL="0" lvl="0" indent="0" algn="l" rtl="0">
                <a:spcBef>
                  <a:spcPts val="0"/>
                </a:spcBef>
                <a:spcAft>
                  <a:spcPts val="0"/>
                </a:spcAft>
                <a:buNone/>
              </a:pPr>
              <a:r>
                <a:rPr lang="en-US" sz="1050">
                  <a:solidFill>
                    <a:srgbClr val="3F3F3F"/>
                  </a:solidFill>
                  <a:latin typeface="Quattrocento Sans"/>
                  <a:ea typeface="Quattrocento Sans"/>
                  <a:cs typeface="Quattrocento Sans"/>
                  <a:sym typeface="Quattrocento Sans"/>
                </a:rPr>
                <a:t>In school you might have learned that there is an x-axis and a y-axis. Excel has these two axes as well, but it calls them something different. </a:t>
              </a:r>
              <a:endParaRPr sz="1400"/>
            </a:p>
            <a:p>
              <a:pPr marL="0" lvl="0" indent="0" algn="l" rtl="0">
                <a:spcBef>
                  <a:spcPts val="0"/>
                </a:spcBef>
                <a:spcAft>
                  <a:spcPts val="0"/>
                </a:spcAft>
                <a:buNone/>
              </a:pPr>
              <a:endParaRPr sz="1050">
                <a:solidFill>
                  <a:srgbClr val="3F3F3F"/>
                </a:solidFill>
                <a:latin typeface="Quattrocento Sans"/>
                <a:ea typeface="Quattrocento Sans"/>
                <a:cs typeface="Quattrocento Sans"/>
                <a:sym typeface="Quattrocento Sans"/>
              </a:endParaRPr>
            </a:p>
            <a:p>
              <a:pPr marL="0" lvl="0" indent="0" algn="l" rtl="0">
                <a:spcBef>
                  <a:spcPts val="0"/>
                </a:spcBef>
                <a:spcAft>
                  <a:spcPts val="0"/>
                </a:spcAft>
                <a:buNone/>
              </a:pPr>
              <a:r>
                <a:rPr lang="en-US" sz="1050">
                  <a:solidFill>
                    <a:srgbClr val="3F3F3F"/>
                  </a:solidFill>
                  <a:latin typeface="Quattrocento Sans"/>
                  <a:ea typeface="Quattrocento Sans"/>
                  <a:cs typeface="Quattrocento Sans"/>
                  <a:sym typeface="Quattrocento Sans"/>
                </a:rPr>
                <a:t>In Excel this is what they are called:</a:t>
              </a:r>
              <a:endParaRPr sz="1400"/>
            </a:p>
            <a:p>
              <a:pPr marL="0" lvl="0" indent="0" algn="l" rtl="0">
                <a:spcBef>
                  <a:spcPts val="0"/>
                </a:spcBef>
                <a:spcAft>
                  <a:spcPts val="0"/>
                </a:spcAft>
                <a:buNone/>
              </a:pPr>
              <a:endParaRPr sz="1050">
                <a:solidFill>
                  <a:srgbClr val="3F3F3F"/>
                </a:solidFill>
                <a:latin typeface="Quattrocento Sans"/>
                <a:ea typeface="Quattrocento Sans"/>
                <a:cs typeface="Quattrocento Sans"/>
                <a:sym typeface="Quattrocento Sans"/>
              </a:endParaRPr>
            </a:p>
            <a:p>
              <a:pPr marL="0" lvl="0" indent="0" algn="l" rtl="0">
                <a:spcBef>
                  <a:spcPts val="0"/>
                </a:spcBef>
                <a:spcAft>
                  <a:spcPts val="0"/>
                </a:spcAft>
                <a:buNone/>
              </a:pPr>
              <a:r>
                <a:rPr lang="en-US" sz="1050">
                  <a:solidFill>
                    <a:srgbClr val="3F3F3F"/>
                  </a:solidFill>
                  <a:latin typeface="Quattrocento Sans"/>
                  <a:ea typeface="Quattrocento Sans"/>
                  <a:cs typeface="Quattrocento Sans"/>
                  <a:sym typeface="Quattrocento Sans"/>
                </a:rPr>
                <a:t>• The x-axis along the bottom is called the </a:t>
              </a:r>
              <a:r>
                <a:rPr lang="en-US" sz="1050" b="1">
                  <a:solidFill>
                    <a:srgbClr val="3F3F3F"/>
                  </a:solidFill>
                  <a:latin typeface="Quattrocento Sans"/>
                  <a:ea typeface="Quattrocento Sans"/>
                  <a:cs typeface="Quattrocento Sans"/>
                  <a:sym typeface="Quattrocento Sans"/>
                </a:rPr>
                <a:t>horizontal axis</a:t>
              </a:r>
              <a:r>
                <a:rPr lang="en-US" sz="1050">
                  <a:solidFill>
                    <a:srgbClr val="3F3F3F"/>
                  </a:solidFill>
                  <a:latin typeface="Quattrocento Sans"/>
                  <a:ea typeface="Quattrocento Sans"/>
                  <a:cs typeface="Quattrocento Sans"/>
                  <a:sym typeface="Quattrocento Sans"/>
                </a:rPr>
                <a:t>. </a:t>
              </a:r>
              <a:endParaRPr sz="1400"/>
            </a:p>
            <a:p>
              <a:pPr marL="0" lvl="0" indent="0" algn="l" rtl="0">
                <a:spcBef>
                  <a:spcPts val="0"/>
                </a:spcBef>
                <a:spcAft>
                  <a:spcPts val="0"/>
                </a:spcAft>
                <a:buNone/>
              </a:pPr>
              <a:r>
                <a:rPr lang="en-US" sz="1050">
                  <a:solidFill>
                    <a:srgbClr val="3F3F3F"/>
                  </a:solidFill>
                  <a:latin typeface="Quattrocento Sans"/>
                  <a:ea typeface="Quattrocento Sans"/>
                  <a:cs typeface="Quattrocento Sans"/>
                  <a:sym typeface="Quattrocento Sans"/>
                </a:rPr>
                <a:t>• The y-axis that runs up and down is called the </a:t>
              </a:r>
              <a:r>
                <a:rPr lang="en-US" sz="1050" b="1">
                  <a:solidFill>
                    <a:srgbClr val="3F3F3F"/>
                  </a:solidFill>
                  <a:latin typeface="Quattrocento Sans"/>
                  <a:ea typeface="Quattrocento Sans"/>
                  <a:cs typeface="Quattrocento Sans"/>
                  <a:sym typeface="Quattrocento Sans"/>
                </a:rPr>
                <a:t>vertical axis</a:t>
              </a:r>
              <a:r>
                <a:rPr lang="en-US" sz="1050">
                  <a:solidFill>
                    <a:srgbClr val="3F3F3F"/>
                  </a:solidFill>
                  <a:latin typeface="Quattrocento Sans"/>
                  <a:ea typeface="Quattrocento Sans"/>
                  <a:cs typeface="Quattrocento Sans"/>
                  <a:sym typeface="Quattrocento Sans"/>
                </a:rPr>
                <a:t>. </a:t>
              </a:r>
              <a:endParaRPr sz="1400"/>
            </a:p>
            <a:p>
              <a:pPr marL="0" lvl="0" indent="0" algn="l" rtl="0">
                <a:spcBef>
                  <a:spcPts val="0"/>
                </a:spcBef>
                <a:spcAft>
                  <a:spcPts val="0"/>
                </a:spcAft>
                <a:buNone/>
              </a:pPr>
              <a:endParaRPr sz="1050">
                <a:solidFill>
                  <a:srgbClr val="3F3F3F"/>
                </a:solidFill>
                <a:latin typeface="Quattrocento Sans"/>
                <a:ea typeface="Quattrocento Sans"/>
                <a:cs typeface="Quattrocento Sans"/>
                <a:sym typeface="Quattrocento Sans"/>
              </a:endParaRPr>
            </a:p>
            <a:p>
              <a:pPr marL="0" lvl="0" indent="0" algn="l" rtl="0">
                <a:spcBef>
                  <a:spcPts val="0"/>
                </a:spcBef>
                <a:spcAft>
                  <a:spcPts val="0"/>
                </a:spcAft>
                <a:buNone/>
              </a:pPr>
              <a:r>
                <a:rPr lang="en-US" sz="1050">
                  <a:solidFill>
                    <a:srgbClr val="3F3F3F"/>
                  </a:solidFill>
                  <a:latin typeface="Quattrocento Sans"/>
                  <a:ea typeface="Quattrocento Sans"/>
                  <a:cs typeface="Quattrocento Sans"/>
                  <a:sym typeface="Quattrocento Sans"/>
                </a:rPr>
                <a:t>Each axis can either be a value axis or a category axis. </a:t>
              </a:r>
              <a:endParaRPr sz="1400"/>
            </a:p>
            <a:p>
              <a:pPr marL="0" lvl="0" indent="0" algn="l" rtl="0">
                <a:spcBef>
                  <a:spcPts val="0"/>
                </a:spcBef>
                <a:spcAft>
                  <a:spcPts val="0"/>
                </a:spcAft>
                <a:buNone/>
              </a:pPr>
              <a:r>
                <a:rPr lang="en-US" sz="1050">
                  <a:solidFill>
                    <a:srgbClr val="3F3F3F"/>
                  </a:solidFill>
                  <a:latin typeface="Quattrocento Sans"/>
                  <a:ea typeface="Quattrocento Sans"/>
                  <a:cs typeface="Quattrocento Sans"/>
                  <a:sym typeface="Quattrocento Sans"/>
                </a:rPr>
                <a:t>• A </a:t>
              </a:r>
              <a:r>
                <a:rPr lang="en-US" sz="1050" b="1">
                  <a:solidFill>
                    <a:srgbClr val="3F3F3F"/>
                  </a:solidFill>
                  <a:latin typeface="Quattrocento Sans"/>
                  <a:ea typeface="Quattrocento Sans"/>
                  <a:cs typeface="Quattrocento Sans"/>
                  <a:sym typeface="Quattrocento Sans"/>
                </a:rPr>
                <a:t>value axis </a:t>
              </a:r>
              <a:r>
                <a:rPr lang="en-US" sz="1050">
                  <a:solidFill>
                    <a:srgbClr val="3F3F3F"/>
                  </a:solidFill>
                  <a:latin typeface="Quattrocento Sans"/>
                  <a:ea typeface="Quattrocento Sans"/>
                  <a:cs typeface="Quattrocento Sans"/>
                  <a:sym typeface="Quattrocento Sans"/>
                </a:rPr>
                <a:t>represents numerical values. For example, a value axis can represent dollars, hours, duration, temperature, and so on.  The vertical axis on the right is a value axis. </a:t>
              </a:r>
              <a:endParaRPr sz="1400"/>
            </a:p>
            <a:p>
              <a:pPr marL="0" lvl="0" indent="0" algn="l" rtl="0">
                <a:spcBef>
                  <a:spcPts val="0"/>
                </a:spcBef>
                <a:spcAft>
                  <a:spcPts val="0"/>
                </a:spcAft>
                <a:buNone/>
              </a:pPr>
              <a:r>
                <a:rPr lang="en-US" sz="1050">
                  <a:solidFill>
                    <a:srgbClr val="3F3F3F"/>
                  </a:solidFill>
                  <a:latin typeface="Quattrocento Sans"/>
                  <a:ea typeface="Quattrocento Sans"/>
                  <a:cs typeface="Quattrocento Sans"/>
                  <a:sym typeface="Quattrocento Sans"/>
                </a:rPr>
                <a:t>• A </a:t>
              </a:r>
              <a:r>
                <a:rPr lang="en-US" sz="1050" b="1">
                  <a:solidFill>
                    <a:srgbClr val="3F3F3F"/>
                  </a:solidFill>
                  <a:latin typeface="Quattrocento Sans"/>
                  <a:ea typeface="Quattrocento Sans"/>
                  <a:cs typeface="Quattrocento Sans"/>
                  <a:sym typeface="Quattrocento Sans"/>
                </a:rPr>
                <a:t>category axis </a:t>
              </a:r>
              <a:r>
                <a:rPr lang="en-US" sz="1050">
                  <a:solidFill>
                    <a:srgbClr val="3F3F3F"/>
                  </a:solidFill>
                  <a:latin typeface="Quattrocento Sans"/>
                  <a:ea typeface="Quattrocento Sans"/>
                  <a:cs typeface="Quattrocento Sans"/>
                  <a:sym typeface="Quattrocento Sans"/>
                </a:rPr>
                <a:t>represents things like dates, people names, product names. The horizontal axis on the right has years so this is a category axis. </a:t>
              </a:r>
              <a:endParaRPr sz="1400"/>
            </a:p>
            <a:p>
              <a:pPr marL="0" lvl="0" indent="0" algn="l" rtl="0">
                <a:spcBef>
                  <a:spcPts val="0"/>
                </a:spcBef>
                <a:spcAft>
                  <a:spcPts val="0"/>
                </a:spcAft>
                <a:buNone/>
              </a:pPr>
              <a:endParaRPr sz="1050">
                <a:solidFill>
                  <a:srgbClr val="3F3F3F"/>
                </a:solidFill>
                <a:latin typeface="Quattrocento Sans"/>
                <a:ea typeface="Quattrocento Sans"/>
                <a:cs typeface="Quattrocento Sans"/>
                <a:sym typeface="Quattrocento Sans"/>
              </a:endParaRPr>
            </a:p>
            <a:p>
              <a:pPr marL="0" lvl="0" indent="0" algn="l" rtl="0">
                <a:spcBef>
                  <a:spcPts val="0"/>
                </a:spcBef>
                <a:spcAft>
                  <a:spcPts val="0"/>
                </a:spcAft>
                <a:buNone/>
              </a:pPr>
              <a:endParaRPr sz="1050">
                <a:solidFill>
                  <a:srgbClr val="3F3F3F"/>
                </a:solidFill>
                <a:latin typeface="Quattrocento Sans"/>
                <a:ea typeface="Quattrocento Sans"/>
                <a:cs typeface="Quattrocento Sans"/>
                <a:sym typeface="Quattrocento Sans"/>
              </a:endParaRPr>
            </a:p>
            <a:p>
              <a:pPr marL="0" lvl="0" indent="0" algn="l" rtl="0">
                <a:spcBef>
                  <a:spcPts val="0"/>
                </a:spcBef>
                <a:spcAft>
                  <a:spcPts val="0"/>
                </a:spcAft>
                <a:buNone/>
              </a:pPr>
              <a:endParaRPr sz="1050">
                <a:solidFill>
                  <a:srgbClr val="3F3F3F"/>
                </a:solidFill>
                <a:latin typeface="Quattrocento Sans"/>
                <a:ea typeface="Quattrocento Sans"/>
                <a:cs typeface="Quattrocento Sans"/>
                <a:sym typeface="Quattrocento Sans"/>
              </a:endParaRPr>
            </a:p>
            <a:p>
              <a:pPr marL="0" lvl="0" indent="0" algn="l" rtl="0">
                <a:spcBef>
                  <a:spcPts val="0"/>
                </a:spcBef>
                <a:spcAft>
                  <a:spcPts val="0"/>
                </a:spcAft>
                <a:buNone/>
              </a:pPr>
              <a:endParaRPr sz="1050">
                <a:solidFill>
                  <a:srgbClr val="3F3F3F"/>
                </a:solidFill>
                <a:latin typeface="Quattrocento Sans"/>
                <a:ea typeface="Quattrocento Sans"/>
                <a:cs typeface="Quattrocento Sans"/>
                <a:sym typeface="Quattrocento Sans"/>
              </a:endParaRPr>
            </a:p>
            <a:p>
              <a:pPr marL="0" lvl="0" indent="0" algn="l" rtl="0">
                <a:spcBef>
                  <a:spcPts val="0"/>
                </a:spcBef>
                <a:spcAft>
                  <a:spcPts val="0"/>
                </a:spcAft>
                <a:buNone/>
              </a:pPr>
              <a:endParaRPr sz="1050">
                <a:solidFill>
                  <a:srgbClr val="3F3F3F"/>
                </a:solidFill>
                <a:latin typeface="Quattrocento Sans"/>
                <a:ea typeface="Quattrocento Sans"/>
                <a:cs typeface="Quattrocento Sans"/>
                <a:sym typeface="Quattrocento Sans"/>
              </a:endParaRPr>
            </a:p>
            <a:p>
              <a:pPr marL="0" lvl="0" indent="0" algn="l" rtl="0">
                <a:spcBef>
                  <a:spcPts val="0"/>
                </a:spcBef>
                <a:spcAft>
                  <a:spcPts val="0"/>
                </a:spcAft>
                <a:buNone/>
              </a:pPr>
              <a:endParaRPr sz="1050">
                <a:solidFill>
                  <a:srgbClr val="3F3F3F"/>
                </a:solidFill>
                <a:latin typeface="Quattrocento Sans"/>
                <a:ea typeface="Quattrocento Sans"/>
                <a:cs typeface="Quattrocento Sans"/>
                <a:sym typeface="Quattrocento Sans"/>
              </a:endParaRPr>
            </a:p>
            <a:p>
              <a:pPr marL="0" marR="0" lvl="0" indent="0" algn="l" rtl="0">
                <a:lnSpc>
                  <a:spcPct val="100000"/>
                </a:lnSpc>
                <a:spcBef>
                  <a:spcPts val="0"/>
                </a:spcBef>
                <a:spcAft>
                  <a:spcPts val="0"/>
                </a:spcAft>
                <a:buSzPts val="1050"/>
                <a:buFont typeface="Arial"/>
                <a:buNone/>
              </a:pPr>
              <a:endParaRPr sz="1050" b="0" i="0" u="none" strike="noStrike" cap="none">
                <a:solidFill>
                  <a:srgbClr val="3F3F3F"/>
                </a:solidFill>
                <a:latin typeface="Quattrocento Sans"/>
                <a:ea typeface="Quattrocento Sans"/>
                <a:cs typeface="Quattrocento Sans"/>
                <a:sym typeface="Quattrocento Sans"/>
              </a:endParaRPr>
            </a:p>
          </xdr:txBody>
        </xdr:sp>
      </xdr:grpSp>
    </xdr:grpSp>
    <xdr:clientData fLocksWithSheet="0"/>
  </xdr:oneCellAnchor>
  <xdr:oneCellAnchor>
    <xdr:from>
      <xdr:col>3</xdr:col>
      <xdr:colOff>19050</xdr:colOff>
      <xdr:row>51</xdr:row>
      <xdr:rowOff>133350</xdr:rowOff>
    </xdr:from>
    <xdr:ext cx="5438775" cy="2552700"/>
    <xdr:grpSp>
      <xdr:nvGrpSpPr>
        <xdr:cNvPr id="8" name="Shape 2">
          <a:extLst>
            <a:ext uri="{FF2B5EF4-FFF2-40B4-BE49-F238E27FC236}">
              <a16:creationId xmlns:a16="http://schemas.microsoft.com/office/drawing/2014/main" id="{00000000-0008-0000-0800-000008000000}"/>
            </a:ext>
          </a:extLst>
        </xdr:cNvPr>
        <xdr:cNvGrpSpPr/>
      </xdr:nvGrpSpPr>
      <xdr:grpSpPr>
        <a:xfrm>
          <a:off x="7315200" y="10439400"/>
          <a:ext cx="5438775" cy="2552700"/>
          <a:chOff x="2626613" y="2503650"/>
          <a:chExt cx="5438775" cy="2552700"/>
        </a:xfrm>
      </xdr:grpSpPr>
      <xdr:grpSp>
        <xdr:nvGrpSpPr>
          <xdr:cNvPr id="669" name="Shape 669" descr="Combo Chart">
            <a:extLst>
              <a:ext uri="{FF2B5EF4-FFF2-40B4-BE49-F238E27FC236}">
                <a16:creationId xmlns:a16="http://schemas.microsoft.com/office/drawing/2014/main" id="{00000000-0008-0000-0800-00009D020000}"/>
              </a:ext>
            </a:extLst>
          </xdr:cNvPr>
          <xdr:cNvGrpSpPr/>
        </xdr:nvGrpSpPr>
        <xdr:grpSpPr>
          <a:xfrm>
            <a:off x="2626613" y="2503650"/>
            <a:ext cx="5438775" cy="2552700"/>
            <a:chOff x="7315200" y="10839450"/>
            <a:chExt cx="5443586" cy="2514600"/>
          </a:xfrm>
        </xdr:grpSpPr>
        <xdr:sp macro="" textlink="">
          <xdr:nvSpPr>
            <xdr:cNvPr id="9" name="Shape 4">
              <a:extLst>
                <a:ext uri="{FF2B5EF4-FFF2-40B4-BE49-F238E27FC236}">
                  <a16:creationId xmlns:a16="http://schemas.microsoft.com/office/drawing/2014/main" id="{00000000-0008-0000-0800-000009000000}"/>
                </a:ext>
              </a:extLst>
            </xdr:cNvPr>
            <xdr:cNvSpPr/>
          </xdr:nvSpPr>
          <xdr:spPr>
            <a:xfrm>
              <a:off x="7315200" y="10839450"/>
              <a:ext cx="5443575" cy="2514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670" name="Shape 670" descr="Bracket line">
              <a:extLst>
                <a:ext uri="{FF2B5EF4-FFF2-40B4-BE49-F238E27FC236}">
                  <a16:creationId xmlns:a16="http://schemas.microsoft.com/office/drawing/2014/main" id="{00000000-0008-0000-0800-00009E020000}"/>
                </a:ext>
              </a:extLst>
            </xdr:cNvPr>
            <xdr:cNvSpPr/>
          </xdr:nvSpPr>
          <xdr:spPr>
            <a:xfrm>
              <a:off x="11638121" y="10985227"/>
              <a:ext cx="181608" cy="794460"/>
            </a:xfrm>
            <a:custGeom>
              <a:avLst/>
              <a:gdLst/>
              <a:ahLst/>
              <a:cxnLst/>
              <a:rect l="l" t="t" r="r" b="b"/>
              <a:pathLst>
                <a:path w="167704" h="207258" extrusionOk="0">
                  <a:moveTo>
                    <a:pt x="0" y="193"/>
                  </a:moveTo>
                  <a:cubicBezTo>
                    <a:pt x="64880" y="-498"/>
                    <a:pt x="129760" y="-1188"/>
                    <a:pt x="157369" y="33323"/>
                  </a:cubicBezTo>
                  <a:cubicBezTo>
                    <a:pt x="184978" y="67834"/>
                    <a:pt x="146326" y="179649"/>
                    <a:pt x="165652" y="207258"/>
                  </a:cubicBezTo>
                </a:path>
              </a:pathLst>
            </a:custGeom>
            <a:noFill/>
            <a:ln w="19050" cap="flat" cmpd="sng">
              <a:solidFill>
                <a:srgbClr val="F4B08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lt1"/>
                </a:solidFill>
                <a:latin typeface="Calibri"/>
                <a:ea typeface="Calibri"/>
                <a:cs typeface="Calibri"/>
                <a:sym typeface="Calibri"/>
              </a:endParaRPr>
            </a:p>
          </xdr:txBody>
        </xdr:sp>
        <xdr:sp macro="" textlink="">
          <xdr:nvSpPr>
            <xdr:cNvPr id="671" name="Shape 671" descr="Bracket line">
              <a:extLst>
                <a:ext uri="{FF2B5EF4-FFF2-40B4-BE49-F238E27FC236}">
                  <a16:creationId xmlns:a16="http://schemas.microsoft.com/office/drawing/2014/main" id="{00000000-0008-0000-0800-00009F020000}"/>
                </a:ext>
              </a:extLst>
            </xdr:cNvPr>
            <xdr:cNvSpPr/>
          </xdr:nvSpPr>
          <xdr:spPr>
            <a:xfrm rot="10800000" flipH="1">
              <a:off x="11627123" y="12006584"/>
              <a:ext cx="183793" cy="795015"/>
            </a:xfrm>
            <a:custGeom>
              <a:avLst/>
              <a:gdLst/>
              <a:ahLst/>
              <a:cxnLst/>
              <a:rect l="l" t="t" r="r" b="b"/>
              <a:pathLst>
                <a:path w="169722" h="219894" extrusionOk="0">
                  <a:moveTo>
                    <a:pt x="0" y="334"/>
                  </a:moveTo>
                  <a:cubicBezTo>
                    <a:pt x="64880" y="-357"/>
                    <a:pt x="129082" y="-3129"/>
                    <a:pt x="157369" y="33464"/>
                  </a:cubicBezTo>
                  <a:cubicBezTo>
                    <a:pt x="185656" y="70057"/>
                    <a:pt x="150396" y="192285"/>
                    <a:pt x="169722" y="219894"/>
                  </a:cubicBezTo>
                </a:path>
              </a:pathLst>
            </a:custGeom>
            <a:noFill/>
            <a:ln w="19050" cap="flat" cmpd="sng">
              <a:solidFill>
                <a:srgbClr val="F4B08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lt1"/>
                </a:solidFill>
                <a:latin typeface="Calibri"/>
                <a:ea typeface="Calibri"/>
                <a:cs typeface="Calibri"/>
                <a:sym typeface="Calibri"/>
              </a:endParaRPr>
            </a:p>
          </xdr:txBody>
        </xdr:sp>
        <xdr:sp macro="" textlink="">
          <xdr:nvSpPr>
            <xdr:cNvPr id="672" name="Shape 672" descr="Bracket line">
              <a:extLst>
                <a:ext uri="{FF2B5EF4-FFF2-40B4-BE49-F238E27FC236}">
                  <a16:creationId xmlns:a16="http://schemas.microsoft.com/office/drawing/2014/main" id="{00000000-0008-0000-0800-0000A0020000}"/>
                </a:ext>
              </a:extLst>
            </xdr:cNvPr>
            <xdr:cNvSpPr/>
          </xdr:nvSpPr>
          <xdr:spPr>
            <a:xfrm rot="-5400000">
              <a:off x="11788745" y="11908378"/>
              <a:ext cx="260289" cy="207177"/>
            </a:xfrm>
            <a:prstGeom prst="arc">
              <a:avLst>
                <a:gd name="adj1" fmla="val 15985420"/>
                <a:gd name="adj2" fmla="val 0"/>
              </a:avLst>
            </a:prstGeom>
            <a:noFill/>
            <a:ln w="19050" cap="flat" cmpd="sng">
              <a:solidFill>
                <a:srgbClr val="F4B08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lt1"/>
                </a:solidFill>
                <a:latin typeface="Calibri"/>
                <a:ea typeface="Calibri"/>
                <a:cs typeface="Calibri"/>
                <a:sym typeface="Calibri"/>
              </a:endParaRPr>
            </a:p>
          </xdr:txBody>
        </xdr:sp>
        <xdr:sp macro="" textlink="">
          <xdr:nvSpPr>
            <xdr:cNvPr id="673" name="Shape 673" descr="Bracket line">
              <a:extLst>
                <a:ext uri="{FF2B5EF4-FFF2-40B4-BE49-F238E27FC236}">
                  <a16:creationId xmlns:a16="http://schemas.microsoft.com/office/drawing/2014/main" id="{00000000-0008-0000-0800-0000A1020000}"/>
                </a:ext>
              </a:extLst>
            </xdr:cNvPr>
            <xdr:cNvSpPr/>
          </xdr:nvSpPr>
          <xdr:spPr>
            <a:xfrm rot="-5400000" flipH="1">
              <a:off x="11786541" y="11641477"/>
              <a:ext cx="260289" cy="220401"/>
            </a:xfrm>
            <a:prstGeom prst="arc">
              <a:avLst>
                <a:gd name="adj1" fmla="val 17341536"/>
                <a:gd name="adj2" fmla="val 0"/>
              </a:avLst>
            </a:prstGeom>
            <a:noFill/>
            <a:ln w="19050" cap="flat" cmpd="sng">
              <a:solidFill>
                <a:srgbClr val="F4B08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lt1"/>
                </a:solidFill>
                <a:latin typeface="Calibri"/>
                <a:ea typeface="Calibri"/>
                <a:cs typeface="Calibri"/>
                <a:sym typeface="Calibri"/>
              </a:endParaRPr>
            </a:p>
          </xdr:txBody>
        </xdr:sp>
        <xdr:sp macro="" textlink="">
          <xdr:nvSpPr>
            <xdr:cNvPr id="674" name="Shape 674" descr="Secondary axis">
              <a:extLst>
                <a:ext uri="{FF2B5EF4-FFF2-40B4-BE49-F238E27FC236}">
                  <a16:creationId xmlns:a16="http://schemas.microsoft.com/office/drawing/2014/main" id="{00000000-0008-0000-0800-0000A2020000}"/>
                </a:ext>
              </a:extLst>
            </xdr:cNvPr>
            <xdr:cNvSpPr txBox="1"/>
          </xdr:nvSpPr>
          <xdr:spPr>
            <a:xfrm>
              <a:off x="11734799" y="11699707"/>
              <a:ext cx="1023987" cy="463718"/>
            </a:xfrm>
            <a:prstGeom prst="rect">
              <a:avLst/>
            </a:prstGeom>
            <a:noFill/>
            <a:ln>
              <a:noFill/>
            </a:ln>
          </xdr:spPr>
          <xdr:txBody>
            <a:bodyPr spcFirstLastPara="1" wrap="square" lIns="91425" tIns="45700" rIns="91425" bIns="45700" anchor="t" anchorCtr="0">
              <a:noAutofit/>
            </a:bodyPr>
            <a:lstStyle/>
            <a:p>
              <a:pPr marL="0" marR="0" lvl="0" indent="0" algn="ctr" rtl="0">
                <a:lnSpc>
                  <a:spcPct val="100000"/>
                </a:lnSpc>
                <a:spcBef>
                  <a:spcPts val="0"/>
                </a:spcBef>
                <a:spcAft>
                  <a:spcPts val="0"/>
                </a:spcAft>
                <a:buClr>
                  <a:srgbClr val="3A3838"/>
                </a:buClr>
                <a:buSzPts val="1100"/>
                <a:buFont typeface="Calibri"/>
                <a:buNone/>
              </a:pPr>
              <a:r>
                <a:rPr lang="en-US" sz="1100" b="0" i="0" u="none" strike="noStrike" cap="none">
                  <a:solidFill>
                    <a:srgbClr val="3A3838"/>
                  </a:solidFill>
                  <a:latin typeface="Calibri"/>
                  <a:ea typeface="Calibri"/>
                  <a:cs typeface="Calibri"/>
                  <a:sym typeface="Calibri"/>
                </a:rPr>
                <a:t>Secondary</a:t>
              </a:r>
              <a:endParaRPr sz="1400"/>
            </a:p>
            <a:p>
              <a:pPr marL="0" marR="0" lvl="0" indent="0" algn="ctr" rtl="0">
                <a:lnSpc>
                  <a:spcPct val="100000"/>
                </a:lnSpc>
                <a:spcBef>
                  <a:spcPts val="0"/>
                </a:spcBef>
                <a:spcAft>
                  <a:spcPts val="0"/>
                </a:spcAft>
                <a:buClr>
                  <a:srgbClr val="3A3838"/>
                </a:buClr>
                <a:buSzPts val="1100"/>
                <a:buFont typeface="Calibri"/>
                <a:buNone/>
              </a:pPr>
              <a:r>
                <a:rPr lang="en-US" sz="1100" b="0" i="0" u="none" strike="noStrike" cap="none">
                  <a:solidFill>
                    <a:srgbClr val="3A3838"/>
                  </a:solidFill>
                  <a:latin typeface="Calibri"/>
                  <a:ea typeface="Calibri"/>
                  <a:cs typeface="Calibri"/>
                  <a:sym typeface="Calibri"/>
                </a:rPr>
                <a:t>axis</a:t>
              </a:r>
              <a:endParaRPr sz="1100" b="0" i="0">
                <a:solidFill>
                  <a:srgbClr val="3A3838"/>
                </a:solidFill>
                <a:latin typeface="Calibri"/>
                <a:ea typeface="Calibri"/>
                <a:cs typeface="Calibri"/>
                <a:sym typeface="Calibri"/>
              </a:endParaRPr>
            </a:p>
          </xdr:txBody>
        </xdr:sp>
      </xdr:grpSp>
    </xdr:grpSp>
    <xdr:clientData fLocksWithSheet="0"/>
  </xdr:oneCellAnchor>
  <xdr:oneCellAnchor>
    <xdr:from>
      <xdr:col>0</xdr:col>
      <xdr:colOff>390525</xdr:colOff>
      <xdr:row>51</xdr:row>
      <xdr:rowOff>0</xdr:rowOff>
    </xdr:from>
    <xdr:ext cx="5695950" cy="2828925"/>
    <xdr:grpSp>
      <xdr:nvGrpSpPr>
        <xdr:cNvPr id="10" name="Shape 2">
          <a:extLst>
            <a:ext uri="{FF2B5EF4-FFF2-40B4-BE49-F238E27FC236}">
              <a16:creationId xmlns:a16="http://schemas.microsoft.com/office/drawing/2014/main" id="{00000000-0008-0000-0800-00000A000000}"/>
            </a:ext>
          </a:extLst>
        </xdr:cNvPr>
        <xdr:cNvGrpSpPr/>
      </xdr:nvGrpSpPr>
      <xdr:grpSpPr>
        <a:xfrm>
          <a:off x="390525" y="10306050"/>
          <a:ext cx="5695950" cy="2828925"/>
          <a:chOff x="2498025" y="2365538"/>
          <a:chExt cx="5695950" cy="2828925"/>
        </a:xfrm>
      </xdr:grpSpPr>
      <xdr:grpSp>
        <xdr:nvGrpSpPr>
          <xdr:cNvPr id="675" name="Shape 675" descr="Secondary axis&#10;You can also use a secondary axis in a chart. A secondary axis is an additional value axis that can show different values than the other value axis. &#10;A popular example is on the right. It's the same as the chart above, but it has an additional secondary vertical axis that represents the sales amounts for each month. Some would say that by having a secondary axis, you almost have “two charts in one.” That’s true. This chart is both a column chart and a line chart. These kind of charts are called Combo charts in Excel. If you’re interested in this kind of chart, click the link at the bottom of this sheet">
            <a:extLst>
              <a:ext uri="{FF2B5EF4-FFF2-40B4-BE49-F238E27FC236}">
                <a16:creationId xmlns:a16="http://schemas.microsoft.com/office/drawing/2014/main" id="{00000000-0008-0000-0800-0000A3020000}"/>
              </a:ext>
            </a:extLst>
          </xdr:cNvPr>
          <xdr:cNvGrpSpPr/>
        </xdr:nvGrpSpPr>
        <xdr:grpSpPr>
          <a:xfrm>
            <a:off x="2498025" y="2365538"/>
            <a:ext cx="5695950" cy="2828925"/>
            <a:chOff x="390525" y="10810875"/>
            <a:chExt cx="5695950" cy="2676525"/>
          </a:xfrm>
        </xdr:grpSpPr>
        <xdr:sp macro="" textlink="">
          <xdr:nvSpPr>
            <xdr:cNvPr id="11" name="Shape 4">
              <a:extLst>
                <a:ext uri="{FF2B5EF4-FFF2-40B4-BE49-F238E27FC236}">
                  <a16:creationId xmlns:a16="http://schemas.microsoft.com/office/drawing/2014/main" id="{00000000-0008-0000-0800-00000B000000}"/>
                </a:ext>
              </a:extLst>
            </xdr:cNvPr>
            <xdr:cNvSpPr/>
          </xdr:nvSpPr>
          <xdr:spPr>
            <a:xfrm>
              <a:off x="390525" y="10810875"/>
              <a:ext cx="5695950" cy="26765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676" name="Shape 676" descr="Background">
              <a:extLst>
                <a:ext uri="{FF2B5EF4-FFF2-40B4-BE49-F238E27FC236}">
                  <a16:creationId xmlns:a16="http://schemas.microsoft.com/office/drawing/2014/main" id="{00000000-0008-0000-0800-0000A4020000}"/>
                </a:ext>
              </a:extLst>
            </xdr:cNvPr>
            <xdr:cNvSpPr/>
          </xdr:nvSpPr>
          <xdr:spPr>
            <a:xfrm>
              <a:off x="390525" y="10810875"/>
              <a:ext cx="5695950" cy="2676525"/>
            </a:xfrm>
            <a:prstGeom prst="rect">
              <a:avLst/>
            </a:prstGeom>
            <a:solidFill>
              <a:srgbClr val="F5F5F5"/>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xnSp macro="">
          <xdr:nvCxnSpPr>
            <xdr:cNvPr id="677" name="Shape 677" descr="Decorative line">
              <a:extLst>
                <a:ext uri="{FF2B5EF4-FFF2-40B4-BE49-F238E27FC236}">
                  <a16:creationId xmlns:a16="http://schemas.microsoft.com/office/drawing/2014/main" id="{00000000-0008-0000-0800-0000A5020000}"/>
                </a:ext>
              </a:extLst>
            </xdr:cNvPr>
            <xdr:cNvCxnSpPr/>
          </xdr:nvCxnSpPr>
          <xdr:spPr>
            <a:xfrm>
              <a:off x="625449" y="11436986"/>
              <a:ext cx="5213376" cy="0"/>
            </a:xfrm>
            <a:prstGeom prst="straightConnector1">
              <a:avLst/>
            </a:prstGeom>
            <a:noFill/>
            <a:ln w="25400" cap="flat" cmpd="sng">
              <a:solidFill>
                <a:srgbClr val="217346"/>
              </a:solidFill>
              <a:prstDash val="solid"/>
              <a:round/>
              <a:headEnd type="none" w="sm" len="sm"/>
              <a:tailEnd type="none" w="sm" len="sm"/>
            </a:ln>
          </xdr:spPr>
        </xdr:cxnSp>
        <xdr:cxnSp macro="">
          <xdr:nvCxnSpPr>
            <xdr:cNvPr id="678" name="Shape 678" descr="Decorative line">
              <a:extLst>
                <a:ext uri="{FF2B5EF4-FFF2-40B4-BE49-F238E27FC236}">
                  <a16:creationId xmlns:a16="http://schemas.microsoft.com/office/drawing/2014/main" id="{00000000-0008-0000-0800-0000A6020000}"/>
                </a:ext>
              </a:extLst>
            </xdr:cNvPr>
            <xdr:cNvCxnSpPr/>
          </xdr:nvCxnSpPr>
          <xdr:spPr>
            <a:xfrm>
              <a:off x="625449" y="13249275"/>
              <a:ext cx="5213376" cy="0"/>
            </a:xfrm>
            <a:prstGeom prst="straightConnector1">
              <a:avLst/>
            </a:prstGeom>
            <a:noFill/>
            <a:ln w="25400" cap="flat" cmpd="sng">
              <a:solidFill>
                <a:srgbClr val="217346"/>
              </a:solidFill>
              <a:prstDash val="solid"/>
              <a:round/>
              <a:headEnd type="none" w="sm" len="sm"/>
              <a:tailEnd type="none" w="sm" len="sm"/>
            </a:ln>
          </xdr:spPr>
        </xdr:cxnSp>
        <xdr:sp macro="" textlink="">
          <xdr:nvSpPr>
            <xdr:cNvPr id="679" name="Shape 679" descr="Secondary axis">
              <a:extLst>
                <a:ext uri="{FF2B5EF4-FFF2-40B4-BE49-F238E27FC236}">
                  <a16:creationId xmlns:a16="http://schemas.microsoft.com/office/drawing/2014/main" id="{00000000-0008-0000-0800-0000A7020000}"/>
                </a:ext>
              </a:extLst>
            </xdr:cNvPr>
            <xdr:cNvSpPr txBox="1"/>
          </xdr:nvSpPr>
          <xdr:spPr>
            <a:xfrm>
              <a:off x="622273" y="10929573"/>
              <a:ext cx="5216551" cy="490903"/>
            </a:xfrm>
            <a:prstGeom prst="rect">
              <a:avLst/>
            </a:prstGeom>
            <a:noFill/>
            <a:ln>
              <a:noFill/>
            </a:ln>
          </xdr:spPr>
          <xdr:txBody>
            <a:bodyPr spcFirstLastPara="1" wrap="square" lIns="0" tIns="45700" rIns="0" bIns="45700" anchor="t" anchorCtr="0">
              <a:noAutofit/>
            </a:bodyPr>
            <a:lstStyle/>
            <a:p>
              <a:pPr marL="0" marR="0" lvl="0" indent="0" algn="l" rtl="0">
                <a:lnSpc>
                  <a:spcPct val="100000"/>
                </a:lnSpc>
                <a:spcBef>
                  <a:spcPts val="0"/>
                </a:spcBef>
                <a:spcAft>
                  <a:spcPts val="0"/>
                </a:spcAft>
                <a:buClr>
                  <a:srgbClr val="3A3838"/>
                </a:buClr>
                <a:buSzPts val="2200"/>
                <a:buFont typeface="Quattrocento Sans"/>
                <a:buNone/>
              </a:pPr>
              <a:r>
                <a:rPr lang="en-US" sz="2200" b="0" i="0" u="none" strike="noStrike" cap="none">
                  <a:solidFill>
                    <a:srgbClr val="3A3838"/>
                  </a:solidFill>
                  <a:latin typeface="Quattrocento Sans"/>
                  <a:ea typeface="Quattrocento Sans"/>
                  <a:cs typeface="Quattrocento Sans"/>
                  <a:sym typeface="Quattrocento Sans"/>
                </a:rPr>
                <a:t>Secondary axis</a:t>
              </a:r>
              <a:endParaRPr sz="2200" b="0">
                <a:solidFill>
                  <a:srgbClr val="3A3838"/>
                </a:solidFill>
                <a:latin typeface="Quattrocento Sans"/>
                <a:ea typeface="Quattrocento Sans"/>
                <a:cs typeface="Quattrocento Sans"/>
                <a:sym typeface="Quattrocento Sans"/>
              </a:endParaRPr>
            </a:p>
          </xdr:txBody>
        </xdr:sp>
        <xdr:sp macro="" textlink="">
          <xdr:nvSpPr>
            <xdr:cNvPr id="680" name="Shape 680" descr="You can also use a secondary axis in a chart. A secondary axis is an additional value axis that can show different values than the other value axis. &#10;&#10;A popular example is on the right. It's the same as the chart above, but it has an additional secondary vertical axis that represents the sales amounts for each month. Some would say that by having a secondary axis, you almost have “two charts in one.” That’s true. This chart is both a column chart and a line chart. These kind of charts are called Combo charts in Excel. If you’re interested in this kind of chart, click the link at the bottom of this sheet">
              <a:extLst>
                <a:ext uri="{FF2B5EF4-FFF2-40B4-BE49-F238E27FC236}">
                  <a16:creationId xmlns:a16="http://schemas.microsoft.com/office/drawing/2014/main" id="{00000000-0008-0000-0800-0000A8020000}"/>
                </a:ext>
              </a:extLst>
            </xdr:cNvPr>
            <xdr:cNvSpPr txBox="1"/>
          </xdr:nvSpPr>
          <xdr:spPr>
            <a:xfrm>
              <a:off x="619125" y="11456766"/>
              <a:ext cx="5300938" cy="1708490"/>
            </a:xfrm>
            <a:prstGeom prst="rect">
              <a:avLst/>
            </a:prstGeom>
            <a:noFill/>
            <a:ln>
              <a:noFill/>
            </a:ln>
          </xdr:spPr>
          <xdr:txBody>
            <a:bodyPr spcFirstLastPara="1" wrap="square" lIns="0" tIns="45700" rIns="0" bIns="45700" anchor="t" anchorCtr="0">
              <a:noAutofit/>
            </a:bodyPr>
            <a:lstStyle/>
            <a:p>
              <a:pPr marL="0" lvl="0" indent="0" algn="l" rtl="0">
                <a:spcBef>
                  <a:spcPts val="0"/>
                </a:spcBef>
                <a:spcAft>
                  <a:spcPts val="0"/>
                </a:spcAft>
                <a:buNone/>
              </a:pPr>
              <a:r>
                <a:rPr lang="en-US" sz="1050">
                  <a:solidFill>
                    <a:srgbClr val="3F3F3F"/>
                  </a:solidFill>
                  <a:latin typeface="Quattrocento Sans"/>
                  <a:ea typeface="Quattrocento Sans"/>
                  <a:cs typeface="Quattrocento Sans"/>
                  <a:sym typeface="Quattrocento Sans"/>
                </a:rPr>
                <a:t>You can also use a </a:t>
              </a:r>
              <a:r>
                <a:rPr lang="en-US" sz="1050" b="1">
                  <a:solidFill>
                    <a:srgbClr val="3F3F3F"/>
                  </a:solidFill>
                  <a:latin typeface="Quattrocento Sans"/>
                  <a:ea typeface="Quattrocento Sans"/>
                  <a:cs typeface="Quattrocento Sans"/>
                  <a:sym typeface="Quattrocento Sans"/>
                </a:rPr>
                <a:t>secondary axis </a:t>
              </a:r>
              <a:r>
                <a:rPr lang="en-US" sz="1050">
                  <a:solidFill>
                    <a:srgbClr val="3F3F3F"/>
                  </a:solidFill>
                  <a:latin typeface="Quattrocento Sans"/>
                  <a:ea typeface="Quattrocento Sans"/>
                  <a:cs typeface="Quattrocento Sans"/>
                  <a:sym typeface="Quattrocento Sans"/>
                </a:rPr>
                <a:t>in a chart. A secondary axis is an additional value axis that can show different values than the other value axis. </a:t>
              </a:r>
              <a:endParaRPr sz="1400"/>
            </a:p>
            <a:p>
              <a:pPr marL="0" lvl="0" indent="0" algn="l" rtl="0">
                <a:spcBef>
                  <a:spcPts val="0"/>
                </a:spcBef>
                <a:spcAft>
                  <a:spcPts val="0"/>
                </a:spcAft>
                <a:buNone/>
              </a:pPr>
              <a:endParaRPr sz="1050">
                <a:solidFill>
                  <a:srgbClr val="3F3F3F"/>
                </a:solidFill>
                <a:latin typeface="Quattrocento Sans"/>
                <a:ea typeface="Quattrocento Sans"/>
                <a:cs typeface="Quattrocento Sans"/>
                <a:sym typeface="Quattrocento Sans"/>
              </a:endParaRPr>
            </a:p>
            <a:p>
              <a:pPr marL="0" lvl="0" indent="0" algn="l" rtl="0">
                <a:spcBef>
                  <a:spcPts val="0"/>
                </a:spcBef>
                <a:spcAft>
                  <a:spcPts val="0"/>
                </a:spcAft>
                <a:buNone/>
              </a:pPr>
              <a:r>
                <a:rPr lang="en-US" sz="1050">
                  <a:solidFill>
                    <a:srgbClr val="3F3F3F"/>
                  </a:solidFill>
                  <a:latin typeface="Quattrocento Sans"/>
                  <a:ea typeface="Quattrocento Sans"/>
                  <a:cs typeface="Quattrocento Sans"/>
                  <a:sym typeface="Quattrocento Sans"/>
                </a:rPr>
                <a:t>A popular example is on the right. It's the same as the chart above, but it has an additional secondary vertical axis that represents the sales amounts for each month. Some would say that by having a secondary axis, you almost have “two charts in one.” That’s true. This chart is both a column chart and a line chart. These kind of charts are called </a:t>
              </a:r>
              <a:r>
                <a:rPr lang="en-US" sz="1050" b="1">
                  <a:solidFill>
                    <a:srgbClr val="3F3F3F"/>
                  </a:solidFill>
                  <a:latin typeface="Quattrocento Sans"/>
                  <a:ea typeface="Quattrocento Sans"/>
                  <a:cs typeface="Quattrocento Sans"/>
                  <a:sym typeface="Quattrocento Sans"/>
                </a:rPr>
                <a:t>Combo charts </a:t>
              </a:r>
              <a:r>
                <a:rPr lang="en-US" sz="1050">
                  <a:solidFill>
                    <a:srgbClr val="3F3F3F"/>
                  </a:solidFill>
                  <a:latin typeface="Quattrocento Sans"/>
                  <a:ea typeface="Quattrocento Sans"/>
                  <a:cs typeface="Quattrocento Sans"/>
                  <a:sym typeface="Quattrocento Sans"/>
                </a:rPr>
                <a:t>in Excel. If you’re interested in this kind of chart, click the link at the bottom of this sheet.</a:t>
              </a:r>
              <a:endParaRPr sz="1400"/>
            </a:p>
            <a:p>
              <a:pPr marL="0" lvl="0" indent="0" algn="l" rtl="0">
                <a:spcBef>
                  <a:spcPts val="0"/>
                </a:spcBef>
                <a:spcAft>
                  <a:spcPts val="0"/>
                </a:spcAft>
                <a:buNone/>
              </a:pPr>
              <a:endParaRPr sz="1050">
                <a:solidFill>
                  <a:srgbClr val="3F3F3F"/>
                </a:solidFill>
                <a:latin typeface="Quattrocento Sans"/>
                <a:ea typeface="Quattrocento Sans"/>
                <a:cs typeface="Quattrocento Sans"/>
                <a:sym typeface="Quattrocento Sans"/>
              </a:endParaRPr>
            </a:p>
            <a:p>
              <a:pPr marL="0" lvl="0" indent="0" algn="l" rtl="0">
                <a:spcBef>
                  <a:spcPts val="0"/>
                </a:spcBef>
                <a:spcAft>
                  <a:spcPts val="0"/>
                </a:spcAft>
                <a:buNone/>
              </a:pPr>
              <a:endParaRPr sz="1050">
                <a:solidFill>
                  <a:srgbClr val="3F3F3F"/>
                </a:solidFill>
                <a:latin typeface="Quattrocento Sans"/>
                <a:ea typeface="Quattrocento Sans"/>
                <a:cs typeface="Quattrocento Sans"/>
                <a:sym typeface="Quattrocento Sans"/>
              </a:endParaRPr>
            </a:p>
            <a:p>
              <a:pPr marL="0" lvl="0" indent="0" algn="l" rtl="0">
                <a:spcBef>
                  <a:spcPts val="0"/>
                </a:spcBef>
                <a:spcAft>
                  <a:spcPts val="0"/>
                </a:spcAft>
                <a:buNone/>
              </a:pPr>
              <a:endParaRPr sz="1050">
                <a:solidFill>
                  <a:srgbClr val="3F3F3F"/>
                </a:solidFill>
                <a:latin typeface="Quattrocento Sans"/>
                <a:ea typeface="Quattrocento Sans"/>
                <a:cs typeface="Quattrocento Sans"/>
                <a:sym typeface="Quattrocento Sans"/>
              </a:endParaRPr>
            </a:p>
            <a:p>
              <a:pPr marL="0" lvl="0" indent="0" algn="l" rtl="0">
                <a:spcBef>
                  <a:spcPts val="0"/>
                </a:spcBef>
                <a:spcAft>
                  <a:spcPts val="0"/>
                </a:spcAft>
                <a:buNone/>
              </a:pPr>
              <a:endParaRPr sz="1050">
                <a:solidFill>
                  <a:srgbClr val="3F3F3F"/>
                </a:solidFill>
                <a:latin typeface="Quattrocento Sans"/>
                <a:ea typeface="Quattrocento Sans"/>
                <a:cs typeface="Quattrocento Sans"/>
                <a:sym typeface="Quattrocento Sans"/>
              </a:endParaRPr>
            </a:p>
            <a:p>
              <a:pPr marL="0" lvl="0" indent="0" algn="l" rtl="0">
                <a:spcBef>
                  <a:spcPts val="0"/>
                </a:spcBef>
                <a:spcAft>
                  <a:spcPts val="0"/>
                </a:spcAft>
                <a:buNone/>
              </a:pPr>
              <a:endParaRPr sz="1050">
                <a:solidFill>
                  <a:srgbClr val="3F3F3F"/>
                </a:solidFill>
                <a:latin typeface="Quattrocento Sans"/>
                <a:ea typeface="Quattrocento Sans"/>
                <a:cs typeface="Quattrocento Sans"/>
                <a:sym typeface="Quattrocento Sans"/>
              </a:endParaRPr>
            </a:p>
            <a:p>
              <a:pPr marL="0" lvl="0" indent="0" algn="l" rtl="0">
                <a:spcBef>
                  <a:spcPts val="0"/>
                </a:spcBef>
                <a:spcAft>
                  <a:spcPts val="0"/>
                </a:spcAft>
                <a:buNone/>
              </a:pPr>
              <a:endParaRPr sz="1050">
                <a:solidFill>
                  <a:srgbClr val="3F3F3F"/>
                </a:solidFill>
                <a:latin typeface="Quattrocento Sans"/>
                <a:ea typeface="Quattrocento Sans"/>
                <a:cs typeface="Quattrocento Sans"/>
                <a:sym typeface="Quattrocento Sans"/>
              </a:endParaRPr>
            </a:p>
            <a:p>
              <a:pPr marL="0" marR="0" lvl="0" indent="0" algn="l" rtl="0">
                <a:lnSpc>
                  <a:spcPct val="100000"/>
                </a:lnSpc>
                <a:spcBef>
                  <a:spcPts val="0"/>
                </a:spcBef>
                <a:spcAft>
                  <a:spcPts val="0"/>
                </a:spcAft>
                <a:buSzPts val="1050"/>
                <a:buFont typeface="Arial"/>
                <a:buNone/>
              </a:pPr>
              <a:endParaRPr sz="1050" b="0" i="0" u="none" strike="noStrike" cap="none">
                <a:solidFill>
                  <a:srgbClr val="3F3F3F"/>
                </a:solidFill>
                <a:latin typeface="Quattrocento Sans"/>
                <a:ea typeface="Quattrocento Sans"/>
                <a:cs typeface="Quattrocento Sans"/>
                <a:sym typeface="Quattrocento Sans"/>
              </a:endParaRPr>
            </a:p>
          </xdr:txBody>
        </xdr:sp>
      </xdr:grpSp>
    </xdr:grpSp>
    <xdr:clientData fLocksWithSheet="0"/>
  </xdr:oneCellAnchor>
  <xdr:oneCellAnchor>
    <xdr:from>
      <xdr:col>1</xdr:col>
      <xdr:colOff>5200650</xdr:colOff>
      <xdr:row>29</xdr:row>
      <xdr:rowOff>85725</xdr:rowOff>
    </xdr:from>
    <xdr:ext cx="5419725" cy="3219450"/>
    <xdr:grpSp>
      <xdr:nvGrpSpPr>
        <xdr:cNvPr id="12" name="Shape 2">
          <a:extLst>
            <a:ext uri="{FF2B5EF4-FFF2-40B4-BE49-F238E27FC236}">
              <a16:creationId xmlns:a16="http://schemas.microsoft.com/office/drawing/2014/main" id="{00000000-0008-0000-0800-00000C000000}"/>
            </a:ext>
          </a:extLst>
        </xdr:cNvPr>
        <xdr:cNvGrpSpPr/>
      </xdr:nvGrpSpPr>
      <xdr:grpSpPr>
        <a:xfrm>
          <a:off x="6048375" y="6200775"/>
          <a:ext cx="5419725" cy="3219450"/>
          <a:chOff x="2636138" y="2170275"/>
          <a:chExt cx="5419725" cy="3219450"/>
        </a:xfrm>
      </xdr:grpSpPr>
      <xdr:grpSp>
        <xdr:nvGrpSpPr>
          <xdr:cNvPr id="681" name="Shape 681" descr="Chart showing Vertical and Horizontal axis">
            <a:extLst>
              <a:ext uri="{FF2B5EF4-FFF2-40B4-BE49-F238E27FC236}">
                <a16:creationId xmlns:a16="http://schemas.microsoft.com/office/drawing/2014/main" id="{00000000-0008-0000-0800-0000A9020000}"/>
              </a:ext>
            </a:extLst>
          </xdr:cNvPr>
          <xdr:cNvGrpSpPr/>
        </xdr:nvGrpSpPr>
        <xdr:grpSpPr>
          <a:xfrm>
            <a:off x="2636138" y="2170275"/>
            <a:ext cx="5419725" cy="3219450"/>
            <a:chOff x="6048375" y="6600825"/>
            <a:chExt cx="5419725" cy="3213895"/>
          </a:xfrm>
        </xdr:grpSpPr>
        <xdr:sp macro="" textlink="">
          <xdr:nvSpPr>
            <xdr:cNvPr id="13" name="Shape 4">
              <a:extLst>
                <a:ext uri="{FF2B5EF4-FFF2-40B4-BE49-F238E27FC236}">
                  <a16:creationId xmlns:a16="http://schemas.microsoft.com/office/drawing/2014/main" id="{00000000-0008-0000-0800-00000D000000}"/>
                </a:ext>
              </a:extLst>
            </xdr:cNvPr>
            <xdr:cNvSpPr/>
          </xdr:nvSpPr>
          <xdr:spPr>
            <a:xfrm>
              <a:off x="6048375" y="6600825"/>
              <a:ext cx="5419725" cy="3213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682" name="Shape 682" descr="Category axis">
              <a:extLst>
                <a:ext uri="{FF2B5EF4-FFF2-40B4-BE49-F238E27FC236}">
                  <a16:creationId xmlns:a16="http://schemas.microsoft.com/office/drawing/2014/main" id="{00000000-0008-0000-0800-0000AA020000}"/>
                </a:ext>
              </a:extLst>
            </xdr:cNvPr>
            <xdr:cNvSpPr txBox="1"/>
          </xdr:nvSpPr>
          <xdr:spPr>
            <a:xfrm>
              <a:off x="8010525" y="9480382"/>
              <a:ext cx="3090912" cy="334338"/>
            </a:xfrm>
            <a:prstGeom prst="rect">
              <a:avLst/>
            </a:prstGeom>
            <a:noFill/>
            <a:ln>
              <a:noFill/>
            </a:ln>
          </xdr:spPr>
          <xdr:txBody>
            <a:bodyPr spcFirstLastPara="1" wrap="square" lIns="91425" tIns="45700" rIns="91425" bIns="45700" anchor="t" anchorCtr="0">
              <a:noAutofit/>
            </a:bodyPr>
            <a:lstStyle/>
            <a:p>
              <a:pPr marL="0" marR="0" lvl="0" indent="0" algn="ctr" rtl="0">
                <a:lnSpc>
                  <a:spcPct val="100000"/>
                </a:lnSpc>
                <a:spcBef>
                  <a:spcPts val="0"/>
                </a:spcBef>
                <a:spcAft>
                  <a:spcPts val="0"/>
                </a:spcAft>
                <a:buClr>
                  <a:srgbClr val="3A3838"/>
                </a:buClr>
                <a:buSzPts val="1100"/>
                <a:buFont typeface="Calibri"/>
                <a:buNone/>
              </a:pPr>
              <a:r>
                <a:rPr lang="en-US" sz="1100" b="0" i="0" u="none" strike="noStrike" cap="none">
                  <a:solidFill>
                    <a:srgbClr val="3A3838"/>
                  </a:solidFill>
                  <a:latin typeface="Calibri"/>
                  <a:ea typeface="Calibri"/>
                  <a:cs typeface="Calibri"/>
                  <a:sym typeface="Calibri"/>
                </a:rPr>
                <a:t>(Category axis)</a:t>
              </a:r>
              <a:endParaRPr sz="1100" b="0" i="0">
                <a:solidFill>
                  <a:srgbClr val="3A3838"/>
                </a:solidFill>
                <a:latin typeface="Calibri"/>
                <a:ea typeface="Calibri"/>
                <a:cs typeface="Calibri"/>
                <a:sym typeface="Calibri"/>
              </a:endParaRPr>
            </a:p>
          </xdr:txBody>
        </xdr:sp>
        <xdr:sp macro="" textlink="">
          <xdr:nvSpPr>
            <xdr:cNvPr id="683" name="Shape 683" descr="Bracket line">
              <a:extLst>
                <a:ext uri="{FF2B5EF4-FFF2-40B4-BE49-F238E27FC236}">
                  <a16:creationId xmlns:a16="http://schemas.microsoft.com/office/drawing/2014/main" id="{00000000-0008-0000-0800-0000AB020000}"/>
                </a:ext>
              </a:extLst>
            </xdr:cNvPr>
            <xdr:cNvSpPr/>
          </xdr:nvSpPr>
          <xdr:spPr>
            <a:xfrm rot="5400000">
              <a:off x="10405107" y="8322832"/>
              <a:ext cx="181608" cy="1639578"/>
            </a:xfrm>
            <a:custGeom>
              <a:avLst/>
              <a:gdLst/>
              <a:ahLst/>
              <a:cxnLst/>
              <a:rect l="l" t="t" r="r" b="b"/>
              <a:pathLst>
                <a:path w="167704" h="207258" extrusionOk="0">
                  <a:moveTo>
                    <a:pt x="0" y="193"/>
                  </a:moveTo>
                  <a:cubicBezTo>
                    <a:pt x="64880" y="-498"/>
                    <a:pt x="129760" y="-1188"/>
                    <a:pt x="157369" y="33323"/>
                  </a:cubicBezTo>
                  <a:cubicBezTo>
                    <a:pt x="184978" y="67834"/>
                    <a:pt x="146326" y="179649"/>
                    <a:pt x="165652" y="207258"/>
                  </a:cubicBezTo>
                </a:path>
              </a:pathLst>
            </a:custGeom>
            <a:noFill/>
            <a:ln w="19050" cap="flat" cmpd="sng">
              <a:solidFill>
                <a:srgbClr val="F4B08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lt1"/>
                </a:solidFill>
                <a:latin typeface="Calibri"/>
                <a:ea typeface="Calibri"/>
                <a:cs typeface="Calibri"/>
                <a:sym typeface="Calibri"/>
              </a:endParaRPr>
            </a:p>
          </xdr:txBody>
        </xdr:sp>
        <xdr:sp macro="" textlink="">
          <xdr:nvSpPr>
            <xdr:cNvPr id="684" name="Shape 684" descr="Bracket line">
              <a:extLst>
                <a:ext uri="{FF2B5EF4-FFF2-40B4-BE49-F238E27FC236}">
                  <a16:creationId xmlns:a16="http://schemas.microsoft.com/office/drawing/2014/main" id="{00000000-0008-0000-0800-0000AC020000}"/>
                </a:ext>
              </a:extLst>
            </xdr:cNvPr>
            <xdr:cNvSpPr/>
          </xdr:nvSpPr>
          <xdr:spPr>
            <a:xfrm rot="-5400000" flipH="1">
              <a:off x="8413546" y="8321878"/>
              <a:ext cx="183793" cy="1640724"/>
            </a:xfrm>
            <a:custGeom>
              <a:avLst/>
              <a:gdLst/>
              <a:ahLst/>
              <a:cxnLst/>
              <a:rect l="l" t="t" r="r" b="b"/>
              <a:pathLst>
                <a:path w="169722" h="219894" extrusionOk="0">
                  <a:moveTo>
                    <a:pt x="0" y="334"/>
                  </a:moveTo>
                  <a:cubicBezTo>
                    <a:pt x="64880" y="-357"/>
                    <a:pt x="129082" y="-3129"/>
                    <a:pt x="157369" y="33464"/>
                  </a:cubicBezTo>
                  <a:cubicBezTo>
                    <a:pt x="185656" y="70057"/>
                    <a:pt x="150396" y="192285"/>
                    <a:pt x="169722" y="219894"/>
                  </a:cubicBezTo>
                </a:path>
              </a:pathLst>
            </a:custGeom>
            <a:noFill/>
            <a:ln w="19050" cap="flat" cmpd="sng">
              <a:solidFill>
                <a:srgbClr val="F4B08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lt1"/>
                </a:solidFill>
                <a:latin typeface="Calibri"/>
                <a:ea typeface="Calibri"/>
                <a:cs typeface="Calibri"/>
                <a:sym typeface="Calibri"/>
              </a:endParaRPr>
            </a:p>
          </xdr:txBody>
        </xdr:sp>
        <xdr:sp macro="" textlink="">
          <xdr:nvSpPr>
            <xdr:cNvPr id="685" name="Shape 685" descr="Bracket line">
              <a:extLst>
                <a:ext uri="{FF2B5EF4-FFF2-40B4-BE49-F238E27FC236}">
                  <a16:creationId xmlns:a16="http://schemas.microsoft.com/office/drawing/2014/main" id="{00000000-0008-0000-0800-0000AD020000}"/>
                </a:ext>
              </a:extLst>
            </xdr:cNvPr>
            <xdr:cNvSpPr/>
          </xdr:nvSpPr>
          <xdr:spPr>
            <a:xfrm>
              <a:off x="8987136" y="9228997"/>
              <a:ext cx="537176" cy="207177"/>
            </a:xfrm>
            <a:prstGeom prst="arc">
              <a:avLst>
                <a:gd name="adj1" fmla="val 15985420"/>
                <a:gd name="adj2" fmla="val 0"/>
              </a:avLst>
            </a:prstGeom>
            <a:noFill/>
            <a:ln w="19050" cap="flat" cmpd="sng">
              <a:solidFill>
                <a:srgbClr val="F4B08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lt1"/>
                </a:solidFill>
                <a:latin typeface="Calibri"/>
                <a:ea typeface="Calibri"/>
                <a:cs typeface="Calibri"/>
                <a:sym typeface="Calibri"/>
              </a:endParaRPr>
            </a:p>
          </xdr:txBody>
        </xdr:sp>
        <xdr:sp macro="" textlink="">
          <xdr:nvSpPr>
            <xdr:cNvPr id="686" name="Shape 686" descr="Bracket line">
              <a:extLst>
                <a:ext uri="{FF2B5EF4-FFF2-40B4-BE49-F238E27FC236}">
                  <a16:creationId xmlns:a16="http://schemas.microsoft.com/office/drawing/2014/main" id="{00000000-0008-0000-0800-0000AE020000}"/>
                </a:ext>
              </a:extLst>
            </xdr:cNvPr>
            <xdr:cNvSpPr/>
          </xdr:nvSpPr>
          <xdr:spPr>
            <a:xfrm flipH="1">
              <a:off x="9524312" y="9220181"/>
              <a:ext cx="537176" cy="220401"/>
            </a:xfrm>
            <a:prstGeom prst="arc">
              <a:avLst>
                <a:gd name="adj1" fmla="val 17341536"/>
                <a:gd name="adj2" fmla="val 0"/>
              </a:avLst>
            </a:prstGeom>
            <a:noFill/>
            <a:ln w="19050" cap="flat" cmpd="sng">
              <a:solidFill>
                <a:srgbClr val="F4B08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lt1"/>
                </a:solidFill>
                <a:latin typeface="Calibri"/>
                <a:ea typeface="Calibri"/>
                <a:cs typeface="Calibri"/>
                <a:sym typeface="Calibri"/>
              </a:endParaRPr>
            </a:p>
          </xdr:txBody>
        </xdr:sp>
        <xdr:sp macro="" textlink="">
          <xdr:nvSpPr>
            <xdr:cNvPr id="687" name="Shape 687" descr="Horizontal axis">
              <a:extLst>
                <a:ext uri="{FF2B5EF4-FFF2-40B4-BE49-F238E27FC236}">
                  <a16:creationId xmlns:a16="http://schemas.microsoft.com/office/drawing/2014/main" id="{00000000-0008-0000-0800-0000AF020000}"/>
                </a:ext>
              </a:extLst>
            </xdr:cNvPr>
            <xdr:cNvSpPr txBox="1"/>
          </xdr:nvSpPr>
          <xdr:spPr>
            <a:xfrm>
              <a:off x="8010525" y="9337507"/>
              <a:ext cx="3090912" cy="334338"/>
            </a:xfrm>
            <a:prstGeom prst="rect">
              <a:avLst/>
            </a:prstGeom>
            <a:noFill/>
            <a:ln>
              <a:noFill/>
            </a:ln>
          </xdr:spPr>
          <xdr:txBody>
            <a:bodyPr spcFirstLastPara="1" wrap="square" lIns="91425" tIns="45700" rIns="91425" bIns="45700" anchor="t" anchorCtr="0">
              <a:noAutofit/>
            </a:bodyPr>
            <a:lstStyle/>
            <a:p>
              <a:pPr marL="0" marR="0" lvl="0" indent="0" algn="ctr" rtl="0">
                <a:lnSpc>
                  <a:spcPct val="100000"/>
                </a:lnSpc>
                <a:spcBef>
                  <a:spcPts val="0"/>
                </a:spcBef>
                <a:spcAft>
                  <a:spcPts val="0"/>
                </a:spcAft>
                <a:buClr>
                  <a:srgbClr val="3A3838"/>
                </a:buClr>
                <a:buSzPts val="1100"/>
                <a:buFont typeface="Calibri"/>
                <a:buNone/>
              </a:pPr>
              <a:r>
                <a:rPr lang="en-US" sz="1100" b="0" i="0" u="none" strike="noStrike" cap="none">
                  <a:solidFill>
                    <a:srgbClr val="3A3838"/>
                  </a:solidFill>
                  <a:latin typeface="Calibri"/>
                  <a:ea typeface="Calibri"/>
                  <a:cs typeface="Calibri"/>
                  <a:sym typeface="Calibri"/>
                </a:rPr>
                <a:t>Horizontal axis</a:t>
              </a:r>
              <a:endParaRPr sz="1100" b="0" i="0">
                <a:solidFill>
                  <a:srgbClr val="3A3838"/>
                </a:solidFill>
                <a:latin typeface="Calibri"/>
                <a:ea typeface="Calibri"/>
                <a:cs typeface="Calibri"/>
                <a:sym typeface="Calibri"/>
              </a:endParaRPr>
            </a:p>
          </xdr:txBody>
        </xdr:sp>
        <xdr:sp macro="" textlink="">
          <xdr:nvSpPr>
            <xdr:cNvPr id="688" name="Shape 688" descr="Vertical axis">
              <a:extLst>
                <a:ext uri="{FF2B5EF4-FFF2-40B4-BE49-F238E27FC236}">
                  <a16:creationId xmlns:a16="http://schemas.microsoft.com/office/drawing/2014/main" id="{00000000-0008-0000-0800-0000B0020000}"/>
                </a:ext>
              </a:extLst>
            </xdr:cNvPr>
            <xdr:cNvSpPr txBox="1"/>
          </xdr:nvSpPr>
          <xdr:spPr>
            <a:xfrm>
              <a:off x="6048375" y="7718257"/>
              <a:ext cx="1224012" cy="334338"/>
            </a:xfrm>
            <a:prstGeom prst="rect">
              <a:avLst/>
            </a:prstGeom>
            <a:noFill/>
            <a:ln>
              <a:noFill/>
            </a:ln>
          </xdr:spPr>
          <xdr:txBody>
            <a:bodyPr spcFirstLastPara="1" wrap="square" lIns="91425" tIns="45700" rIns="91425" bIns="45700" anchor="t" anchorCtr="0">
              <a:noAutofit/>
            </a:bodyPr>
            <a:lstStyle/>
            <a:p>
              <a:pPr marL="0" marR="0" lvl="0" indent="0" algn="ctr" rtl="0">
                <a:lnSpc>
                  <a:spcPct val="100000"/>
                </a:lnSpc>
                <a:spcBef>
                  <a:spcPts val="0"/>
                </a:spcBef>
                <a:spcAft>
                  <a:spcPts val="0"/>
                </a:spcAft>
                <a:buClr>
                  <a:srgbClr val="3A3838"/>
                </a:buClr>
                <a:buSzPts val="1100"/>
                <a:buFont typeface="Calibri"/>
                <a:buNone/>
              </a:pPr>
              <a:r>
                <a:rPr lang="en-US" sz="1100" b="0" i="0" u="none" strike="noStrike" cap="none">
                  <a:solidFill>
                    <a:srgbClr val="3A3838"/>
                  </a:solidFill>
                  <a:latin typeface="Calibri"/>
                  <a:ea typeface="Calibri"/>
                  <a:cs typeface="Calibri"/>
                  <a:sym typeface="Calibri"/>
                </a:rPr>
                <a:t>Vertical axis</a:t>
              </a:r>
              <a:endParaRPr sz="1400"/>
            </a:p>
          </xdr:txBody>
        </xdr:sp>
        <xdr:sp macro="" textlink="">
          <xdr:nvSpPr>
            <xdr:cNvPr id="689" name="Shape 689" descr="Value axis">
              <a:extLst>
                <a:ext uri="{FF2B5EF4-FFF2-40B4-BE49-F238E27FC236}">
                  <a16:creationId xmlns:a16="http://schemas.microsoft.com/office/drawing/2014/main" id="{00000000-0008-0000-0800-0000B1020000}"/>
                </a:ext>
              </a:extLst>
            </xdr:cNvPr>
            <xdr:cNvSpPr txBox="1"/>
          </xdr:nvSpPr>
          <xdr:spPr>
            <a:xfrm>
              <a:off x="6048375" y="7861132"/>
              <a:ext cx="1224012" cy="334338"/>
            </a:xfrm>
            <a:prstGeom prst="rect">
              <a:avLst/>
            </a:prstGeom>
            <a:noFill/>
            <a:ln>
              <a:noFill/>
            </a:ln>
          </xdr:spPr>
          <xdr:txBody>
            <a:bodyPr spcFirstLastPara="1" wrap="square" lIns="91425" tIns="45700" rIns="91425" bIns="45700" anchor="t" anchorCtr="0">
              <a:noAutofit/>
            </a:bodyPr>
            <a:lstStyle/>
            <a:p>
              <a:pPr marL="0" marR="0" lvl="0" indent="0" algn="ctr" rtl="0">
                <a:lnSpc>
                  <a:spcPct val="100000"/>
                </a:lnSpc>
                <a:spcBef>
                  <a:spcPts val="0"/>
                </a:spcBef>
                <a:spcAft>
                  <a:spcPts val="0"/>
                </a:spcAft>
                <a:buClr>
                  <a:srgbClr val="3A3838"/>
                </a:buClr>
                <a:buSzPts val="1100"/>
                <a:buFont typeface="Calibri"/>
                <a:buNone/>
              </a:pPr>
              <a:r>
                <a:rPr lang="en-US" sz="1100" b="0" i="0" u="none" strike="noStrike" cap="none">
                  <a:solidFill>
                    <a:srgbClr val="3A3838"/>
                  </a:solidFill>
                  <a:latin typeface="Calibri"/>
                  <a:ea typeface="Calibri"/>
                  <a:cs typeface="Calibri"/>
                  <a:sym typeface="Calibri"/>
                </a:rPr>
                <a:t>(Value axis)</a:t>
              </a:r>
              <a:endParaRPr sz="1400"/>
            </a:p>
          </xdr:txBody>
        </xdr:sp>
        <xdr:sp macro="" textlink="">
          <xdr:nvSpPr>
            <xdr:cNvPr id="690" name="Shape 690" descr="Bracket line">
              <a:extLst>
                <a:ext uri="{FF2B5EF4-FFF2-40B4-BE49-F238E27FC236}">
                  <a16:creationId xmlns:a16="http://schemas.microsoft.com/office/drawing/2014/main" id="{00000000-0008-0000-0800-0000B2020000}"/>
                </a:ext>
              </a:extLst>
            </xdr:cNvPr>
            <xdr:cNvSpPr/>
          </xdr:nvSpPr>
          <xdr:spPr>
            <a:xfrm rot="10800000">
              <a:off x="7121654" y="7987498"/>
              <a:ext cx="181608" cy="804080"/>
            </a:xfrm>
            <a:custGeom>
              <a:avLst/>
              <a:gdLst/>
              <a:ahLst/>
              <a:cxnLst/>
              <a:rect l="l" t="t" r="r" b="b"/>
              <a:pathLst>
                <a:path w="167704" h="207258" extrusionOk="0">
                  <a:moveTo>
                    <a:pt x="0" y="193"/>
                  </a:moveTo>
                  <a:cubicBezTo>
                    <a:pt x="64880" y="-498"/>
                    <a:pt x="129760" y="-1188"/>
                    <a:pt x="157369" y="33323"/>
                  </a:cubicBezTo>
                  <a:cubicBezTo>
                    <a:pt x="184978" y="67834"/>
                    <a:pt x="146326" y="179649"/>
                    <a:pt x="165652" y="207258"/>
                  </a:cubicBezTo>
                </a:path>
              </a:pathLst>
            </a:custGeom>
            <a:noFill/>
            <a:ln w="19050" cap="flat" cmpd="sng">
              <a:solidFill>
                <a:srgbClr val="F4B08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lt1"/>
                </a:solidFill>
                <a:latin typeface="Calibri"/>
                <a:ea typeface="Calibri"/>
                <a:cs typeface="Calibri"/>
                <a:sym typeface="Calibri"/>
              </a:endParaRPr>
            </a:p>
          </xdr:txBody>
        </xdr:sp>
        <xdr:sp macro="" textlink="">
          <xdr:nvSpPr>
            <xdr:cNvPr id="691" name="Shape 691" descr="Bracket line">
              <a:extLst>
                <a:ext uri="{FF2B5EF4-FFF2-40B4-BE49-F238E27FC236}">
                  <a16:creationId xmlns:a16="http://schemas.microsoft.com/office/drawing/2014/main" id="{00000000-0008-0000-0800-0000B3020000}"/>
                </a:ext>
              </a:extLst>
            </xdr:cNvPr>
            <xdr:cNvSpPr/>
          </xdr:nvSpPr>
          <xdr:spPr>
            <a:xfrm flipH="1">
              <a:off x="7120941" y="7011053"/>
              <a:ext cx="183793" cy="804642"/>
            </a:xfrm>
            <a:custGeom>
              <a:avLst/>
              <a:gdLst/>
              <a:ahLst/>
              <a:cxnLst/>
              <a:rect l="l" t="t" r="r" b="b"/>
              <a:pathLst>
                <a:path w="169722" h="219894" extrusionOk="0">
                  <a:moveTo>
                    <a:pt x="0" y="334"/>
                  </a:moveTo>
                  <a:cubicBezTo>
                    <a:pt x="64880" y="-357"/>
                    <a:pt x="129082" y="-3129"/>
                    <a:pt x="157369" y="33464"/>
                  </a:cubicBezTo>
                  <a:cubicBezTo>
                    <a:pt x="185656" y="70057"/>
                    <a:pt x="150396" y="192285"/>
                    <a:pt x="169722" y="219894"/>
                  </a:cubicBezTo>
                </a:path>
              </a:pathLst>
            </a:custGeom>
            <a:noFill/>
            <a:ln w="19050" cap="flat" cmpd="sng">
              <a:solidFill>
                <a:srgbClr val="F4B08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lt1"/>
                </a:solidFill>
                <a:latin typeface="Calibri"/>
                <a:ea typeface="Calibri"/>
                <a:cs typeface="Calibri"/>
                <a:sym typeface="Calibri"/>
              </a:endParaRPr>
            </a:p>
          </xdr:txBody>
        </xdr:sp>
        <xdr:sp macro="" textlink="">
          <xdr:nvSpPr>
            <xdr:cNvPr id="692" name="Shape 692" descr="Bracket line">
              <a:extLst>
                <a:ext uri="{FF2B5EF4-FFF2-40B4-BE49-F238E27FC236}">
                  <a16:creationId xmlns:a16="http://schemas.microsoft.com/office/drawing/2014/main" id="{00000000-0008-0000-0800-0000B4020000}"/>
                </a:ext>
              </a:extLst>
            </xdr:cNvPr>
            <xdr:cNvSpPr/>
          </xdr:nvSpPr>
          <xdr:spPr>
            <a:xfrm rot="5400000">
              <a:off x="6890772" y="7677738"/>
              <a:ext cx="263441" cy="207177"/>
            </a:xfrm>
            <a:prstGeom prst="arc">
              <a:avLst>
                <a:gd name="adj1" fmla="val 15985420"/>
                <a:gd name="adj2" fmla="val 0"/>
              </a:avLst>
            </a:prstGeom>
            <a:noFill/>
            <a:ln w="19050" cap="flat" cmpd="sng">
              <a:solidFill>
                <a:srgbClr val="F4B08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lt1"/>
                </a:solidFill>
                <a:latin typeface="Calibri"/>
                <a:ea typeface="Calibri"/>
                <a:cs typeface="Calibri"/>
                <a:sym typeface="Calibri"/>
              </a:endParaRPr>
            </a:p>
          </xdr:txBody>
        </xdr:sp>
        <xdr:sp macro="" textlink="">
          <xdr:nvSpPr>
            <xdr:cNvPr id="693" name="Shape 693" descr="Bracket line">
              <a:extLst>
                <a:ext uri="{FF2B5EF4-FFF2-40B4-BE49-F238E27FC236}">
                  <a16:creationId xmlns:a16="http://schemas.microsoft.com/office/drawing/2014/main" id="{00000000-0008-0000-0800-0000B5020000}"/>
                </a:ext>
              </a:extLst>
            </xdr:cNvPr>
            <xdr:cNvSpPr/>
          </xdr:nvSpPr>
          <xdr:spPr>
            <a:xfrm rot="5400000" flipH="1">
              <a:off x="6892976" y="7934567"/>
              <a:ext cx="263441" cy="220401"/>
            </a:xfrm>
            <a:prstGeom prst="arc">
              <a:avLst>
                <a:gd name="adj1" fmla="val 17341536"/>
                <a:gd name="adj2" fmla="val 0"/>
              </a:avLst>
            </a:prstGeom>
            <a:noFill/>
            <a:ln w="19050" cap="flat" cmpd="sng">
              <a:solidFill>
                <a:srgbClr val="F4B08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lt1"/>
                </a:solidFill>
                <a:latin typeface="Calibri"/>
                <a:ea typeface="Calibri"/>
                <a:cs typeface="Calibri"/>
                <a:sym typeface="Calibri"/>
              </a:endParaRPr>
            </a:p>
          </xdr:txBody>
        </xdr:sp>
      </xdr:grpSp>
    </xdr:grpSp>
    <xdr:clientData fLocksWithSheet="0"/>
  </xdr:oneCellAnchor>
  <xdr:oneCellAnchor>
    <xdr:from>
      <xdr:col>0</xdr:col>
      <xdr:colOff>390525</xdr:colOff>
      <xdr:row>66</xdr:row>
      <xdr:rowOff>171450</xdr:rowOff>
    </xdr:from>
    <xdr:ext cx="5695950" cy="3362325"/>
    <xdr:grpSp>
      <xdr:nvGrpSpPr>
        <xdr:cNvPr id="14" name="Shape 2">
          <a:extLst>
            <a:ext uri="{FF2B5EF4-FFF2-40B4-BE49-F238E27FC236}">
              <a16:creationId xmlns:a16="http://schemas.microsoft.com/office/drawing/2014/main" id="{00000000-0008-0000-0800-00000E000000}"/>
            </a:ext>
          </a:extLst>
        </xdr:cNvPr>
        <xdr:cNvGrpSpPr/>
      </xdr:nvGrpSpPr>
      <xdr:grpSpPr>
        <a:xfrm>
          <a:off x="390525" y="13392150"/>
          <a:ext cx="5695950" cy="3362325"/>
          <a:chOff x="2498025" y="2098838"/>
          <a:chExt cx="5695950" cy="3362325"/>
        </a:xfrm>
      </xdr:grpSpPr>
      <xdr:grpSp>
        <xdr:nvGrpSpPr>
          <xdr:cNvPr id="694" name="Shape 694" descr="More information on the web, contains links to the web&#10;Back to top&#10;Next step">
            <a:extLst>
              <a:ext uri="{FF2B5EF4-FFF2-40B4-BE49-F238E27FC236}">
                <a16:creationId xmlns:a16="http://schemas.microsoft.com/office/drawing/2014/main" id="{00000000-0008-0000-0800-0000B6020000}"/>
              </a:ext>
            </a:extLst>
          </xdr:cNvPr>
          <xdr:cNvGrpSpPr/>
        </xdr:nvGrpSpPr>
        <xdr:grpSpPr>
          <a:xfrm>
            <a:off x="2498025" y="2098838"/>
            <a:ext cx="5695950" cy="3362325"/>
            <a:chOff x="0" y="0"/>
            <a:chExt cx="5695950" cy="3267075"/>
          </a:xfrm>
        </xdr:grpSpPr>
        <xdr:sp macro="" textlink="">
          <xdr:nvSpPr>
            <xdr:cNvPr id="15" name="Shape 4">
              <a:extLst>
                <a:ext uri="{FF2B5EF4-FFF2-40B4-BE49-F238E27FC236}">
                  <a16:creationId xmlns:a16="http://schemas.microsoft.com/office/drawing/2014/main" id="{00000000-0008-0000-0800-00000F000000}"/>
                </a:ext>
              </a:extLst>
            </xdr:cNvPr>
            <xdr:cNvSpPr/>
          </xdr:nvSpPr>
          <xdr:spPr>
            <a:xfrm>
              <a:off x="0" y="0"/>
              <a:ext cx="5695950" cy="32670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695" name="Shape 695" descr="Background">
              <a:extLst>
                <a:ext uri="{FF2B5EF4-FFF2-40B4-BE49-F238E27FC236}">
                  <a16:creationId xmlns:a16="http://schemas.microsoft.com/office/drawing/2014/main" id="{00000000-0008-0000-0800-0000B7020000}"/>
                </a:ext>
              </a:extLst>
            </xdr:cNvPr>
            <xdr:cNvSpPr/>
          </xdr:nvSpPr>
          <xdr:spPr>
            <a:xfrm>
              <a:off x="0" y="0"/>
              <a:ext cx="5695950" cy="3267075"/>
            </a:xfrm>
            <a:prstGeom prst="rect">
              <a:avLst/>
            </a:prstGeom>
            <a:solidFill>
              <a:srgbClr val="F5F5F5"/>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696" name="Shape 696" descr="More information on the web">
              <a:extLst>
                <a:ext uri="{FF2B5EF4-FFF2-40B4-BE49-F238E27FC236}">
                  <a16:creationId xmlns:a16="http://schemas.microsoft.com/office/drawing/2014/main" id="{00000000-0008-0000-0800-0000B8020000}"/>
                </a:ext>
              </a:extLst>
            </xdr:cNvPr>
            <xdr:cNvSpPr txBox="1"/>
          </xdr:nvSpPr>
          <xdr:spPr>
            <a:xfrm>
              <a:off x="231748" y="118698"/>
              <a:ext cx="5216551" cy="490903"/>
            </a:xfrm>
            <a:prstGeom prst="rect">
              <a:avLst/>
            </a:prstGeom>
            <a:noFill/>
            <a:ln>
              <a:noFill/>
            </a:ln>
          </xdr:spPr>
          <xdr:txBody>
            <a:bodyPr spcFirstLastPara="1" wrap="square" lIns="0" tIns="45700" rIns="0" bIns="45700" anchor="t" anchorCtr="0">
              <a:noAutofit/>
            </a:bodyPr>
            <a:lstStyle/>
            <a:p>
              <a:pPr marL="0" marR="0" lvl="0" indent="0" algn="l" rtl="0">
                <a:lnSpc>
                  <a:spcPct val="100000"/>
                </a:lnSpc>
                <a:spcBef>
                  <a:spcPts val="0"/>
                </a:spcBef>
                <a:spcAft>
                  <a:spcPts val="0"/>
                </a:spcAft>
                <a:buClr>
                  <a:srgbClr val="3A3838"/>
                </a:buClr>
                <a:buSzPts val="2200"/>
                <a:buFont typeface="Quattrocento Sans"/>
                <a:buNone/>
              </a:pPr>
              <a:r>
                <a:rPr lang="en-US" sz="2200" b="0" i="0" u="none" strike="noStrike" cap="none">
                  <a:solidFill>
                    <a:srgbClr val="3A3838"/>
                  </a:solidFill>
                  <a:latin typeface="Quattrocento Sans"/>
                  <a:ea typeface="Quattrocento Sans"/>
                  <a:cs typeface="Quattrocento Sans"/>
                  <a:sym typeface="Quattrocento Sans"/>
                </a:rPr>
                <a:t>More information on the web</a:t>
              </a:r>
              <a:endParaRPr sz="2200" b="0">
                <a:solidFill>
                  <a:srgbClr val="3A3838"/>
                </a:solidFill>
                <a:latin typeface="Quattrocento Sans"/>
                <a:ea typeface="Quattrocento Sans"/>
                <a:cs typeface="Quattrocento Sans"/>
                <a:sym typeface="Quattrocento Sans"/>
              </a:endParaRPr>
            </a:p>
          </xdr:txBody>
        </xdr:sp>
        <xdr:cxnSp macro="">
          <xdr:nvCxnSpPr>
            <xdr:cNvPr id="697" name="Shape 697" descr="Decorative line">
              <a:extLst>
                <a:ext uri="{FF2B5EF4-FFF2-40B4-BE49-F238E27FC236}">
                  <a16:creationId xmlns:a16="http://schemas.microsoft.com/office/drawing/2014/main" id="{00000000-0008-0000-0800-0000B9020000}"/>
                </a:ext>
              </a:extLst>
            </xdr:cNvPr>
            <xdr:cNvCxnSpPr/>
          </xdr:nvCxnSpPr>
          <xdr:spPr>
            <a:xfrm>
              <a:off x="234924" y="626111"/>
              <a:ext cx="5213376" cy="0"/>
            </a:xfrm>
            <a:prstGeom prst="straightConnector1">
              <a:avLst/>
            </a:prstGeom>
            <a:noFill/>
            <a:ln w="25400" cap="flat" cmpd="sng">
              <a:solidFill>
                <a:srgbClr val="217346"/>
              </a:solidFill>
              <a:prstDash val="solid"/>
              <a:round/>
              <a:headEnd type="none" w="sm" len="sm"/>
              <a:tailEnd type="none" w="sm" len="sm"/>
            </a:ln>
          </xdr:spPr>
        </xdr:cxnSp>
        <xdr:sp macro="" textlink="">
          <xdr:nvSpPr>
            <xdr:cNvPr id="698" name="Shape 698" descr="Back to top, hyperlinked to cell A1">
              <a:hlinkClick xmlns:r="http://schemas.openxmlformats.org/officeDocument/2006/relationships" r:id="rId5"/>
              <a:extLst>
                <a:ext uri="{FF2B5EF4-FFF2-40B4-BE49-F238E27FC236}">
                  <a16:creationId xmlns:a16="http://schemas.microsoft.com/office/drawing/2014/main" id="{00000000-0008-0000-0800-0000BA020000}"/>
                </a:ext>
              </a:extLst>
            </xdr:cNvPr>
            <xdr:cNvSpPr/>
          </xdr:nvSpPr>
          <xdr:spPr>
            <a:xfrm>
              <a:off x="234924" y="2502776"/>
              <a:ext cx="2723067" cy="536454"/>
            </a:xfrm>
            <a:prstGeom prst="upArrowCallout">
              <a:avLst>
                <a:gd name="adj1" fmla="val 25000"/>
                <a:gd name="adj2" fmla="val 25000"/>
                <a:gd name="adj3" fmla="val 25000"/>
                <a:gd name="adj4" fmla="val 64977"/>
              </a:avLst>
            </a:prstGeom>
            <a:solidFill>
              <a:srgbClr val="D8D8D8"/>
            </a:solidFill>
            <a:ln w="12700" cap="flat" cmpd="sng">
              <a:solidFill>
                <a:srgbClr val="0B744D">
                  <a:alpha val="49803"/>
                </a:srgb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a:solidFill>
                    <a:srgbClr val="0B744D"/>
                  </a:solidFill>
                  <a:latin typeface="Quattrocento Sans"/>
                  <a:ea typeface="Quattrocento Sans"/>
                  <a:cs typeface="Quattrocento Sans"/>
                  <a:sym typeface="Quattrocento Sans"/>
                </a:rPr>
                <a:t>Back to top</a:t>
              </a:r>
              <a:endParaRPr sz="1400"/>
            </a:p>
          </xdr:txBody>
        </xdr:sp>
        <xdr:cxnSp macro="">
          <xdr:nvCxnSpPr>
            <xdr:cNvPr id="699" name="Shape 699" descr="Decorative line">
              <a:extLst>
                <a:ext uri="{FF2B5EF4-FFF2-40B4-BE49-F238E27FC236}">
                  <a16:creationId xmlns:a16="http://schemas.microsoft.com/office/drawing/2014/main" id="{00000000-0008-0000-0800-0000BB020000}"/>
                </a:ext>
              </a:extLst>
            </xdr:cNvPr>
            <xdr:cNvCxnSpPr/>
          </xdr:nvCxnSpPr>
          <xdr:spPr>
            <a:xfrm>
              <a:off x="234924" y="2257425"/>
              <a:ext cx="5213376" cy="0"/>
            </a:xfrm>
            <a:prstGeom prst="straightConnector1">
              <a:avLst/>
            </a:prstGeom>
            <a:noFill/>
            <a:ln w="25400" cap="flat" cmpd="sng">
              <a:solidFill>
                <a:srgbClr val="217346"/>
              </a:solidFill>
              <a:prstDash val="solid"/>
              <a:round/>
              <a:headEnd type="none" w="sm" len="sm"/>
              <a:tailEnd type="none" w="sm" len="sm"/>
            </a:ln>
          </xdr:spPr>
        </xdr:cxnSp>
        <xdr:sp macro="" textlink="">
          <xdr:nvSpPr>
            <xdr:cNvPr id="700" name="Shape 700" descr="Next step button, hyperlinked to next sheet">
              <a:hlinkClick xmlns:r="http://schemas.openxmlformats.org/officeDocument/2006/relationships" r:id="rId4"/>
              <a:extLst>
                <a:ext uri="{FF2B5EF4-FFF2-40B4-BE49-F238E27FC236}">
                  <a16:creationId xmlns:a16="http://schemas.microsoft.com/office/drawing/2014/main" id="{00000000-0008-0000-0800-0000BC020000}"/>
                </a:ext>
              </a:extLst>
            </xdr:cNvPr>
            <xdr:cNvSpPr/>
          </xdr:nvSpPr>
          <xdr:spPr>
            <a:xfrm>
              <a:off x="4293870" y="2693277"/>
              <a:ext cx="1154430" cy="348492"/>
            </a:xfrm>
            <a:prstGeom prst="rightArrowCallout">
              <a:avLst>
                <a:gd name="adj1" fmla="val 32829"/>
                <a:gd name="adj2" fmla="val 31524"/>
                <a:gd name="adj3" fmla="val 25000"/>
                <a:gd name="adj4" fmla="val 86357"/>
              </a:avLst>
            </a:prstGeom>
            <a:solidFill>
              <a:schemeClr val="lt1"/>
            </a:solidFill>
            <a:ln w="12700" cap="flat" cmpd="sng">
              <a:solidFill>
                <a:srgbClr val="0B744D"/>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a:solidFill>
                    <a:srgbClr val="0B744D"/>
                  </a:solidFill>
                  <a:latin typeface="Quattrocento Sans"/>
                  <a:ea typeface="Quattrocento Sans"/>
                  <a:cs typeface="Quattrocento Sans"/>
                  <a:sym typeface="Quattrocento Sans"/>
                </a:rPr>
                <a:t>Next step</a:t>
              </a:r>
              <a:endParaRPr sz="1400"/>
            </a:p>
          </xdr:txBody>
        </xdr:sp>
        <xdr:sp macro="" textlink="">
          <xdr:nvSpPr>
            <xdr:cNvPr id="701" name="Shape 701" descr="Create a chart from start to finish, hyperlinked to web">
              <a:hlinkClick xmlns:r="http://schemas.openxmlformats.org/officeDocument/2006/relationships" r:id="rId6"/>
              <a:extLst>
                <a:ext uri="{FF2B5EF4-FFF2-40B4-BE49-F238E27FC236}">
                  <a16:creationId xmlns:a16="http://schemas.microsoft.com/office/drawing/2014/main" id="{00000000-0008-0000-0800-0000BD020000}"/>
                </a:ext>
              </a:extLst>
            </xdr:cNvPr>
            <xdr:cNvSpPr txBox="1"/>
          </xdr:nvSpPr>
          <xdr:spPr>
            <a:xfrm>
              <a:off x="638783" y="794849"/>
              <a:ext cx="2275867" cy="310052"/>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u="sng">
                  <a:solidFill>
                    <a:srgbClr val="3F3F3F"/>
                  </a:solidFill>
                  <a:latin typeface="Quattrocento Sans"/>
                  <a:ea typeface="Quattrocento Sans"/>
                  <a:cs typeface="Quattrocento Sans"/>
                  <a:sym typeface="Quattrocento Sans"/>
                </a:rPr>
                <a:t>Create a chart from start to finish</a:t>
              </a:r>
              <a:endParaRPr sz="1400"/>
            </a:p>
          </xdr:txBody>
        </xdr:sp>
        <xdr:pic>
          <xdr:nvPicPr>
            <xdr:cNvPr id="702" name="Shape 702" descr="Arrow">
              <a:hlinkClick xmlns:r="http://schemas.openxmlformats.org/officeDocument/2006/relationships" r:id="rId6"/>
              <a:extLst>
                <a:ext uri="{FF2B5EF4-FFF2-40B4-BE49-F238E27FC236}">
                  <a16:creationId xmlns:a16="http://schemas.microsoft.com/office/drawing/2014/main" id="{00000000-0008-0000-0800-0000BE020000}"/>
                </a:ext>
              </a:extLst>
            </xdr:cNvPr>
            <xdr:cNvPicPr preferRelativeResize="0"/>
          </xdr:nvPicPr>
          <xdr:blipFill rotWithShape="1">
            <a:blip xmlns:r="http://schemas.openxmlformats.org/officeDocument/2006/relationships" r:embed="rId7">
              <a:alphaModFix/>
            </a:blip>
            <a:srcRect/>
            <a:stretch/>
          </xdr:blipFill>
          <xdr:spPr>
            <a:xfrm>
              <a:off x="211503" y="699572"/>
              <a:ext cx="454554" cy="448472"/>
            </a:xfrm>
            <a:prstGeom prst="rect">
              <a:avLst/>
            </a:prstGeom>
            <a:noFill/>
            <a:ln>
              <a:noFill/>
            </a:ln>
          </xdr:spPr>
        </xdr:pic>
        <xdr:sp macro="" textlink="">
          <xdr:nvSpPr>
            <xdr:cNvPr id="703" name="Shape 703" descr="Create a combo chart with a secondary axis, hyperlinked to web">
              <a:hlinkClick xmlns:r="http://schemas.openxmlformats.org/officeDocument/2006/relationships" r:id="rId8"/>
              <a:extLst>
                <a:ext uri="{FF2B5EF4-FFF2-40B4-BE49-F238E27FC236}">
                  <a16:creationId xmlns:a16="http://schemas.microsoft.com/office/drawing/2014/main" id="{00000000-0008-0000-0800-0000BF020000}"/>
                </a:ext>
              </a:extLst>
            </xdr:cNvPr>
            <xdr:cNvSpPr txBox="1"/>
          </xdr:nvSpPr>
          <xdr:spPr>
            <a:xfrm>
              <a:off x="638783" y="1259456"/>
              <a:ext cx="3018817" cy="290453"/>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u="sng">
                  <a:solidFill>
                    <a:srgbClr val="3F3F3F"/>
                  </a:solidFill>
                  <a:latin typeface="Quattrocento Sans"/>
                  <a:ea typeface="Quattrocento Sans"/>
                  <a:cs typeface="Quattrocento Sans"/>
                  <a:sym typeface="Quattrocento Sans"/>
                </a:rPr>
                <a:t>Create a combo chart with a secondary axis</a:t>
              </a:r>
              <a:endParaRPr sz="1400"/>
            </a:p>
          </xdr:txBody>
        </xdr:sp>
        <xdr:pic>
          <xdr:nvPicPr>
            <xdr:cNvPr id="704" name="Shape 704" descr="Arrow">
              <a:hlinkClick xmlns:r="http://schemas.openxmlformats.org/officeDocument/2006/relationships" r:id="rId8"/>
              <a:extLst>
                <a:ext uri="{FF2B5EF4-FFF2-40B4-BE49-F238E27FC236}">
                  <a16:creationId xmlns:a16="http://schemas.microsoft.com/office/drawing/2014/main" id="{00000000-0008-0000-0800-0000C0020000}"/>
                </a:ext>
              </a:extLst>
            </xdr:cNvPr>
            <xdr:cNvPicPr preferRelativeResize="0"/>
          </xdr:nvPicPr>
          <xdr:blipFill rotWithShape="1">
            <a:blip xmlns:r="http://schemas.openxmlformats.org/officeDocument/2006/relationships" r:embed="rId7">
              <a:alphaModFix/>
            </a:blip>
            <a:srcRect/>
            <a:stretch/>
          </xdr:blipFill>
          <xdr:spPr>
            <a:xfrm>
              <a:off x="211503" y="1157426"/>
              <a:ext cx="454554" cy="448472"/>
            </a:xfrm>
            <a:prstGeom prst="rect">
              <a:avLst/>
            </a:prstGeom>
            <a:noFill/>
            <a:ln>
              <a:noFill/>
            </a:ln>
          </xdr:spPr>
        </xdr:pic>
        <xdr:sp macro="" textlink="">
          <xdr:nvSpPr>
            <xdr:cNvPr id="705" name="Shape 705" descr="Available chart types in Office, hyperlinked to web">
              <a:hlinkClick xmlns:r="http://schemas.openxmlformats.org/officeDocument/2006/relationships" r:id="rId9"/>
              <a:extLst>
                <a:ext uri="{FF2B5EF4-FFF2-40B4-BE49-F238E27FC236}">
                  <a16:creationId xmlns:a16="http://schemas.microsoft.com/office/drawing/2014/main" id="{00000000-0008-0000-0800-0000C1020000}"/>
                </a:ext>
              </a:extLst>
            </xdr:cNvPr>
            <xdr:cNvSpPr txBox="1"/>
          </xdr:nvSpPr>
          <xdr:spPr>
            <a:xfrm>
              <a:off x="638783" y="1726622"/>
              <a:ext cx="2085367" cy="290453"/>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u="sng">
                  <a:solidFill>
                    <a:srgbClr val="3F3F3F"/>
                  </a:solidFill>
                  <a:latin typeface="Quattrocento Sans"/>
                  <a:ea typeface="Quattrocento Sans"/>
                  <a:cs typeface="Quattrocento Sans"/>
                  <a:sym typeface="Quattrocento Sans"/>
                </a:rPr>
                <a:t>Available chart types in Office</a:t>
              </a:r>
              <a:endParaRPr sz="1400"/>
            </a:p>
          </xdr:txBody>
        </xdr:sp>
        <xdr:pic>
          <xdr:nvPicPr>
            <xdr:cNvPr id="706" name="Shape 706" descr="Arrow">
              <a:hlinkClick xmlns:r="http://schemas.openxmlformats.org/officeDocument/2006/relationships" r:id="rId9"/>
              <a:extLst>
                <a:ext uri="{FF2B5EF4-FFF2-40B4-BE49-F238E27FC236}">
                  <a16:creationId xmlns:a16="http://schemas.microsoft.com/office/drawing/2014/main" id="{00000000-0008-0000-0800-0000C2020000}"/>
                </a:ext>
              </a:extLst>
            </xdr:cNvPr>
            <xdr:cNvPicPr preferRelativeResize="0"/>
          </xdr:nvPicPr>
          <xdr:blipFill rotWithShape="1">
            <a:blip xmlns:r="http://schemas.openxmlformats.org/officeDocument/2006/relationships" r:embed="rId7">
              <a:alphaModFix/>
            </a:blip>
            <a:srcRect/>
            <a:stretch/>
          </xdr:blipFill>
          <xdr:spPr>
            <a:xfrm>
              <a:off x="211503" y="1624592"/>
              <a:ext cx="454554" cy="448472"/>
            </a:xfrm>
            <a:prstGeom prst="rect">
              <a:avLst/>
            </a:prstGeom>
            <a:noFill/>
            <a:ln>
              <a:noFill/>
            </a:ln>
          </xdr:spPr>
        </xdr:pic>
      </xdr:grpSp>
    </xdr:grpSp>
    <xdr:clientData fLocksWithSheet="0"/>
  </xdr:oneCellAnchor>
  <xdr:oneCellAnchor>
    <xdr:from>
      <xdr:col>6</xdr:col>
      <xdr:colOff>104775</xdr:colOff>
      <xdr:row>67</xdr:row>
      <xdr:rowOff>47625</xdr:rowOff>
    </xdr:from>
    <xdr:ext cx="1447800" cy="1143000"/>
    <xdr:grpSp>
      <xdr:nvGrpSpPr>
        <xdr:cNvPr id="16" name="Shape 2">
          <a:extLst>
            <a:ext uri="{FF2B5EF4-FFF2-40B4-BE49-F238E27FC236}">
              <a16:creationId xmlns:a16="http://schemas.microsoft.com/office/drawing/2014/main" id="{00000000-0008-0000-0800-000010000000}"/>
            </a:ext>
          </a:extLst>
        </xdr:cNvPr>
        <xdr:cNvGrpSpPr/>
      </xdr:nvGrpSpPr>
      <xdr:grpSpPr>
        <a:xfrm>
          <a:off x="11658600" y="13458825"/>
          <a:ext cx="1447800" cy="1143000"/>
          <a:chOff x="4622100" y="3208499"/>
          <a:chExt cx="1447800" cy="1143001"/>
        </a:xfrm>
      </xdr:grpSpPr>
      <xdr:grpSp>
        <xdr:nvGrpSpPr>
          <xdr:cNvPr id="707" name="Shape 707" descr="Data that supports the secondary axis above">
            <a:extLst>
              <a:ext uri="{FF2B5EF4-FFF2-40B4-BE49-F238E27FC236}">
                <a16:creationId xmlns:a16="http://schemas.microsoft.com/office/drawing/2014/main" id="{00000000-0008-0000-0800-0000C3020000}"/>
              </a:ext>
            </a:extLst>
          </xdr:cNvPr>
          <xdr:cNvGrpSpPr/>
        </xdr:nvGrpSpPr>
        <xdr:grpSpPr>
          <a:xfrm>
            <a:off x="4622100" y="3208499"/>
            <a:ext cx="1447800" cy="1143001"/>
            <a:chOff x="11627124" y="13830298"/>
            <a:chExt cx="1447800" cy="1143002"/>
          </a:xfrm>
        </xdr:grpSpPr>
        <xdr:sp macro="" textlink="">
          <xdr:nvSpPr>
            <xdr:cNvPr id="17" name="Shape 4">
              <a:extLst>
                <a:ext uri="{FF2B5EF4-FFF2-40B4-BE49-F238E27FC236}">
                  <a16:creationId xmlns:a16="http://schemas.microsoft.com/office/drawing/2014/main" id="{00000000-0008-0000-0800-000011000000}"/>
                </a:ext>
              </a:extLst>
            </xdr:cNvPr>
            <xdr:cNvSpPr/>
          </xdr:nvSpPr>
          <xdr:spPr>
            <a:xfrm>
              <a:off x="11627124" y="13830298"/>
              <a:ext cx="1447800" cy="1143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708" name="Shape 708" descr="Bracket line">
              <a:extLst>
                <a:ext uri="{FF2B5EF4-FFF2-40B4-BE49-F238E27FC236}">
                  <a16:creationId xmlns:a16="http://schemas.microsoft.com/office/drawing/2014/main" id="{00000000-0008-0000-0800-0000C4020000}"/>
                </a:ext>
              </a:extLst>
            </xdr:cNvPr>
            <xdr:cNvSpPr/>
          </xdr:nvSpPr>
          <xdr:spPr>
            <a:xfrm>
              <a:off x="11638122" y="13830298"/>
              <a:ext cx="181608" cy="468860"/>
            </a:xfrm>
            <a:custGeom>
              <a:avLst/>
              <a:gdLst/>
              <a:ahLst/>
              <a:cxnLst/>
              <a:rect l="l" t="t" r="r" b="b"/>
              <a:pathLst>
                <a:path w="167704" h="207258" extrusionOk="0">
                  <a:moveTo>
                    <a:pt x="0" y="193"/>
                  </a:moveTo>
                  <a:cubicBezTo>
                    <a:pt x="64880" y="-498"/>
                    <a:pt x="129760" y="-1188"/>
                    <a:pt x="157369" y="33323"/>
                  </a:cubicBezTo>
                  <a:cubicBezTo>
                    <a:pt x="184978" y="67834"/>
                    <a:pt x="146326" y="179649"/>
                    <a:pt x="165652" y="207258"/>
                  </a:cubicBezTo>
                </a:path>
              </a:pathLst>
            </a:custGeom>
            <a:noFill/>
            <a:ln w="19050" cap="flat" cmpd="sng">
              <a:solidFill>
                <a:srgbClr val="F4B08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lt1"/>
                </a:solidFill>
                <a:latin typeface="Calibri"/>
                <a:ea typeface="Calibri"/>
                <a:cs typeface="Calibri"/>
                <a:sym typeface="Calibri"/>
              </a:endParaRPr>
            </a:p>
          </xdr:txBody>
        </xdr:sp>
        <xdr:sp macro="" textlink="">
          <xdr:nvSpPr>
            <xdr:cNvPr id="709" name="Shape 709" descr="Bracket line">
              <a:extLst>
                <a:ext uri="{FF2B5EF4-FFF2-40B4-BE49-F238E27FC236}">
                  <a16:creationId xmlns:a16="http://schemas.microsoft.com/office/drawing/2014/main" id="{00000000-0008-0000-0800-0000C5020000}"/>
                </a:ext>
              </a:extLst>
            </xdr:cNvPr>
            <xdr:cNvSpPr/>
          </xdr:nvSpPr>
          <xdr:spPr>
            <a:xfrm rot="10800000" flipH="1">
              <a:off x="11627124" y="14399336"/>
              <a:ext cx="183793" cy="469187"/>
            </a:xfrm>
            <a:custGeom>
              <a:avLst/>
              <a:gdLst/>
              <a:ahLst/>
              <a:cxnLst/>
              <a:rect l="l" t="t" r="r" b="b"/>
              <a:pathLst>
                <a:path w="169722" h="219894" extrusionOk="0">
                  <a:moveTo>
                    <a:pt x="0" y="334"/>
                  </a:moveTo>
                  <a:cubicBezTo>
                    <a:pt x="64880" y="-357"/>
                    <a:pt x="129082" y="-3129"/>
                    <a:pt x="157369" y="33464"/>
                  </a:cubicBezTo>
                  <a:cubicBezTo>
                    <a:pt x="185656" y="70057"/>
                    <a:pt x="150396" y="192285"/>
                    <a:pt x="169722" y="219894"/>
                  </a:cubicBezTo>
                </a:path>
              </a:pathLst>
            </a:custGeom>
            <a:noFill/>
            <a:ln w="19050" cap="flat" cmpd="sng">
              <a:solidFill>
                <a:srgbClr val="F4B08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lt1"/>
                </a:solidFill>
                <a:latin typeface="Calibri"/>
                <a:ea typeface="Calibri"/>
                <a:cs typeface="Calibri"/>
                <a:sym typeface="Calibri"/>
              </a:endParaRPr>
            </a:p>
          </xdr:txBody>
        </xdr:sp>
        <xdr:sp macro="" textlink="">
          <xdr:nvSpPr>
            <xdr:cNvPr id="710" name="Shape 710" descr="Bracket line">
              <a:extLst>
                <a:ext uri="{FF2B5EF4-FFF2-40B4-BE49-F238E27FC236}">
                  <a16:creationId xmlns:a16="http://schemas.microsoft.com/office/drawing/2014/main" id="{00000000-0008-0000-0800-0000C6020000}"/>
                </a:ext>
              </a:extLst>
            </xdr:cNvPr>
            <xdr:cNvSpPr/>
          </xdr:nvSpPr>
          <xdr:spPr>
            <a:xfrm rot="-5400000">
              <a:off x="11842084" y="14306264"/>
              <a:ext cx="153613" cy="207177"/>
            </a:xfrm>
            <a:prstGeom prst="arc">
              <a:avLst>
                <a:gd name="adj1" fmla="val 15985420"/>
                <a:gd name="adj2" fmla="val 0"/>
              </a:avLst>
            </a:prstGeom>
            <a:noFill/>
            <a:ln w="19050" cap="flat" cmpd="sng">
              <a:solidFill>
                <a:srgbClr val="F4B08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lt1"/>
                </a:solidFill>
                <a:latin typeface="Calibri"/>
                <a:ea typeface="Calibri"/>
                <a:cs typeface="Calibri"/>
                <a:sym typeface="Calibri"/>
              </a:endParaRPr>
            </a:p>
          </xdr:txBody>
        </xdr:sp>
        <xdr:sp macro="" textlink="">
          <xdr:nvSpPr>
            <xdr:cNvPr id="711" name="Shape 711" descr="Bracket line">
              <a:extLst>
                <a:ext uri="{FF2B5EF4-FFF2-40B4-BE49-F238E27FC236}">
                  <a16:creationId xmlns:a16="http://schemas.microsoft.com/office/drawing/2014/main" id="{00000000-0008-0000-0800-0000C7020000}"/>
                </a:ext>
              </a:extLst>
            </xdr:cNvPr>
            <xdr:cNvSpPr/>
          </xdr:nvSpPr>
          <xdr:spPr>
            <a:xfrm rot="-5400000" flipH="1">
              <a:off x="11839880" y="14146039"/>
              <a:ext cx="153613" cy="220401"/>
            </a:xfrm>
            <a:prstGeom prst="arc">
              <a:avLst>
                <a:gd name="adj1" fmla="val 17341536"/>
                <a:gd name="adj2" fmla="val 0"/>
              </a:avLst>
            </a:prstGeom>
            <a:noFill/>
            <a:ln w="19050" cap="flat" cmpd="sng">
              <a:solidFill>
                <a:srgbClr val="F4B08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lt1"/>
                </a:solidFill>
                <a:latin typeface="Calibri"/>
                <a:ea typeface="Calibri"/>
                <a:cs typeface="Calibri"/>
                <a:sym typeface="Calibri"/>
              </a:endParaRPr>
            </a:p>
          </xdr:txBody>
        </xdr:sp>
        <xdr:sp macro="" textlink="">
          <xdr:nvSpPr>
            <xdr:cNvPr id="712" name="Shape 712" descr="Data that supports the secondary axis above">
              <a:extLst>
                <a:ext uri="{FF2B5EF4-FFF2-40B4-BE49-F238E27FC236}">
                  <a16:creationId xmlns:a16="http://schemas.microsoft.com/office/drawing/2014/main" id="{00000000-0008-0000-0800-0000C8020000}"/>
                </a:ext>
              </a:extLst>
            </xdr:cNvPr>
            <xdr:cNvSpPr txBox="1"/>
          </xdr:nvSpPr>
          <xdr:spPr>
            <a:xfrm>
              <a:off x="11849099" y="13928556"/>
              <a:ext cx="1225825" cy="1044744"/>
            </a:xfrm>
            <a:prstGeom prst="rect">
              <a:avLst/>
            </a:prstGeom>
            <a:noFill/>
            <a:ln>
              <a:noFill/>
            </a:ln>
          </xdr:spPr>
          <xdr:txBody>
            <a:bodyPr spcFirstLastPara="1" wrap="square" lIns="91425" tIns="45700" rIns="91425" bIns="45700" anchor="t" anchorCtr="0">
              <a:noAutofit/>
            </a:bodyPr>
            <a:lstStyle/>
            <a:p>
              <a:pPr marL="0" marR="0" lvl="0" indent="0" algn="ctr" rtl="0">
                <a:lnSpc>
                  <a:spcPct val="100000"/>
                </a:lnSpc>
                <a:spcBef>
                  <a:spcPts val="0"/>
                </a:spcBef>
                <a:spcAft>
                  <a:spcPts val="0"/>
                </a:spcAft>
                <a:buClr>
                  <a:srgbClr val="3A3838"/>
                </a:buClr>
                <a:buSzPts val="1100"/>
                <a:buFont typeface="Calibri"/>
                <a:buNone/>
              </a:pPr>
              <a:r>
                <a:rPr lang="en-US" sz="1100" b="0" i="0" u="none" strike="noStrike" cap="none">
                  <a:solidFill>
                    <a:srgbClr val="3A3838"/>
                  </a:solidFill>
                  <a:latin typeface="Calibri"/>
                  <a:ea typeface="Calibri"/>
                  <a:cs typeface="Calibri"/>
                  <a:sym typeface="Calibri"/>
                </a:rPr>
                <a:t>Data that supports the secondary axis above</a:t>
              </a:r>
              <a:endParaRPr sz="1100" b="0" i="0">
                <a:solidFill>
                  <a:srgbClr val="3A3838"/>
                </a:solidFill>
                <a:latin typeface="Calibri"/>
                <a:ea typeface="Calibri"/>
                <a:cs typeface="Calibri"/>
                <a:sym typeface="Calibri"/>
              </a:endParaRPr>
            </a:p>
          </xdr:txBody>
        </xdr:sp>
      </xdr:grpSp>
    </xdr:grpSp>
    <xdr:clientData fLocksWithSheet="0"/>
  </xdr:oneCellAnchor>
  <xdr:oneCellAnchor>
    <xdr:from>
      <xdr:col>2</xdr:col>
      <xdr:colOff>723900</xdr:colOff>
      <xdr:row>74</xdr:row>
      <xdr:rowOff>0</xdr:rowOff>
    </xdr:from>
    <xdr:ext cx="2990850" cy="1276350"/>
    <xdr:grpSp>
      <xdr:nvGrpSpPr>
        <xdr:cNvPr id="18" name="Shape 2">
          <a:extLst>
            <a:ext uri="{FF2B5EF4-FFF2-40B4-BE49-F238E27FC236}">
              <a16:creationId xmlns:a16="http://schemas.microsoft.com/office/drawing/2014/main" id="{00000000-0008-0000-0800-000012000000}"/>
            </a:ext>
          </a:extLst>
        </xdr:cNvPr>
        <xdr:cNvGrpSpPr/>
      </xdr:nvGrpSpPr>
      <xdr:grpSpPr>
        <a:xfrm>
          <a:off x="7096125" y="14744700"/>
          <a:ext cx="2990850" cy="1276350"/>
          <a:chOff x="3850575" y="3141825"/>
          <a:chExt cx="2990850" cy="1276350"/>
        </a:xfrm>
      </xdr:grpSpPr>
      <xdr:grpSp>
        <xdr:nvGrpSpPr>
          <xdr:cNvPr id="713" name="Shape 713" descr="EXTRA CREDIT: Try making a combo chart. Select the data above, and then click Insert &gt; Recommended Charts. At the top, click the All Charts tab, and then click Combo at the bottom. On the right, click the Secondary Axis checkbox for Food sales">
            <a:extLst>
              <a:ext uri="{FF2B5EF4-FFF2-40B4-BE49-F238E27FC236}">
                <a16:creationId xmlns:a16="http://schemas.microsoft.com/office/drawing/2014/main" id="{00000000-0008-0000-0800-0000C9020000}"/>
              </a:ext>
            </a:extLst>
          </xdr:cNvPr>
          <xdr:cNvGrpSpPr/>
        </xdr:nvGrpSpPr>
        <xdr:grpSpPr>
          <a:xfrm>
            <a:off x="3850575" y="3141825"/>
            <a:ext cx="2990850" cy="1276350"/>
            <a:chOff x="7096125" y="15201900"/>
            <a:chExt cx="3000375" cy="1219200"/>
          </a:xfrm>
        </xdr:grpSpPr>
        <xdr:sp macro="" textlink="">
          <xdr:nvSpPr>
            <xdr:cNvPr id="19" name="Shape 4">
              <a:extLst>
                <a:ext uri="{FF2B5EF4-FFF2-40B4-BE49-F238E27FC236}">
                  <a16:creationId xmlns:a16="http://schemas.microsoft.com/office/drawing/2014/main" id="{00000000-0008-0000-0800-000013000000}"/>
                </a:ext>
              </a:extLst>
            </xdr:cNvPr>
            <xdr:cNvSpPr/>
          </xdr:nvSpPr>
          <xdr:spPr>
            <a:xfrm>
              <a:off x="7096125" y="15201900"/>
              <a:ext cx="3000375" cy="1219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714" name="Shape 714" descr="EXTRA CREDIT&#10;Try making a combo chart. Select the data above, and then click Insert &gt; Recommended Charts. At the top, click the All Charts tab, and then click Combo at the bottom. On the right, click the Secondary Axis checkbox for Food sales">
              <a:extLst>
                <a:ext uri="{FF2B5EF4-FFF2-40B4-BE49-F238E27FC236}">
                  <a16:creationId xmlns:a16="http://schemas.microsoft.com/office/drawing/2014/main" id="{00000000-0008-0000-0800-0000CA020000}"/>
                </a:ext>
              </a:extLst>
            </xdr:cNvPr>
            <xdr:cNvSpPr txBox="1"/>
          </xdr:nvSpPr>
          <xdr:spPr>
            <a:xfrm>
              <a:off x="7455706" y="15201900"/>
              <a:ext cx="2640794" cy="12192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200" b="1">
                  <a:solidFill>
                    <a:srgbClr val="F4B081"/>
                  </a:solidFill>
                  <a:latin typeface="Quattrocento Sans"/>
                  <a:ea typeface="Quattrocento Sans"/>
                  <a:cs typeface="Quattrocento Sans"/>
                  <a:sym typeface="Quattrocento Sans"/>
                </a:rPr>
                <a:t>EXTRA CREDIT</a:t>
              </a:r>
              <a:endParaRPr sz="1200" b="1">
                <a:solidFill>
                  <a:srgbClr val="F4B081"/>
                </a:solidFill>
                <a:latin typeface="Quattrocento Sans"/>
                <a:ea typeface="Quattrocento Sans"/>
                <a:cs typeface="Quattrocento Sans"/>
                <a:sym typeface="Quattrocento Sans"/>
              </a:endParaRPr>
            </a:p>
            <a:p>
              <a:pPr marL="0" lvl="0" indent="0" algn="l" rtl="0">
                <a:spcBef>
                  <a:spcPts val="0"/>
                </a:spcBef>
                <a:spcAft>
                  <a:spcPts val="0"/>
                </a:spcAft>
                <a:buNone/>
              </a:pPr>
              <a:r>
                <a:rPr lang="en-US" sz="1100">
                  <a:solidFill>
                    <a:srgbClr val="3A3838"/>
                  </a:solidFill>
                  <a:latin typeface="Calibri"/>
                  <a:ea typeface="Calibri"/>
                  <a:cs typeface="Calibri"/>
                  <a:sym typeface="Calibri"/>
                </a:rPr>
                <a:t>Try making a combo chart. Select the data above, and then click </a:t>
              </a:r>
              <a:r>
                <a:rPr lang="en-US" sz="1100" b="1">
                  <a:solidFill>
                    <a:srgbClr val="3A3838"/>
                  </a:solidFill>
                  <a:latin typeface="Calibri"/>
                  <a:ea typeface="Calibri"/>
                  <a:cs typeface="Calibri"/>
                  <a:sym typeface="Calibri"/>
                </a:rPr>
                <a:t>Insert</a:t>
              </a:r>
              <a:r>
                <a:rPr lang="en-US" sz="1100">
                  <a:solidFill>
                    <a:srgbClr val="3A3838"/>
                  </a:solidFill>
                  <a:latin typeface="Calibri"/>
                  <a:ea typeface="Calibri"/>
                  <a:cs typeface="Calibri"/>
                  <a:sym typeface="Calibri"/>
                </a:rPr>
                <a:t> &gt; </a:t>
              </a:r>
              <a:r>
                <a:rPr lang="en-US" sz="1100" b="1">
                  <a:solidFill>
                    <a:srgbClr val="3A3838"/>
                  </a:solidFill>
                  <a:latin typeface="Calibri"/>
                  <a:ea typeface="Calibri"/>
                  <a:cs typeface="Calibri"/>
                  <a:sym typeface="Calibri"/>
                </a:rPr>
                <a:t>Recommended Charts</a:t>
              </a:r>
              <a:r>
                <a:rPr lang="en-US" sz="1100">
                  <a:solidFill>
                    <a:srgbClr val="3A3838"/>
                  </a:solidFill>
                  <a:latin typeface="Calibri"/>
                  <a:ea typeface="Calibri"/>
                  <a:cs typeface="Calibri"/>
                  <a:sym typeface="Calibri"/>
                </a:rPr>
                <a:t>. At the top, click the </a:t>
              </a:r>
              <a:r>
                <a:rPr lang="en-US" sz="1100" b="1">
                  <a:solidFill>
                    <a:srgbClr val="3A3838"/>
                  </a:solidFill>
                  <a:latin typeface="Calibri"/>
                  <a:ea typeface="Calibri"/>
                  <a:cs typeface="Calibri"/>
                  <a:sym typeface="Calibri"/>
                </a:rPr>
                <a:t>All Charts </a:t>
              </a:r>
              <a:r>
                <a:rPr lang="en-US" sz="1100">
                  <a:solidFill>
                    <a:srgbClr val="3A3838"/>
                  </a:solidFill>
                  <a:latin typeface="Calibri"/>
                  <a:ea typeface="Calibri"/>
                  <a:cs typeface="Calibri"/>
                  <a:sym typeface="Calibri"/>
                </a:rPr>
                <a:t>tab, and then click </a:t>
              </a:r>
              <a:r>
                <a:rPr lang="en-US" sz="1100" b="1">
                  <a:solidFill>
                    <a:srgbClr val="3A3838"/>
                  </a:solidFill>
                  <a:latin typeface="Calibri"/>
                  <a:ea typeface="Calibri"/>
                  <a:cs typeface="Calibri"/>
                  <a:sym typeface="Calibri"/>
                </a:rPr>
                <a:t>Combo</a:t>
              </a:r>
              <a:r>
                <a:rPr lang="en-US" sz="1100">
                  <a:solidFill>
                    <a:srgbClr val="3A3838"/>
                  </a:solidFill>
                  <a:latin typeface="Calibri"/>
                  <a:ea typeface="Calibri"/>
                  <a:cs typeface="Calibri"/>
                  <a:sym typeface="Calibri"/>
                </a:rPr>
                <a:t> at the bottom. On the right, click the Secondary Axis checkbox for </a:t>
              </a:r>
              <a:r>
                <a:rPr lang="en-US" sz="1100" b="1">
                  <a:solidFill>
                    <a:srgbClr val="3A3838"/>
                  </a:solidFill>
                  <a:latin typeface="Calibri"/>
                  <a:ea typeface="Calibri"/>
                  <a:cs typeface="Calibri"/>
                  <a:sym typeface="Calibri"/>
                </a:rPr>
                <a:t>Food sales</a:t>
              </a:r>
              <a:r>
                <a:rPr lang="en-US" sz="1100" b="0">
                  <a:solidFill>
                    <a:srgbClr val="3A3838"/>
                  </a:solidFill>
                  <a:latin typeface="Calibri"/>
                  <a:ea typeface="Calibri"/>
                  <a:cs typeface="Calibri"/>
                  <a:sym typeface="Calibri"/>
                </a:rPr>
                <a:t>.</a:t>
              </a:r>
              <a:endParaRPr sz="1100" b="0" i="0">
                <a:solidFill>
                  <a:srgbClr val="3A3838"/>
                </a:solidFill>
                <a:latin typeface="Calibri"/>
                <a:ea typeface="Calibri"/>
                <a:cs typeface="Calibri"/>
                <a:sym typeface="Calibri"/>
              </a:endParaRPr>
            </a:p>
          </xdr:txBody>
        </xdr:sp>
        <xdr:pic>
          <xdr:nvPicPr>
            <xdr:cNvPr id="715" name="Shape 715" descr="Ribbon">
              <a:extLst>
                <a:ext uri="{FF2B5EF4-FFF2-40B4-BE49-F238E27FC236}">
                  <a16:creationId xmlns:a16="http://schemas.microsoft.com/office/drawing/2014/main" id="{00000000-0008-0000-0800-0000CB020000}"/>
                </a:ext>
              </a:extLst>
            </xdr:cNvPr>
            <xdr:cNvPicPr preferRelativeResize="0"/>
          </xdr:nvPicPr>
          <xdr:blipFill rotWithShape="1">
            <a:blip xmlns:r="http://schemas.openxmlformats.org/officeDocument/2006/relationships" r:embed="rId3">
              <a:alphaModFix/>
            </a:blip>
            <a:srcRect/>
            <a:stretch/>
          </xdr:blipFill>
          <xdr:spPr>
            <a:xfrm>
              <a:off x="7096125" y="15256727"/>
              <a:ext cx="471716" cy="439736"/>
            </a:xfrm>
            <a:prstGeom prst="rect">
              <a:avLst/>
            </a:prstGeom>
            <a:noFill/>
            <a:ln>
              <a:noFill/>
            </a:ln>
          </xdr:spPr>
        </xdr:pic>
      </xdr:grpSp>
    </xdr:grpSp>
    <xdr:clientData fLocksWithSheet="0"/>
  </xdr:oneCellAnchor>
  <xdr:twoCellAnchor>
    <xdr:from>
      <xdr:col>4</xdr:col>
      <xdr:colOff>285750</xdr:colOff>
      <xdr:row>0</xdr:row>
      <xdr:rowOff>523875</xdr:rowOff>
    </xdr:from>
    <xdr:to>
      <xdr:col>7</xdr:col>
      <xdr:colOff>285750</xdr:colOff>
      <xdr:row>14</xdr:row>
      <xdr:rowOff>166687</xdr:rowOff>
    </xdr:to>
    <xdr:graphicFrame macro="">
      <xdr:nvGraphicFramePr>
        <xdr:cNvPr id="20" name="Chart 19">
          <a:extLst>
            <a:ext uri="{FF2B5EF4-FFF2-40B4-BE49-F238E27FC236}">
              <a16:creationId xmlns:a16="http://schemas.microsoft.com/office/drawing/2014/main" id="{22818CF9-1086-B429-306F-66F9960100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200025</xdr:colOff>
      <xdr:row>80</xdr:row>
      <xdr:rowOff>85725</xdr:rowOff>
    </xdr:from>
    <xdr:to>
      <xdr:col>6</xdr:col>
      <xdr:colOff>47625</xdr:colOff>
      <xdr:row>89</xdr:row>
      <xdr:rowOff>80961</xdr:rowOff>
    </xdr:to>
    <xdr:graphicFrame macro="">
      <xdr:nvGraphicFramePr>
        <xdr:cNvPr id="21" name="Chart 20">
          <a:extLst>
            <a:ext uri="{FF2B5EF4-FFF2-40B4-BE49-F238E27FC236}">
              <a16:creationId xmlns:a16="http://schemas.microsoft.com/office/drawing/2014/main" id="{EB02616B-A917-AFF4-B3A0-2FEF2EB7AE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11.xml><?xml version="1.0" encoding="utf-8"?>
<xdr:wsDr xmlns:xdr="http://schemas.openxmlformats.org/drawingml/2006/spreadsheetDrawing" xmlns:a="http://schemas.openxmlformats.org/drawingml/2006/main">
  <xdr:oneCellAnchor>
    <xdr:from>
      <xdr:col>0</xdr:col>
      <xdr:colOff>333375</xdr:colOff>
      <xdr:row>0</xdr:row>
      <xdr:rowOff>266700</xdr:rowOff>
    </xdr:from>
    <xdr:ext cx="5695950" cy="4619625"/>
    <xdr:grpSp>
      <xdr:nvGrpSpPr>
        <xdr:cNvPr id="2" name="Shape 2">
          <a:extLst>
            <a:ext uri="{FF2B5EF4-FFF2-40B4-BE49-F238E27FC236}">
              <a16:creationId xmlns:a16="http://schemas.microsoft.com/office/drawing/2014/main" id="{00000000-0008-0000-0900-000002000000}"/>
            </a:ext>
          </a:extLst>
        </xdr:cNvPr>
        <xdr:cNvGrpSpPr/>
      </xdr:nvGrpSpPr>
      <xdr:grpSpPr>
        <a:xfrm>
          <a:off x="333375" y="266700"/>
          <a:ext cx="5695950" cy="4619625"/>
          <a:chOff x="2498025" y="1470188"/>
          <a:chExt cx="5695950" cy="4619625"/>
        </a:xfrm>
      </xdr:grpSpPr>
      <xdr:grpSp>
        <xdr:nvGrpSpPr>
          <xdr:cNvPr id="716" name="Shape 716" descr="Summarize data with PivotTables&#10;Look at the Date, Salesperson, Product and Amount columns. Can you quickly identify which product is the most profitable? Or which salesperson is the leading seller? That’s where the PivotTable below can help.&#10;When we created the PivotTable, we clicked a few buttons so that the data could be summarized. Now we know which product is the most profitable.&#10;Now you’ll pivot the data so that you can find out which salesperson is the leading seller.  Right-click any cell inside the PivotTable, and then click Show Field List. &#10;The PivotTable Fields pane appears. At the bottom of the pane, under Rows, click Product and then click Remove Field.&#10;At the top of the pane, click the checkbox for Salesperson. Now you can see who’s the leading salesperson&#10;Dive down for more detail &#10;Next step">
            <a:extLst>
              <a:ext uri="{FF2B5EF4-FFF2-40B4-BE49-F238E27FC236}">
                <a16:creationId xmlns:a16="http://schemas.microsoft.com/office/drawing/2014/main" id="{00000000-0008-0000-0900-0000CC020000}"/>
              </a:ext>
            </a:extLst>
          </xdr:cNvPr>
          <xdr:cNvGrpSpPr/>
        </xdr:nvGrpSpPr>
        <xdr:grpSpPr>
          <a:xfrm>
            <a:off x="2498025" y="1470188"/>
            <a:ext cx="5695950" cy="4619625"/>
            <a:chOff x="0" y="52174"/>
            <a:chExt cx="5695950" cy="4619625"/>
          </a:xfrm>
        </xdr:grpSpPr>
        <xdr:sp macro="" textlink="">
          <xdr:nvSpPr>
            <xdr:cNvPr id="4" name="Shape 4">
              <a:extLst>
                <a:ext uri="{FF2B5EF4-FFF2-40B4-BE49-F238E27FC236}">
                  <a16:creationId xmlns:a16="http://schemas.microsoft.com/office/drawing/2014/main" id="{00000000-0008-0000-0900-000004000000}"/>
                </a:ext>
              </a:extLst>
            </xdr:cNvPr>
            <xdr:cNvSpPr/>
          </xdr:nvSpPr>
          <xdr:spPr>
            <a:xfrm>
              <a:off x="0" y="52174"/>
              <a:ext cx="5695950" cy="4619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717" name="Shape 717" descr="Background">
              <a:extLst>
                <a:ext uri="{FF2B5EF4-FFF2-40B4-BE49-F238E27FC236}">
                  <a16:creationId xmlns:a16="http://schemas.microsoft.com/office/drawing/2014/main" id="{00000000-0008-0000-0900-0000CD020000}"/>
                </a:ext>
              </a:extLst>
            </xdr:cNvPr>
            <xdr:cNvSpPr/>
          </xdr:nvSpPr>
          <xdr:spPr>
            <a:xfrm>
              <a:off x="0" y="52174"/>
              <a:ext cx="5695950" cy="4619625"/>
            </a:xfrm>
            <a:prstGeom prst="rect">
              <a:avLst/>
            </a:prstGeom>
            <a:solidFill>
              <a:srgbClr val="F5F5F5"/>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718" name="Shape 718" descr="Summarize data with PivotTables">
              <a:extLst>
                <a:ext uri="{FF2B5EF4-FFF2-40B4-BE49-F238E27FC236}">
                  <a16:creationId xmlns:a16="http://schemas.microsoft.com/office/drawing/2014/main" id="{00000000-0008-0000-0900-0000CE020000}"/>
                </a:ext>
              </a:extLst>
            </xdr:cNvPr>
            <xdr:cNvSpPr txBox="1"/>
          </xdr:nvSpPr>
          <xdr:spPr>
            <a:xfrm>
              <a:off x="231748" y="118698"/>
              <a:ext cx="5216551" cy="490903"/>
            </a:xfrm>
            <a:prstGeom prst="rect">
              <a:avLst/>
            </a:prstGeom>
            <a:noFill/>
            <a:ln>
              <a:noFill/>
            </a:ln>
          </xdr:spPr>
          <xdr:txBody>
            <a:bodyPr spcFirstLastPara="1" wrap="square" lIns="0" tIns="45700" rIns="0" bIns="45700" anchor="t" anchorCtr="0">
              <a:noAutofit/>
            </a:bodyPr>
            <a:lstStyle/>
            <a:p>
              <a:pPr marL="0" lvl="0" indent="0" algn="l" rtl="0">
                <a:spcBef>
                  <a:spcPts val="0"/>
                </a:spcBef>
                <a:spcAft>
                  <a:spcPts val="0"/>
                </a:spcAft>
                <a:buNone/>
              </a:pPr>
              <a:r>
                <a:rPr lang="en-US" sz="2400">
                  <a:solidFill>
                    <a:srgbClr val="3A3838"/>
                  </a:solidFill>
                  <a:latin typeface="Quattrocento Sans"/>
                  <a:ea typeface="Quattrocento Sans"/>
                  <a:cs typeface="Quattrocento Sans"/>
                  <a:sym typeface="Quattrocento Sans"/>
                </a:rPr>
                <a:t>Summarize data with PivotTables</a:t>
              </a:r>
              <a:endParaRPr sz="2400">
                <a:solidFill>
                  <a:srgbClr val="3A3838"/>
                </a:solidFill>
                <a:latin typeface="Quattrocento Sans"/>
                <a:ea typeface="Quattrocento Sans"/>
                <a:cs typeface="Quattrocento Sans"/>
                <a:sym typeface="Quattrocento Sans"/>
              </a:endParaRPr>
            </a:p>
          </xdr:txBody>
        </xdr:sp>
        <xdr:cxnSp macro="">
          <xdr:nvCxnSpPr>
            <xdr:cNvPr id="719" name="Shape 719" descr="Decorative line">
              <a:extLst>
                <a:ext uri="{FF2B5EF4-FFF2-40B4-BE49-F238E27FC236}">
                  <a16:creationId xmlns:a16="http://schemas.microsoft.com/office/drawing/2014/main" id="{00000000-0008-0000-0900-0000CF020000}"/>
                </a:ext>
              </a:extLst>
            </xdr:cNvPr>
            <xdr:cNvCxnSpPr/>
          </xdr:nvCxnSpPr>
          <xdr:spPr>
            <a:xfrm>
              <a:off x="234924" y="626111"/>
              <a:ext cx="5213376" cy="0"/>
            </a:xfrm>
            <a:prstGeom prst="straightConnector1">
              <a:avLst/>
            </a:prstGeom>
            <a:noFill/>
            <a:ln w="25400" cap="flat" cmpd="sng">
              <a:solidFill>
                <a:srgbClr val="217346"/>
              </a:solidFill>
              <a:prstDash val="solid"/>
              <a:round/>
              <a:headEnd type="none" w="sm" len="sm"/>
              <a:tailEnd type="none" w="sm" len="sm"/>
            </a:ln>
          </xdr:spPr>
        </xdr:cxnSp>
        <xdr:sp macro="" textlink="">
          <xdr:nvSpPr>
            <xdr:cNvPr id="720" name="Shape 720" descr="Dive down for more detail">
              <a:extLst>
                <a:ext uri="{FF2B5EF4-FFF2-40B4-BE49-F238E27FC236}">
                  <a16:creationId xmlns:a16="http://schemas.microsoft.com/office/drawing/2014/main" id="{00000000-0008-0000-0900-0000D0020000}"/>
                </a:ext>
              </a:extLst>
            </xdr:cNvPr>
            <xdr:cNvSpPr/>
          </xdr:nvSpPr>
          <xdr:spPr>
            <a:xfrm>
              <a:off x="234924" y="3957906"/>
              <a:ext cx="2723067" cy="536454"/>
            </a:xfrm>
            <a:prstGeom prst="downArrowCallout">
              <a:avLst>
                <a:gd name="adj1" fmla="val 25000"/>
                <a:gd name="adj2" fmla="val 25000"/>
                <a:gd name="adj3" fmla="val 25000"/>
                <a:gd name="adj4" fmla="val 64977"/>
              </a:avLst>
            </a:prstGeom>
            <a:solidFill>
              <a:srgbClr val="D8D8D8"/>
            </a:solidFill>
            <a:ln w="12700" cap="flat" cmpd="sng">
              <a:solidFill>
                <a:srgbClr val="0B744D">
                  <a:alpha val="49803"/>
                </a:srgb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a:solidFill>
                    <a:srgbClr val="0B744D"/>
                  </a:solidFill>
                  <a:latin typeface="Quattrocento Sans"/>
                  <a:ea typeface="Quattrocento Sans"/>
                  <a:cs typeface="Quattrocento Sans"/>
                  <a:sym typeface="Quattrocento Sans"/>
                </a:rPr>
                <a:t>Dive down for more detail</a:t>
              </a:r>
              <a:endParaRPr sz="1400"/>
            </a:p>
          </xdr:txBody>
        </xdr:sp>
        <xdr:cxnSp macro="">
          <xdr:nvCxnSpPr>
            <xdr:cNvPr id="721" name="Shape 721" descr="Decorative line">
              <a:extLst>
                <a:ext uri="{FF2B5EF4-FFF2-40B4-BE49-F238E27FC236}">
                  <a16:creationId xmlns:a16="http://schemas.microsoft.com/office/drawing/2014/main" id="{00000000-0008-0000-0900-0000D1020000}"/>
                </a:ext>
              </a:extLst>
            </xdr:cNvPr>
            <xdr:cNvCxnSpPr/>
          </xdr:nvCxnSpPr>
          <xdr:spPr>
            <a:xfrm>
              <a:off x="234924" y="3733622"/>
              <a:ext cx="5213376" cy="0"/>
            </a:xfrm>
            <a:prstGeom prst="straightConnector1">
              <a:avLst/>
            </a:prstGeom>
            <a:noFill/>
            <a:ln w="25400" cap="flat" cmpd="sng">
              <a:solidFill>
                <a:srgbClr val="217346"/>
              </a:solidFill>
              <a:prstDash val="solid"/>
              <a:round/>
              <a:headEnd type="none" w="sm" len="sm"/>
              <a:tailEnd type="none" w="sm" len="sm"/>
            </a:ln>
          </xdr:spPr>
        </xdr:cxnSp>
        <xdr:sp macro="" textlink="">
          <xdr:nvSpPr>
            <xdr:cNvPr id="722" name="Shape 722" descr="Next step button, hyperlinked to next sheet">
              <a:hlinkClick xmlns:r="http://schemas.openxmlformats.org/officeDocument/2006/relationships" r:id="rId1"/>
              <a:extLst>
                <a:ext uri="{FF2B5EF4-FFF2-40B4-BE49-F238E27FC236}">
                  <a16:creationId xmlns:a16="http://schemas.microsoft.com/office/drawing/2014/main" id="{00000000-0008-0000-0900-0000D2020000}"/>
                </a:ext>
              </a:extLst>
            </xdr:cNvPr>
            <xdr:cNvSpPr/>
          </xdr:nvSpPr>
          <xdr:spPr>
            <a:xfrm>
              <a:off x="4293870" y="3957906"/>
              <a:ext cx="1154430" cy="348492"/>
            </a:xfrm>
            <a:prstGeom prst="rightArrowCallout">
              <a:avLst>
                <a:gd name="adj1" fmla="val 32829"/>
                <a:gd name="adj2" fmla="val 31524"/>
                <a:gd name="adj3" fmla="val 25000"/>
                <a:gd name="adj4" fmla="val 86357"/>
              </a:avLst>
            </a:prstGeom>
            <a:solidFill>
              <a:schemeClr val="lt1"/>
            </a:solidFill>
            <a:ln w="12700" cap="flat" cmpd="sng">
              <a:solidFill>
                <a:srgbClr val="0B744D"/>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a:solidFill>
                    <a:srgbClr val="0B744D"/>
                  </a:solidFill>
                  <a:latin typeface="Quattrocento Sans"/>
                  <a:ea typeface="Quattrocento Sans"/>
                  <a:cs typeface="Quattrocento Sans"/>
                  <a:sym typeface="Quattrocento Sans"/>
                </a:rPr>
                <a:t>Next step</a:t>
              </a:r>
              <a:endParaRPr sz="1400"/>
            </a:p>
          </xdr:txBody>
        </xdr:sp>
        <xdr:sp macro="" textlink="">
          <xdr:nvSpPr>
            <xdr:cNvPr id="723" name="Shape 723" descr="Look at the Date, Salesperson, Product and Amount columns. Can you quickly identify which product is the most profitable? Or which salesperson is the leading seller? That’s where the PivotTable below can help">
              <a:extLst>
                <a:ext uri="{FF2B5EF4-FFF2-40B4-BE49-F238E27FC236}">
                  <a16:creationId xmlns:a16="http://schemas.microsoft.com/office/drawing/2014/main" id="{00000000-0008-0000-0900-0000D3020000}"/>
                </a:ext>
              </a:extLst>
            </xdr:cNvPr>
            <xdr:cNvSpPr txBox="1"/>
          </xdr:nvSpPr>
          <xdr:spPr>
            <a:xfrm>
              <a:off x="638783" y="814277"/>
              <a:ext cx="4809516" cy="638072"/>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rgbClr val="3F3F3F"/>
                  </a:solidFill>
                  <a:latin typeface="Quattrocento Sans"/>
                  <a:ea typeface="Quattrocento Sans"/>
                  <a:cs typeface="Quattrocento Sans"/>
                  <a:sym typeface="Quattrocento Sans"/>
                </a:rPr>
                <a:t>Look at the Date, Salesperson, Product and Amount columns. Can you quickly identify which product is the most profitable? Or which salesperson is the leading seller? That’s where the PivotTable below can help.</a:t>
              </a:r>
              <a:endParaRPr sz="1400"/>
            </a:p>
          </xdr:txBody>
        </xdr:sp>
        <xdr:sp macro="" textlink="">
          <xdr:nvSpPr>
            <xdr:cNvPr id="724" name="Shape 724" descr="1">
              <a:extLst>
                <a:ext uri="{FF2B5EF4-FFF2-40B4-BE49-F238E27FC236}">
                  <a16:creationId xmlns:a16="http://schemas.microsoft.com/office/drawing/2014/main" id="{00000000-0008-0000-0900-0000D4020000}"/>
                </a:ext>
              </a:extLst>
            </xdr:cNvPr>
            <xdr:cNvSpPr/>
          </xdr:nvSpPr>
          <xdr:spPr>
            <a:xfrm>
              <a:off x="231749" y="771778"/>
              <a:ext cx="371587"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1</a:t>
              </a:r>
              <a:endParaRPr sz="1400"/>
            </a:p>
          </xdr:txBody>
        </xdr:sp>
        <xdr:sp macro="" textlink="">
          <xdr:nvSpPr>
            <xdr:cNvPr id="725" name="Shape 725" descr="When we created the PivotTable, we clicked a few buttons so that the data could be summarized. Now we know which product is the most profitable">
              <a:extLst>
                <a:ext uri="{FF2B5EF4-FFF2-40B4-BE49-F238E27FC236}">
                  <a16:creationId xmlns:a16="http://schemas.microsoft.com/office/drawing/2014/main" id="{00000000-0008-0000-0900-0000D5020000}"/>
                </a:ext>
              </a:extLst>
            </xdr:cNvPr>
            <xdr:cNvSpPr txBox="1"/>
          </xdr:nvSpPr>
          <xdr:spPr>
            <a:xfrm>
              <a:off x="638783" y="1483807"/>
              <a:ext cx="4809516" cy="539734"/>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rgbClr val="3F3F3F"/>
                  </a:solidFill>
                  <a:latin typeface="Quattrocento Sans"/>
                  <a:ea typeface="Quattrocento Sans"/>
                  <a:cs typeface="Quattrocento Sans"/>
                  <a:sym typeface="Quattrocento Sans"/>
                </a:rPr>
                <a:t>When we created the PivotTable, we clicked a few buttons so that the data could be summarized. Now we know which product is the most profitable. </a:t>
              </a:r>
              <a:endParaRPr sz="1400"/>
            </a:p>
          </xdr:txBody>
        </xdr:sp>
        <xdr:sp macro="" textlink="">
          <xdr:nvSpPr>
            <xdr:cNvPr id="726" name="Shape 726" descr="2">
              <a:extLst>
                <a:ext uri="{FF2B5EF4-FFF2-40B4-BE49-F238E27FC236}">
                  <a16:creationId xmlns:a16="http://schemas.microsoft.com/office/drawing/2014/main" id="{00000000-0008-0000-0900-0000D6020000}"/>
                </a:ext>
              </a:extLst>
            </xdr:cNvPr>
            <xdr:cNvSpPr/>
          </xdr:nvSpPr>
          <xdr:spPr>
            <a:xfrm>
              <a:off x="231749" y="1441308"/>
              <a:ext cx="371587"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2</a:t>
              </a:r>
              <a:endParaRPr sz="1400"/>
            </a:p>
          </xdr:txBody>
        </xdr:sp>
        <xdr:sp macro="" textlink="">
          <xdr:nvSpPr>
            <xdr:cNvPr id="727" name="Shape 727" descr="Now you’ll pivot the data so that you can find out which salesperson is the leading seller.  Click any cell inside the PivotTable, and then click Show Field List">
              <a:extLst>
                <a:ext uri="{FF2B5EF4-FFF2-40B4-BE49-F238E27FC236}">
                  <a16:creationId xmlns:a16="http://schemas.microsoft.com/office/drawing/2014/main" id="{00000000-0008-0000-0900-0000D7020000}"/>
                </a:ext>
              </a:extLst>
            </xdr:cNvPr>
            <xdr:cNvSpPr txBox="1"/>
          </xdr:nvSpPr>
          <xdr:spPr>
            <a:xfrm>
              <a:off x="638783" y="1988451"/>
              <a:ext cx="4809516" cy="664047"/>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rgbClr val="3F3F3F"/>
                  </a:solidFill>
                  <a:latin typeface="Quattrocento Sans"/>
                  <a:ea typeface="Quattrocento Sans"/>
                  <a:cs typeface="Quattrocento Sans"/>
                  <a:sym typeface="Quattrocento Sans"/>
                </a:rPr>
                <a:t>Now you’ll pivot the data so that you can find out which salesperson is the leading seller.  Right-click any cell inside the PivotTable, and then click </a:t>
              </a:r>
              <a:r>
                <a:rPr lang="en-US" sz="1100" b="1">
                  <a:solidFill>
                    <a:srgbClr val="3F3F3F"/>
                  </a:solidFill>
                  <a:latin typeface="Quattrocento Sans"/>
                  <a:ea typeface="Quattrocento Sans"/>
                  <a:cs typeface="Quattrocento Sans"/>
                  <a:sym typeface="Quattrocento Sans"/>
                </a:rPr>
                <a:t>Show Field List</a:t>
              </a:r>
              <a:r>
                <a:rPr lang="en-US" sz="1100">
                  <a:solidFill>
                    <a:srgbClr val="3F3F3F"/>
                  </a:solidFill>
                  <a:latin typeface="Quattrocento Sans"/>
                  <a:ea typeface="Quattrocento Sans"/>
                  <a:cs typeface="Quattrocento Sans"/>
                  <a:sym typeface="Quattrocento Sans"/>
                </a:rPr>
                <a:t>. </a:t>
              </a:r>
              <a:endParaRPr sz="1400"/>
            </a:p>
          </xdr:txBody>
        </xdr:sp>
        <xdr:sp macro="" textlink="">
          <xdr:nvSpPr>
            <xdr:cNvPr id="728" name="Shape 728" descr="3">
              <a:extLst>
                <a:ext uri="{FF2B5EF4-FFF2-40B4-BE49-F238E27FC236}">
                  <a16:creationId xmlns:a16="http://schemas.microsoft.com/office/drawing/2014/main" id="{00000000-0008-0000-0900-0000D8020000}"/>
                </a:ext>
              </a:extLst>
            </xdr:cNvPr>
            <xdr:cNvSpPr/>
          </xdr:nvSpPr>
          <xdr:spPr>
            <a:xfrm>
              <a:off x="231749" y="1945953"/>
              <a:ext cx="371587"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3</a:t>
              </a:r>
              <a:endParaRPr sz="1400"/>
            </a:p>
          </xdr:txBody>
        </xdr:sp>
        <xdr:sp macro="" textlink="">
          <xdr:nvSpPr>
            <xdr:cNvPr id="729" name="Shape 729" descr="The PivotTable Fields pane appears. At the bottom of the pane, under Rows, click Product and then click Remove Field">
              <a:extLst>
                <a:ext uri="{FF2B5EF4-FFF2-40B4-BE49-F238E27FC236}">
                  <a16:creationId xmlns:a16="http://schemas.microsoft.com/office/drawing/2014/main" id="{00000000-0008-0000-0900-0000D9020000}"/>
                </a:ext>
              </a:extLst>
            </xdr:cNvPr>
            <xdr:cNvSpPr txBox="1"/>
          </xdr:nvSpPr>
          <xdr:spPr>
            <a:xfrm>
              <a:off x="638783" y="2651970"/>
              <a:ext cx="4809516" cy="539734"/>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rgbClr val="3F3F3F"/>
                  </a:solidFill>
                  <a:latin typeface="Quattrocento Sans"/>
                  <a:ea typeface="Quattrocento Sans"/>
                  <a:cs typeface="Quattrocento Sans"/>
                  <a:sym typeface="Quattrocento Sans"/>
                </a:rPr>
                <a:t>The PivotTable Fields pane appears. At the bottom of the pane, under </a:t>
              </a:r>
              <a:r>
                <a:rPr lang="en-US" sz="1100" b="1">
                  <a:solidFill>
                    <a:srgbClr val="3F3F3F"/>
                  </a:solidFill>
                  <a:latin typeface="Quattrocento Sans"/>
                  <a:ea typeface="Quattrocento Sans"/>
                  <a:cs typeface="Quattrocento Sans"/>
                  <a:sym typeface="Quattrocento Sans"/>
                </a:rPr>
                <a:t>Rows</a:t>
              </a:r>
              <a:r>
                <a:rPr lang="en-US" sz="1100">
                  <a:solidFill>
                    <a:srgbClr val="3F3F3F"/>
                  </a:solidFill>
                  <a:latin typeface="Quattrocento Sans"/>
                  <a:ea typeface="Quattrocento Sans"/>
                  <a:cs typeface="Quattrocento Sans"/>
                  <a:sym typeface="Quattrocento Sans"/>
                </a:rPr>
                <a:t>, click </a:t>
              </a:r>
              <a:r>
                <a:rPr lang="en-US" sz="1100" b="1">
                  <a:solidFill>
                    <a:srgbClr val="3F3F3F"/>
                  </a:solidFill>
                  <a:latin typeface="Quattrocento Sans"/>
                  <a:ea typeface="Quattrocento Sans"/>
                  <a:cs typeface="Quattrocento Sans"/>
                  <a:sym typeface="Quattrocento Sans"/>
                </a:rPr>
                <a:t>Product</a:t>
              </a:r>
              <a:r>
                <a:rPr lang="en-US" sz="1100">
                  <a:solidFill>
                    <a:srgbClr val="3F3F3F"/>
                  </a:solidFill>
                  <a:latin typeface="Quattrocento Sans"/>
                  <a:ea typeface="Quattrocento Sans"/>
                  <a:cs typeface="Quattrocento Sans"/>
                  <a:sym typeface="Quattrocento Sans"/>
                </a:rPr>
                <a:t> and then click </a:t>
              </a:r>
              <a:r>
                <a:rPr lang="en-US" sz="1100" b="1">
                  <a:solidFill>
                    <a:srgbClr val="3F3F3F"/>
                  </a:solidFill>
                  <a:latin typeface="Quattrocento Sans"/>
                  <a:ea typeface="Quattrocento Sans"/>
                  <a:cs typeface="Quattrocento Sans"/>
                  <a:sym typeface="Quattrocento Sans"/>
                </a:rPr>
                <a:t>Remove Field</a:t>
              </a:r>
              <a:r>
                <a:rPr lang="en-US" sz="1100">
                  <a:solidFill>
                    <a:srgbClr val="3F3F3F"/>
                  </a:solidFill>
                  <a:latin typeface="Quattrocento Sans"/>
                  <a:ea typeface="Quattrocento Sans"/>
                  <a:cs typeface="Quattrocento Sans"/>
                  <a:sym typeface="Quattrocento Sans"/>
                </a:rPr>
                <a:t>.</a:t>
              </a:r>
              <a:endParaRPr sz="1400"/>
            </a:p>
          </xdr:txBody>
        </xdr:sp>
        <xdr:sp macro="" textlink="">
          <xdr:nvSpPr>
            <xdr:cNvPr id="730" name="Shape 730" descr="4">
              <a:extLst>
                <a:ext uri="{FF2B5EF4-FFF2-40B4-BE49-F238E27FC236}">
                  <a16:creationId xmlns:a16="http://schemas.microsoft.com/office/drawing/2014/main" id="{00000000-0008-0000-0900-0000DA020000}"/>
                </a:ext>
              </a:extLst>
            </xdr:cNvPr>
            <xdr:cNvSpPr/>
          </xdr:nvSpPr>
          <xdr:spPr>
            <a:xfrm>
              <a:off x="231749" y="2609471"/>
              <a:ext cx="371587"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4</a:t>
              </a:r>
              <a:endParaRPr sz="1400"/>
            </a:p>
          </xdr:txBody>
        </xdr:sp>
        <xdr:sp macro="" textlink="">
          <xdr:nvSpPr>
            <xdr:cNvPr id="731" name="Shape 731" descr="At the top of the pane, click the checkbox for Salesperson. Now you can see who’s the leading salesperson">
              <a:extLst>
                <a:ext uri="{FF2B5EF4-FFF2-40B4-BE49-F238E27FC236}">
                  <a16:creationId xmlns:a16="http://schemas.microsoft.com/office/drawing/2014/main" id="{00000000-0008-0000-0900-0000DB020000}"/>
                </a:ext>
              </a:extLst>
            </xdr:cNvPr>
            <xdr:cNvSpPr txBox="1"/>
          </xdr:nvSpPr>
          <xdr:spPr>
            <a:xfrm>
              <a:off x="638783" y="3173897"/>
              <a:ext cx="4809516" cy="488252"/>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rgbClr val="3F3F3F"/>
                  </a:solidFill>
                  <a:latin typeface="Quattrocento Sans"/>
                  <a:ea typeface="Quattrocento Sans"/>
                  <a:cs typeface="Quattrocento Sans"/>
                  <a:sym typeface="Quattrocento Sans"/>
                </a:rPr>
                <a:t>At the top of the pane, click the checkbox for </a:t>
              </a:r>
              <a:r>
                <a:rPr lang="en-US" sz="1100" b="1">
                  <a:solidFill>
                    <a:srgbClr val="3F3F3F"/>
                  </a:solidFill>
                  <a:latin typeface="Quattrocento Sans"/>
                  <a:ea typeface="Quattrocento Sans"/>
                  <a:cs typeface="Quattrocento Sans"/>
                  <a:sym typeface="Quattrocento Sans"/>
                </a:rPr>
                <a:t>Salesperson</a:t>
              </a:r>
              <a:r>
                <a:rPr lang="en-US" sz="1100">
                  <a:solidFill>
                    <a:srgbClr val="3F3F3F"/>
                  </a:solidFill>
                  <a:latin typeface="Quattrocento Sans"/>
                  <a:ea typeface="Quattrocento Sans"/>
                  <a:cs typeface="Quattrocento Sans"/>
                  <a:sym typeface="Quattrocento Sans"/>
                </a:rPr>
                <a:t>. Now you can see who’s the leading salesperson.</a:t>
              </a:r>
              <a:endParaRPr sz="1400"/>
            </a:p>
          </xdr:txBody>
        </xdr:sp>
        <xdr:sp macro="" textlink="">
          <xdr:nvSpPr>
            <xdr:cNvPr id="732" name="Shape 732" descr="5">
              <a:extLst>
                <a:ext uri="{FF2B5EF4-FFF2-40B4-BE49-F238E27FC236}">
                  <a16:creationId xmlns:a16="http://schemas.microsoft.com/office/drawing/2014/main" id="{00000000-0008-0000-0900-0000DC020000}"/>
                </a:ext>
              </a:extLst>
            </xdr:cNvPr>
            <xdr:cNvSpPr/>
          </xdr:nvSpPr>
          <xdr:spPr>
            <a:xfrm>
              <a:off x="231749" y="3091567"/>
              <a:ext cx="371587"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5</a:t>
              </a:r>
              <a:endParaRPr sz="1400"/>
            </a:p>
          </xdr:txBody>
        </xdr:sp>
      </xdr:grpSp>
    </xdr:grpSp>
    <xdr:clientData fLocksWithSheet="0"/>
  </xdr:oneCellAnchor>
  <xdr:oneCellAnchor>
    <xdr:from>
      <xdr:col>0</xdr:col>
      <xdr:colOff>390525</xdr:colOff>
      <xdr:row>26</xdr:row>
      <xdr:rowOff>0</xdr:rowOff>
    </xdr:from>
    <xdr:ext cx="5695950" cy="5734050"/>
    <xdr:grpSp>
      <xdr:nvGrpSpPr>
        <xdr:cNvPr id="3" name="Shape 2">
          <a:extLst>
            <a:ext uri="{FF2B5EF4-FFF2-40B4-BE49-F238E27FC236}">
              <a16:creationId xmlns:a16="http://schemas.microsoft.com/office/drawing/2014/main" id="{00000000-0008-0000-0900-000003000000}"/>
            </a:ext>
          </a:extLst>
        </xdr:cNvPr>
        <xdr:cNvGrpSpPr/>
      </xdr:nvGrpSpPr>
      <xdr:grpSpPr>
        <a:xfrm>
          <a:off x="390525" y="5524500"/>
          <a:ext cx="5695950" cy="5734050"/>
          <a:chOff x="2498025" y="912975"/>
          <a:chExt cx="5695950" cy="5734050"/>
        </a:xfrm>
      </xdr:grpSpPr>
      <xdr:grpSp>
        <xdr:nvGrpSpPr>
          <xdr:cNvPr id="733" name="Shape 733" descr="Create a PivotTable&#10;Now you’ll create the PivotTable yourself so that you know how to make one when you need to summarize data.&#10;Click a cell inside the data on the right, and then on the Insert menu, click PivotTable.&#10;In the dialog that appears, click Existing Worksheet, and then type C42 in the Location box. Click OK&#10;The PivotTable Fields pane appears on the right.&#10;At the top of the pane, click the checkbox for Product.&#10;When you do that, the Product field gets added to the Rows area at the bottom of the pane. And, the product data appears as Row labels in the new PivotTable.&#10;At the top of the pane, click the checkbox for Amount.&#10;When you do that, the Amount field will get added to the Values area at the bottom of the pane. And, at the same time the amounts are totaled for each product in the PivotTable.&#10;Congratulations, you made a PivotTable. But there is a lot more you can do. So click the link at the bottom of this sheet if you want to learn more">
            <a:extLst>
              <a:ext uri="{FF2B5EF4-FFF2-40B4-BE49-F238E27FC236}">
                <a16:creationId xmlns:a16="http://schemas.microsoft.com/office/drawing/2014/main" id="{00000000-0008-0000-0900-0000DD020000}"/>
              </a:ext>
            </a:extLst>
          </xdr:cNvPr>
          <xdr:cNvGrpSpPr/>
        </xdr:nvGrpSpPr>
        <xdr:grpSpPr>
          <a:xfrm>
            <a:off x="2498025" y="912975"/>
            <a:ext cx="5695950" cy="5734050"/>
            <a:chOff x="390525" y="5943600"/>
            <a:chExt cx="5695950" cy="5647502"/>
          </a:xfrm>
        </xdr:grpSpPr>
        <xdr:sp macro="" textlink="">
          <xdr:nvSpPr>
            <xdr:cNvPr id="5" name="Shape 4">
              <a:extLst>
                <a:ext uri="{FF2B5EF4-FFF2-40B4-BE49-F238E27FC236}">
                  <a16:creationId xmlns:a16="http://schemas.microsoft.com/office/drawing/2014/main" id="{00000000-0008-0000-0900-000005000000}"/>
                </a:ext>
              </a:extLst>
            </xdr:cNvPr>
            <xdr:cNvSpPr/>
          </xdr:nvSpPr>
          <xdr:spPr>
            <a:xfrm>
              <a:off x="390525" y="5943600"/>
              <a:ext cx="5695950" cy="56475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734" name="Shape 734" descr="Background">
              <a:extLst>
                <a:ext uri="{FF2B5EF4-FFF2-40B4-BE49-F238E27FC236}">
                  <a16:creationId xmlns:a16="http://schemas.microsoft.com/office/drawing/2014/main" id="{00000000-0008-0000-0900-0000DE020000}"/>
                </a:ext>
              </a:extLst>
            </xdr:cNvPr>
            <xdr:cNvSpPr/>
          </xdr:nvSpPr>
          <xdr:spPr>
            <a:xfrm>
              <a:off x="390525" y="5943600"/>
              <a:ext cx="5695950" cy="5647502"/>
            </a:xfrm>
            <a:prstGeom prst="rect">
              <a:avLst/>
            </a:prstGeom>
            <a:solidFill>
              <a:srgbClr val="F5F5F5"/>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735" name="Shape 735" descr="Create a PivotTable">
              <a:extLst>
                <a:ext uri="{FF2B5EF4-FFF2-40B4-BE49-F238E27FC236}">
                  <a16:creationId xmlns:a16="http://schemas.microsoft.com/office/drawing/2014/main" id="{00000000-0008-0000-0900-0000DF020000}"/>
                </a:ext>
              </a:extLst>
            </xdr:cNvPr>
            <xdr:cNvSpPr txBox="1"/>
          </xdr:nvSpPr>
          <xdr:spPr>
            <a:xfrm>
              <a:off x="622273" y="6050378"/>
              <a:ext cx="5216551" cy="490903"/>
            </a:xfrm>
            <a:prstGeom prst="rect">
              <a:avLst/>
            </a:prstGeom>
            <a:noFill/>
            <a:ln>
              <a:noFill/>
            </a:ln>
          </xdr:spPr>
          <xdr:txBody>
            <a:bodyPr spcFirstLastPara="1" wrap="square" lIns="0" tIns="45700" rIns="0" bIns="45700" anchor="t" anchorCtr="0">
              <a:noAutofit/>
            </a:bodyPr>
            <a:lstStyle/>
            <a:p>
              <a:pPr marL="0" marR="0" lvl="0" indent="0" algn="l" rtl="0">
                <a:lnSpc>
                  <a:spcPct val="100000"/>
                </a:lnSpc>
                <a:spcBef>
                  <a:spcPts val="0"/>
                </a:spcBef>
                <a:spcAft>
                  <a:spcPts val="0"/>
                </a:spcAft>
                <a:buClr>
                  <a:srgbClr val="3A3838"/>
                </a:buClr>
                <a:buSzPts val="2200"/>
                <a:buFont typeface="Quattrocento Sans"/>
                <a:buNone/>
              </a:pPr>
              <a:r>
                <a:rPr lang="en-US" sz="2200" b="0">
                  <a:solidFill>
                    <a:srgbClr val="3A3838"/>
                  </a:solidFill>
                  <a:latin typeface="Quattrocento Sans"/>
                  <a:ea typeface="Quattrocento Sans"/>
                  <a:cs typeface="Quattrocento Sans"/>
                  <a:sym typeface="Quattrocento Sans"/>
                </a:rPr>
                <a:t>Create a PivotTable</a:t>
              </a:r>
              <a:endParaRPr sz="2200" b="0">
                <a:solidFill>
                  <a:srgbClr val="3A3838"/>
                </a:solidFill>
                <a:latin typeface="Quattrocento Sans"/>
                <a:ea typeface="Quattrocento Sans"/>
                <a:cs typeface="Quattrocento Sans"/>
                <a:sym typeface="Quattrocento Sans"/>
              </a:endParaRPr>
            </a:p>
          </xdr:txBody>
        </xdr:sp>
        <xdr:cxnSp macro="">
          <xdr:nvCxnSpPr>
            <xdr:cNvPr id="736" name="Shape 736" descr="Decorative line">
              <a:extLst>
                <a:ext uri="{FF2B5EF4-FFF2-40B4-BE49-F238E27FC236}">
                  <a16:creationId xmlns:a16="http://schemas.microsoft.com/office/drawing/2014/main" id="{00000000-0008-0000-0900-0000E0020000}"/>
                </a:ext>
              </a:extLst>
            </xdr:cNvPr>
            <xdr:cNvCxnSpPr/>
          </xdr:nvCxnSpPr>
          <xdr:spPr>
            <a:xfrm>
              <a:off x="625449" y="6557791"/>
              <a:ext cx="5213376" cy="0"/>
            </a:xfrm>
            <a:prstGeom prst="straightConnector1">
              <a:avLst/>
            </a:prstGeom>
            <a:noFill/>
            <a:ln w="25400" cap="flat" cmpd="sng">
              <a:solidFill>
                <a:srgbClr val="217346"/>
              </a:solidFill>
              <a:prstDash val="solid"/>
              <a:round/>
              <a:headEnd type="none" w="sm" len="sm"/>
              <a:tailEnd type="none" w="sm" len="sm"/>
            </a:ln>
          </xdr:spPr>
        </xdr:cxnSp>
        <xdr:cxnSp macro="">
          <xdr:nvCxnSpPr>
            <xdr:cNvPr id="737" name="Shape 737" descr="Decorative line">
              <a:extLst>
                <a:ext uri="{FF2B5EF4-FFF2-40B4-BE49-F238E27FC236}">
                  <a16:creationId xmlns:a16="http://schemas.microsoft.com/office/drawing/2014/main" id="{00000000-0008-0000-0900-0000E1020000}"/>
                </a:ext>
              </a:extLst>
            </xdr:cNvPr>
            <xdr:cNvCxnSpPr/>
          </xdr:nvCxnSpPr>
          <xdr:spPr>
            <a:xfrm>
              <a:off x="625449" y="11267937"/>
              <a:ext cx="5213376" cy="0"/>
            </a:xfrm>
            <a:prstGeom prst="straightConnector1">
              <a:avLst/>
            </a:prstGeom>
            <a:noFill/>
            <a:ln w="25400" cap="flat" cmpd="sng">
              <a:solidFill>
                <a:srgbClr val="217346"/>
              </a:solidFill>
              <a:prstDash val="solid"/>
              <a:round/>
              <a:headEnd type="none" w="sm" len="sm"/>
              <a:tailEnd type="none" w="sm" len="sm"/>
            </a:ln>
          </xdr:spPr>
        </xdr:cxnSp>
        <xdr:sp macro="" textlink="">
          <xdr:nvSpPr>
            <xdr:cNvPr id="738" name="Shape 738" descr="Now you’ll create the PivotTable yourself so that you know how to make one when you need to summarize data">
              <a:extLst>
                <a:ext uri="{FF2B5EF4-FFF2-40B4-BE49-F238E27FC236}">
                  <a16:creationId xmlns:a16="http://schemas.microsoft.com/office/drawing/2014/main" id="{00000000-0008-0000-0900-0000E2020000}"/>
                </a:ext>
              </a:extLst>
            </xdr:cNvPr>
            <xdr:cNvSpPr txBox="1"/>
          </xdr:nvSpPr>
          <xdr:spPr>
            <a:xfrm>
              <a:off x="619125" y="6631401"/>
              <a:ext cx="5300938" cy="788446"/>
            </a:xfrm>
            <a:prstGeom prst="rect">
              <a:avLst/>
            </a:prstGeom>
            <a:noFill/>
            <a:ln>
              <a:noFill/>
            </a:ln>
          </xdr:spPr>
          <xdr:txBody>
            <a:bodyPr spcFirstLastPara="1" wrap="square" lIns="0" tIns="45700" rIns="0" bIns="45700" anchor="t" anchorCtr="0">
              <a:noAutofit/>
            </a:bodyPr>
            <a:lstStyle/>
            <a:p>
              <a:pPr marL="0" lvl="0" indent="0" algn="l" rtl="0">
                <a:spcBef>
                  <a:spcPts val="0"/>
                </a:spcBef>
                <a:spcAft>
                  <a:spcPts val="0"/>
                </a:spcAft>
                <a:buNone/>
              </a:pPr>
              <a:r>
                <a:rPr lang="en-US" sz="1100">
                  <a:solidFill>
                    <a:srgbClr val="3F3F3F"/>
                  </a:solidFill>
                  <a:latin typeface="Quattrocento Sans"/>
                  <a:ea typeface="Quattrocento Sans"/>
                  <a:cs typeface="Quattrocento Sans"/>
                  <a:sym typeface="Quattrocento Sans"/>
                </a:rPr>
                <a:t>Now you’ll create the PivotTable yourself so that you know how to make one when you need to summarize data.</a:t>
              </a:r>
              <a:endParaRPr sz="1400"/>
            </a:p>
          </xdr:txBody>
        </xdr:sp>
        <xdr:sp macro="" textlink="">
          <xdr:nvSpPr>
            <xdr:cNvPr id="739" name="Shape 739" descr="Click a cell inside the data on the right, and then on the Insert menu, click PivotTable">
              <a:extLst>
                <a:ext uri="{FF2B5EF4-FFF2-40B4-BE49-F238E27FC236}">
                  <a16:creationId xmlns:a16="http://schemas.microsoft.com/office/drawing/2014/main" id="{00000000-0008-0000-0900-0000E3020000}"/>
                </a:ext>
              </a:extLst>
            </xdr:cNvPr>
            <xdr:cNvSpPr txBox="1"/>
          </xdr:nvSpPr>
          <xdr:spPr>
            <a:xfrm>
              <a:off x="1029308" y="7208787"/>
              <a:ext cx="4809516" cy="507024"/>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Quattrocento Sans"/>
                  <a:ea typeface="Quattrocento Sans"/>
                  <a:cs typeface="Quattrocento Sans"/>
                  <a:sym typeface="Quattrocento Sans"/>
                </a:rPr>
                <a:t>Click a cell inside the data on the right, and then on the </a:t>
              </a:r>
              <a:r>
                <a:rPr lang="en-US" sz="1100" b="1">
                  <a:solidFill>
                    <a:schemeClr val="dk1"/>
                  </a:solidFill>
                  <a:latin typeface="Quattrocento Sans"/>
                  <a:ea typeface="Quattrocento Sans"/>
                  <a:cs typeface="Quattrocento Sans"/>
                  <a:sym typeface="Quattrocento Sans"/>
                </a:rPr>
                <a:t>Insert</a:t>
              </a:r>
              <a:r>
                <a:rPr lang="en-US" sz="1100">
                  <a:solidFill>
                    <a:schemeClr val="dk1"/>
                  </a:solidFill>
                  <a:latin typeface="Quattrocento Sans"/>
                  <a:ea typeface="Quattrocento Sans"/>
                  <a:cs typeface="Quattrocento Sans"/>
                  <a:sym typeface="Quattrocento Sans"/>
                </a:rPr>
                <a:t> menu, click </a:t>
              </a:r>
              <a:r>
                <a:rPr lang="en-US" sz="1100" b="1">
                  <a:solidFill>
                    <a:schemeClr val="dk1"/>
                  </a:solidFill>
                  <a:latin typeface="Quattrocento Sans"/>
                  <a:ea typeface="Quattrocento Sans"/>
                  <a:cs typeface="Quattrocento Sans"/>
                  <a:sym typeface="Quattrocento Sans"/>
                </a:rPr>
                <a:t>PivotTable</a:t>
              </a:r>
              <a:r>
                <a:rPr lang="en-US" sz="1100">
                  <a:solidFill>
                    <a:schemeClr val="dk1"/>
                  </a:solidFill>
                  <a:latin typeface="Quattrocento Sans"/>
                  <a:ea typeface="Quattrocento Sans"/>
                  <a:cs typeface="Quattrocento Sans"/>
                  <a:sym typeface="Quattrocento Sans"/>
                </a:rPr>
                <a:t>.</a:t>
              </a:r>
              <a:endParaRPr sz="1400"/>
            </a:p>
          </xdr:txBody>
        </xdr:sp>
        <xdr:sp macro="" textlink="">
          <xdr:nvSpPr>
            <xdr:cNvPr id="740" name="Shape 740" descr="1">
              <a:extLst>
                <a:ext uri="{FF2B5EF4-FFF2-40B4-BE49-F238E27FC236}">
                  <a16:creationId xmlns:a16="http://schemas.microsoft.com/office/drawing/2014/main" id="{00000000-0008-0000-0900-0000E4020000}"/>
                </a:ext>
              </a:extLst>
            </xdr:cNvPr>
            <xdr:cNvSpPr/>
          </xdr:nvSpPr>
          <xdr:spPr>
            <a:xfrm>
              <a:off x="622274" y="7166289"/>
              <a:ext cx="371587"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1</a:t>
              </a:r>
              <a:endParaRPr sz="1400"/>
            </a:p>
          </xdr:txBody>
        </xdr:sp>
        <xdr:sp macro="" textlink="">
          <xdr:nvSpPr>
            <xdr:cNvPr id="741" name="Shape 741" descr="In the dialog that appears, click Existing Worksheet, and then type C42 in the Location box. Click OK">
              <a:extLst>
                <a:ext uri="{FF2B5EF4-FFF2-40B4-BE49-F238E27FC236}">
                  <a16:creationId xmlns:a16="http://schemas.microsoft.com/office/drawing/2014/main" id="{00000000-0008-0000-0900-0000E5020000}"/>
                </a:ext>
              </a:extLst>
            </xdr:cNvPr>
            <xdr:cNvSpPr txBox="1"/>
          </xdr:nvSpPr>
          <xdr:spPr>
            <a:xfrm>
              <a:off x="1029308" y="7720802"/>
              <a:ext cx="4809516" cy="473226"/>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Quattrocento Sans"/>
                  <a:ea typeface="Quattrocento Sans"/>
                  <a:cs typeface="Quattrocento Sans"/>
                  <a:sym typeface="Quattrocento Sans"/>
                </a:rPr>
                <a:t>In the dialog that appears, click </a:t>
              </a:r>
              <a:r>
                <a:rPr lang="en-US" sz="1100" b="1">
                  <a:solidFill>
                    <a:schemeClr val="dk1"/>
                  </a:solidFill>
                  <a:latin typeface="Quattrocento Sans"/>
                  <a:ea typeface="Quattrocento Sans"/>
                  <a:cs typeface="Quattrocento Sans"/>
                  <a:sym typeface="Quattrocento Sans"/>
                </a:rPr>
                <a:t>Existing Worksheet</a:t>
              </a:r>
              <a:r>
                <a:rPr lang="en-US" sz="1100">
                  <a:solidFill>
                    <a:schemeClr val="dk1"/>
                  </a:solidFill>
                  <a:latin typeface="Quattrocento Sans"/>
                  <a:ea typeface="Quattrocento Sans"/>
                  <a:cs typeface="Quattrocento Sans"/>
                  <a:sym typeface="Quattrocento Sans"/>
                </a:rPr>
                <a:t>, and then type C42 in the </a:t>
              </a:r>
              <a:r>
                <a:rPr lang="en-US" sz="1100" b="1">
                  <a:solidFill>
                    <a:schemeClr val="dk1"/>
                  </a:solidFill>
                  <a:latin typeface="Quattrocento Sans"/>
                  <a:ea typeface="Quattrocento Sans"/>
                  <a:cs typeface="Quattrocento Sans"/>
                  <a:sym typeface="Quattrocento Sans"/>
                </a:rPr>
                <a:t>Location</a:t>
              </a:r>
              <a:r>
                <a:rPr lang="en-US" sz="1100">
                  <a:solidFill>
                    <a:schemeClr val="dk1"/>
                  </a:solidFill>
                  <a:latin typeface="Quattrocento Sans"/>
                  <a:ea typeface="Quattrocento Sans"/>
                  <a:cs typeface="Quattrocento Sans"/>
                  <a:sym typeface="Quattrocento Sans"/>
                </a:rPr>
                <a:t> box. Click </a:t>
              </a:r>
              <a:r>
                <a:rPr lang="en-US" sz="1100" b="1">
                  <a:solidFill>
                    <a:schemeClr val="dk1"/>
                  </a:solidFill>
                  <a:latin typeface="Quattrocento Sans"/>
                  <a:ea typeface="Quattrocento Sans"/>
                  <a:cs typeface="Quattrocento Sans"/>
                  <a:sym typeface="Quattrocento Sans"/>
                </a:rPr>
                <a:t>OK</a:t>
              </a:r>
              <a:r>
                <a:rPr lang="en-US" sz="1100">
                  <a:solidFill>
                    <a:schemeClr val="dk1"/>
                  </a:solidFill>
                  <a:latin typeface="Quattrocento Sans"/>
                  <a:ea typeface="Quattrocento Sans"/>
                  <a:cs typeface="Quattrocento Sans"/>
                  <a:sym typeface="Quattrocento Sans"/>
                </a:rPr>
                <a:t>.</a:t>
              </a:r>
              <a:endParaRPr sz="1400"/>
            </a:p>
          </xdr:txBody>
        </xdr:sp>
        <xdr:sp macro="" textlink="">
          <xdr:nvSpPr>
            <xdr:cNvPr id="742" name="Shape 742" descr="2">
              <a:extLst>
                <a:ext uri="{FF2B5EF4-FFF2-40B4-BE49-F238E27FC236}">
                  <a16:creationId xmlns:a16="http://schemas.microsoft.com/office/drawing/2014/main" id="{00000000-0008-0000-0900-0000E6020000}"/>
                </a:ext>
              </a:extLst>
            </xdr:cNvPr>
            <xdr:cNvSpPr/>
          </xdr:nvSpPr>
          <xdr:spPr>
            <a:xfrm>
              <a:off x="622274" y="7678304"/>
              <a:ext cx="371587"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2</a:t>
              </a:r>
              <a:endParaRPr sz="1400"/>
            </a:p>
          </xdr:txBody>
        </xdr:sp>
        <xdr:sp macro="" textlink="">
          <xdr:nvSpPr>
            <xdr:cNvPr id="743" name="Shape 743" descr="The PivotTable Fields pane appears on the right">
              <a:extLst>
                <a:ext uri="{FF2B5EF4-FFF2-40B4-BE49-F238E27FC236}">
                  <a16:creationId xmlns:a16="http://schemas.microsoft.com/office/drawing/2014/main" id="{00000000-0008-0000-0900-0000E7020000}"/>
                </a:ext>
              </a:extLst>
            </xdr:cNvPr>
            <xdr:cNvSpPr txBox="1"/>
          </xdr:nvSpPr>
          <xdr:spPr>
            <a:xfrm>
              <a:off x="1029308" y="8210250"/>
              <a:ext cx="4809516" cy="81356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Quattrocento Sans"/>
                  <a:ea typeface="Quattrocento Sans"/>
                  <a:cs typeface="Quattrocento Sans"/>
                  <a:sym typeface="Quattrocento Sans"/>
                </a:rPr>
                <a:t>The </a:t>
              </a:r>
              <a:r>
                <a:rPr lang="en-US" sz="1100" b="1">
                  <a:solidFill>
                    <a:schemeClr val="dk1"/>
                  </a:solidFill>
                  <a:latin typeface="Quattrocento Sans"/>
                  <a:ea typeface="Quattrocento Sans"/>
                  <a:cs typeface="Quattrocento Sans"/>
                  <a:sym typeface="Quattrocento Sans"/>
                </a:rPr>
                <a:t>PivotTable Fields </a:t>
              </a:r>
              <a:r>
                <a:rPr lang="en-US" sz="1100">
                  <a:solidFill>
                    <a:schemeClr val="dk1"/>
                  </a:solidFill>
                  <a:latin typeface="Quattrocento Sans"/>
                  <a:ea typeface="Quattrocento Sans"/>
                  <a:cs typeface="Quattrocento Sans"/>
                  <a:sym typeface="Quattrocento Sans"/>
                </a:rPr>
                <a:t>pane appears on the right.</a:t>
              </a:r>
              <a:endParaRPr sz="1100" b="1">
                <a:latin typeface="Quattrocento Sans"/>
                <a:ea typeface="Quattrocento Sans"/>
                <a:cs typeface="Quattrocento Sans"/>
                <a:sym typeface="Quattrocento Sans"/>
              </a:endParaRPr>
            </a:p>
          </xdr:txBody>
        </xdr:sp>
        <xdr:sp macro="" textlink="">
          <xdr:nvSpPr>
            <xdr:cNvPr id="744" name="Shape 744" descr="3">
              <a:extLst>
                <a:ext uri="{FF2B5EF4-FFF2-40B4-BE49-F238E27FC236}">
                  <a16:creationId xmlns:a16="http://schemas.microsoft.com/office/drawing/2014/main" id="{00000000-0008-0000-0900-0000E8020000}"/>
                </a:ext>
              </a:extLst>
            </xdr:cNvPr>
            <xdr:cNvSpPr/>
          </xdr:nvSpPr>
          <xdr:spPr>
            <a:xfrm>
              <a:off x="622274" y="8167752"/>
              <a:ext cx="371587"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3</a:t>
              </a:r>
              <a:endParaRPr sz="1400"/>
            </a:p>
          </xdr:txBody>
        </xdr:sp>
        <xdr:sp macro="" textlink="">
          <xdr:nvSpPr>
            <xdr:cNvPr id="745" name="Shape 745" descr="At the top of the pane, click the checkbox for Product. &#10;When you do that, the Product field gets added to the Rows area at the bottom of the pane. And, the product data appears as Row labels in the new PivotTable">
              <a:extLst>
                <a:ext uri="{FF2B5EF4-FFF2-40B4-BE49-F238E27FC236}">
                  <a16:creationId xmlns:a16="http://schemas.microsoft.com/office/drawing/2014/main" id="{00000000-0008-0000-0900-0000E9020000}"/>
                </a:ext>
              </a:extLst>
            </xdr:cNvPr>
            <xdr:cNvSpPr txBox="1"/>
          </xdr:nvSpPr>
          <xdr:spPr>
            <a:xfrm>
              <a:off x="1029308" y="8700056"/>
              <a:ext cx="4809516" cy="909451"/>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rgbClr val="3F3F3F"/>
                  </a:solidFill>
                  <a:latin typeface="Quattrocento Sans"/>
                  <a:ea typeface="Quattrocento Sans"/>
                  <a:cs typeface="Quattrocento Sans"/>
                  <a:sym typeface="Quattrocento Sans"/>
                </a:rPr>
                <a:t>At the top of the pane, click the checkbox for </a:t>
              </a:r>
              <a:r>
                <a:rPr lang="en-US" sz="1100" b="1">
                  <a:solidFill>
                    <a:srgbClr val="3F3F3F"/>
                  </a:solidFill>
                  <a:latin typeface="Quattrocento Sans"/>
                  <a:ea typeface="Quattrocento Sans"/>
                  <a:cs typeface="Quattrocento Sans"/>
                  <a:sym typeface="Quattrocento Sans"/>
                </a:rPr>
                <a:t>Product</a:t>
              </a:r>
              <a:r>
                <a:rPr lang="en-US" sz="1100">
                  <a:solidFill>
                    <a:srgbClr val="3F3F3F"/>
                  </a:solidFill>
                  <a:latin typeface="Quattrocento Sans"/>
                  <a:ea typeface="Quattrocento Sans"/>
                  <a:cs typeface="Quattrocento Sans"/>
                  <a:sym typeface="Quattrocento Sans"/>
                </a:rPr>
                <a:t>. </a:t>
              </a:r>
              <a:br>
                <a:rPr lang="en-US" sz="1100">
                  <a:solidFill>
                    <a:srgbClr val="3F3F3F"/>
                  </a:solidFill>
                  <a:latin typeface="Quattrocento Sans"/>
                  <a:ea typeface="Quattrocento Sans"/>
                  <a:cs typeface="Quattrocento Sans"/>
                  <a:sym typeface="Quattrocento Sans"/>
                </a:rPr>
              </a:br>
              <a:br>
                <a:rPr lang="en-US" sz="1100">
                  <a:solidFill>
                    <a:srgbClr val="3F3F3F"/>
                  </a:solidFill>
                  <a:latin typeface="Quattrocento Sans"/>
                  <a:ea typeface="Quattrocento Sans"/>
                  <a:cs typeface="Quattrocento Sans"/>
                  <a:sym typeface="Quattrocento Sans"/>
                </a:rPr>
              </a:br>
              <a:r>
                <a:rPr lang="en-US" sz="1100">
                  <a:solidFill>
                    <a:srgbClr val="3F3F3F"/>
                  </a:solidFill>
                  <a:latin typeface="Quattrocento Sans"/>
                  <a:ea typeface="Quattrocento Sans"/>
                  <a:cs typeface="Quattrocento Sans"/>
                  <a:sym typeface="Quattrocento Sans"/>
                </a:rPr>
                <a:t>When you do that, the Product field gets added to the Rows area at the bottom of the pane. And, the product data appears as </a:t>
              </a:r>
              <a:r>
                <a:rPr lang="en-US" sz="1100" b="1">
                  <a:solidFill>
                    <a:srgbClr val="3F3F3F"/>
                  </a:solidFill>
                  <a:latin typeface="Quattrocento Sans"/>
                  <a:ea typeface="Quattrocento Sans"/>
                  <a:cs typeface="Quattrocento Sans"/>
                  <a:sym typeface="Quattrocento Sans"/>
                </a:rPr>
                <a:t>Row labels </a:t>
              </a:r>
              <a:r>
                <a:rPr lang="en-US" sz="1100">
                  <a:solidFill>
                    <a:srgbClr val="3F3F3F"/>
                  </a:solidFill>
                  <a:latin typeface="Quattrocento Sans"/>
                  <a:ea typeface="Quattrocento Sans"/>
                  <a:cs typeface="Quattrocento Sans"/>
                  <a:sym typeface="Quattrocento Sans"/>
                </a:rPr>
                <a:t>in the new PivotTable.</a:t>
              </a:r>
              <a:endParaRPr sz="1400"/>
            </a:p>
          </xdr:txBody>
        </xdr:sp>
        <xdr:sp macro="" textlink="">
          <xdr:nvSpPr>
            <xdr:cNvPr id="746" name="Shape 746" descr="4">
              <a:extLst>
                <a:ext uri="{FF2B5EF4-FFF2-40B4-BE49-F238E27FC236}">
                  <a16:creationId xmlns:a16="http://schemas.microsoft.com/office/drawing/2014/main" id="{00000000-0008-0000-0900-0000EA020000}"/>
                </a:ext>
              </a:extLst>
            </xdr:cNvPr>
            <xdr:cNvSpPr/>
          </xdr:nvSpPr>
          <xdr:spPr>
            <a:xfrm>
              <a:off x="622274" y="8657558"/>
              <a:ext cx="371587"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4</a:t>
              </a:r>
              <a:endParaRPr sz="1400"/>
            </a:p>
          </xdr:txBody>
        </xdr:sp>
        <xdr:sp macro="" textlink="">
          <xdr:nvSpPr>
            <xdr:cNvPr id="747" name="Shape 747" descr="At the top of the pane, click the checkbox for Amount.&#10;When you do that, the Amount field will get added to the Values area at the bottom of the pane. And, at the same time the amounts are totaled for each product in the PivotTable">
              <a:extLst>
                <a:ext uri="{FF2B5EF4-FFF2-40B4-BE49-F238E27FC236}">
                  <a16:creationId xmlns:a16="http://schemas.microsoft.com/office/drawing/2014/main" id="{00000000-0008-0000-0900-0000EB020000}"/>
                </a:ext>
              </a:extLst>
            </xdr:cNvPr>
            <xdr:cNvSpPr txBox="1"/>
          </xdr:nvSpPr>
          <xdr:spPr>
            <a:xfrm>
              <a:off x="1029308" y="9703695"/>
              <a:ext cx="4809516" cy="993933"/>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rgbClr val="3F3F3F"/>
                  </a:solidFill>
                  <a:latin typeface="Quattrocento Sans"/>
                  <a:ea typeface="Quattrocento Sans"/>
                  <a:cs typeface="Quattrocento Sans"/>
                  <a:sym typeface="Quattrocento Sans"/>
                </a:rPr>
                <a:t>At the top of the pane, click the checkbox for </a:t>
              </a:r>
              <a:r>
                <a:rPr lang="en-US" sz="1100" b="1">
                  <a:solidFill>
                    <a:srgbClr val="3F3F3F"/>
                  </a:solidFill>
                  <a:latin typeface="Quattrocento Sans"/>
                  <a:ea typeface="Quattrocento Sans"/>
                  <a:cs typeface="Quattrocento Sans"/>
                  <a:sym typeface="Quattrocento Sans"/>
                </a:rPr>
                <a:t>Amount</a:t>
              </a:r>
              <a:r>
                <a:rPr lang="en-US" sz="1100">
                  <a:solidFill>
                    <a:srgbClr val="3F3F3F"/>
                  </a:solidFill>
                  <a:latin typeface="Quattrocento Sans"/>
                  <a:ea typeface="Quattrocento Sans"/>
                  <a:cs typeface="Quattrocento Sans"/>
                  <a:sym typeface="Quattrocento Sans"/>
                </a:rPr>
                <a:t>. </a:t>
              </a:r>
              <a:br>
                <a:rPr lang="en-US" sz="1100">
                  <a:solidFill>
                    <a:srgbClr val="3F3F3F"/>
                  </a:solidFill>
                  <a:latin typeface="Quattrocento Sans"/>
                  <a:ea typeface="Quattrocento Sans"/>
                  <a:cs typeface="Quattrocento Sans"/>
                  <a:sym typeface="Quattrocento Sans"/>
                </a:rPr>
              </a:br>
              <a:br>
                <a:rPr lang="en-US" sz="1100">
                  <a:solidFill>
                    <a:srgbClr val="3F3F3F"/>
                  </a:solidFill>
                  <a:latin typeface="Quattrocento Sans"/>
                  <a:ea typeface="Quattrocento Sans"/>
                  <a:cs typeface="Quattrocento Sans"/>
                  <a:sym typeface="Quattrocento Sans"/>
                </a:rPr>
              </a:br>
              <a:r>
                <a:rPr lang="en-US" sz="1100">
                  <a:solidFill>
                    <a:srgbClr val="3F3F3F"/>
                  </a:solidFill>
                  <a:latin typeface="Quattrocento Sans"/>
                  <a:ea typeface="Quattrocento Sans"/>
                  <a:cs typeface="Quattrocento Sans"/>
                  <a:sym typeface="Quattrocento Sans"/>
                </a:rPr>
                <a:t>When you do that, the Amount field will get added to the Values area at the bottom of the pane. And, at the same time the amounts are totaled for each product in the PivotTable.</a:t>
              </a:r>
              <a:endParaRPr sz="1400"/>
            </a:p>
          </xdr:txBody>
        </xdr:sp>
        <xdr:sp macro="" textlink="">
          <xdr:nvSpPr>
            <xdr:cNvPr id="748" name="Shape 748" descr="5">
              <a:extLst>
                <a:ext uri="{FF2B5EF4-FFF2-40B4-BE49-F238E27FC236}">
                  <a16:creationId xmlns:a16="http://schemas.microsoft.com/office/drawing/2014/main" id="{00000000-0008-0000-0900-0000EC020000}"/>
                </a:ext>
              </a:extLst>
            </xdr:cNvPr>
            <xdr:cNvSpPr/>
          </xdr:nvSpPr>
          <xdr:spPr>
            <a:xfrm>
              <a:off x="622274" y="9661197"/>
              <a:ext cx="371587"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5</a:t>
              </a:r>
              <a:endParaRPr sz="1400"/>
            </a:p>
          </xdr:txBody>
        </xdr:sp>
        <xdr:sp macro="" textlink="">
          <xdr:nvSpPr>
            <xdr:cNvPr id="749" name="Shape 749" descr="Congratulations, you made a PivotTable. But there is a lot more you can do. So click the link at the bottom of this sheet if you want to learn more">
              <a:extLst>
                <a:ext uri="{FF2B5EF4-FFF2-40B4-BE49-F238E27FC236}">
                  <a16:creationId xmlns:a16="http://schemas.microsoft.com/office/drawing/2014/main" id="{00000000-0008-0000-0900-0000ED020000}"/>
                </a:ext>
              </a:extLst>
            </xdr:cNvPr>
            <xdr:cNvSpPr txBox="1"/>
          </xdr:nvSpPr>
          <xdr:spPr>
            <a:xfrm>
              <a:off x="1029308" y="10708984"/>
              <a:ext cx="4809516" cy="494991"/>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rgbClr val="3F3F3F"/>
                  </a:solidFill>
                  <a:latin typeface="Quattrocento Sans"/>
                  <a:ea typeface="Quattrocento Sans"/>
                  <a:cs typeface="Quattrocento Sans"/>
                  <a:sym typeface="Quattrocento Sans"/>
                </a:rPr>
                <a:t>Congratulations, you made a PivotTable. But there is a lot more you can do. So click the link at the bottom of this sheet if you want to learn more.</a:t>
              </a:r>
              <a:endParaRPr sz="1400"/>
            </a:p>
          </xdr:txBody>
        </xdr:sp>
        <xdr:sp macro="" textlink="">
          <xdr:nvSpPr>
            <xdr:cNvPr id="750" name="Shape 750" descr="6">
              <a:extLst>
                <a:ext uri="{FF2B5EF4-FFF2-40B4-BE49-F238E27FC236}">
                  <a16:creationId xmlns:a16="http://schemas.microsoft.com/office/drawing/2014/main" id="{00000000-0008-0000-0900-0000EE020000}"/>
                </a:ext>
              </a:extLst>
            </xdr:cNvPr>
            <xdr:cNvSpPr/>
          </xdr:nvSpPr>
          <xdr:spPr>
            <a:xfrm>
              <a:off x="622274" y="10666486"/>
              <a:ext cx="371587" cy="371587"/>
            </a:xfrm>
            <a:prstGeom prst="ellipse">
              <a:avLst/>
            </a:prstGeom>
            <a:solidFill>
              <a:srgbClr val="217346"/>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Quattrocento Sans"/>
                  <a:ea typeface="Quattrocento Sans"/>
                  <a:cs typeface="Quattrocento Sans"/>
                  <a:sym typeface="Quattrocento Sans"/>
                </a:rPr>
                <a:t>6</a:t>
              </a:r>
              <a:endParaRPr sz="1400"/>
            </a:p>
          </xdr:txBody>
        </xdr:sp>
        <xdr:pic>
          <xdr:nvPicPr>
            <xdr:cNvPr id="751" name="Shape 751" descr="Product checkbox">
              <a:extLst>
                <a:ext uri="{FF2B5EF4-FFF2-40B4-BE49-F238E27FC236}">
                  <a16:creationId xmlns:a16="http://schemas.microsoft.com/office/drawing/2014/main" id="{00000000-0008-0000-0900-0000EF020000}"/>
                </a:ext>
              </a:extLst>
            </xdr:cNvPr>
            <xdr:cNvPicPr preferRelativeResize="0"/>
          </xdr:nvPicPr>
          <xdr:blipFill rotWithShape="1">
            <a:blip xmlns:r="http://schemas.openxmlformats.org/officeDocument/2006/relationships" r:embed="rId2">
              <a:alphaModFix/>
            </a:blip>
            <a:srcRect l="32297" t="41953" r="34689" b="37356"/>
            <a:stretch/>
          </xdr:blipFill>
          <xdr:spPr>
            <a:xfrm>
              <a:off x="4586287" y="8747096"/>
              <a:ext cx="657225" cy="171450"/>
            </a:xfrm>
            <a:prstGeom prst="rect">
              <a:avLst/>
            </a:prstGeom>
            <a:noFill/>
            <a:ln>
              <a:noFill/>
            </a:ln>
          </xdr:spPr>
        </xdr:pic>
        <xdr:pic>
          <xdr:nvPicPr>
            <xdr:cNvPr id="752" name="Shape 752" descr="Amount checkbox">
              <a:extLst>
                <a:ext uri="{FF2B5EF4-FFF2-40B4-BE49-F238E27FC236}">
                  <a16:creationId xmlns:a16="http://schemas.microsoft.com/office/drawing/2014/main" id="{00000000-0008-0000-0900-0000F0020000}"/>
                </a:ext>
              </a:extLst>
            </xdr:cNvPr>
            <xdr:cNvPicPr preferRelativeResize="0"/>
          </xdr:nvPicPr>
          <xdr:blipFill rotWithShape="1">
            <a:blip xmlns:r="http://schemas.openxmlformats.org/officeDocument/2006/relationships" r:embed="rId2">
              <a:alphaModFix/>
            </a:blip>
            <a:srcRect l="32297" t="63848" r="34689" b="15461"/>
            <a:stretch/>
          </xdr:blipFill>
          <xdr:spPr>
            <a:xfrm>
              <a:off x="4586287" y="9746266"/>
              <a:ext cx="657225" cy="171450"/>
            </a:xfrm>
            <a:prstGeom prst="rect">
              <a:avLst/>
            </a:prstGeom>
            <a:noFill/>
            <a:ln>
              <a:noFill/>
            </a:ln>
          </xdr:spPr>
        </xdr:pic>
      </xdr:grpSp>
    </xdr:grpSp>
    <xdr:clientData fLocksWithSheet="0"/>
  </xdr:oneCellAnchor>
  <xdr:oneCellAnchor>
    <xdr:from>
      <xdr:col>0</xdr:col>
      <xdr:colOff>390525</xdr:colOff>
      <xdr:row>56</xdr:row>
      <xdr:rowOff>161925</xdr:rowOff>
    </xdr:from>
    <xdr:ext cx="5695950" cy="3076575"/>
    <xdr:grpSp>
      <xdr:nvGrpSpPr>
        <xdr:cNvPr id="6" name="Shape 2">
          <a:extLst>
            <a:ext uri="{FF2B5EF4-FFF2-40B4-BE49-F238E27FC236}">
              <a16:creationId xmlns:a16="http://schemas.microsoft.com/office/drawing/2014/main" id="{00000000-0008-0000-0900-000006000000}"/>
            </a:ext>
          </a:extLst>
        </xdr:cNvPr>
        <xdr:cNvGrpSpPr/>
      </xdr:nvGrpSpPr>
      <xdr:grpSpPr>
        <a:xfrm>
          <a:off x="390525" y="11401425"/>
          <a:ext cx="5695950" cy="3076575"/>
          <a:chOff x="2498025" y="2241713"/>
          <a:chExt cx="5695950" cy="3076575"/>
        </a:xfrm>
      </xdr:grpSpPr>
      <xdr:grpSp>
        <xdr:nvGrpSpPr>
          <xdr:cNvPr id="753" name="Shape 753" descr="More information on the web, contains links to the web&#10;Back to top&#10;Next step">
            <a:extLst>
              <a:ext uri="{FF2B5EF4-FFF2-40B4-BE49-F238E27FC236}">
                <a16:creationId xmlns:a16="http://schemas.microsoft.com/office/drawing/2014/main" id="{00000000-0008-0000-0900-0000F1020000}"/>
              </a:ext>
            </a:extLst>
          </xdr:cNvPr>
          <xdr:cNvGrpSpPr/>
        </xdr:nvGrpSpPr>
        <xdr:grpSpPr>
          <a:xfrm>
            <a:off x="2498025" y="2241713"/>
            <a:ext cx="5695950" cy="3076575"/>
            <a:chOff x="0" y="1"/>
            <a:chExt cx="5695950" cy="3005750"/>
          </a:xfrm>
        </xdr:grpSpPr>
        <xdr:sp macro="" textlink="">
          <xdr:nvSpPr>
            <xdr:cNvPr id="7" name="Shape 4">
              <a:extLst>
                <a:ext uri="{FF2B5EF4-FFF2-40B4-BE49-F238E27FC236}">
                  <a16:creationId xmlns:a16="http://schemas.microsoft.com/office/drawing/2014/main" id="{00000000-0008-0000-0900-000007000000}"/>
                </a:ext>
              </a:extLst>
            </xdr:cNvPr>
            <xdr:cNvSpPr/>
          </xdr:nvSpPr>
          <xdr:spPr>
            <a:xfrm>
              <a:off x="0" y="1"/>
              <a:ext cx="5695950" cy="30057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754" name="Shape 754" descr="Background">
              <a:extLst>
                <a:ext uri="{FF2B5EF4-FFF2-40B4-BE49-F238E27FC236}">
                  <a16:creationId xmlns:a16="http://schemas.microsoft.com/office/drawing/2014/main" id="{00000000-0008-0000-0900-0000F2020000}"/>
                </a:ext>
              </a:extLst>
            </xdr:cNvPr>
            <xdr:cNvSpPr/>
          </xdr:nvSpPr>
          <xdr:spPr>
            <a:xfrm>
              <a:off x="0" y="1"/>
              <a:ext cx="5695950" cy="3005750"/>
            </a:xfrm>
            <a:prstGeom prst="rect">
              <a:avLst/>
            </a:prstGeom>
            <a:solidFill>
              <a:srgbClr val="F5F5F5"/>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755" name="Shape 755" descr="More information on the web">
              <a:extLst>
                <a:ext uri="{FF2B5EF4-FFF2-40B4-BE49-F238E27FC236}">
                  <a16:creationId xmlns:a16="http://schemas.microsoft.com/office/drawing/2014/main" id="{00000000-0008-0000-0900-0000F3020000}"/>
                </a:ext>
              </a:extLst>
            </xdr:cNvPr>
            <xdr:cNvSpPr txBox="1"/>
          </xdr:nvSpPr>
          <xdr:spPr>
            <a:xfrm>
              <a:off x="231748" y="118698"/>
              <a:ext cx="5216551" cy="490903"/>
            </a:xfrm>
            <a:prstGeom prst="rect">
              <a:avLst/>
            </a:prstGeom>
            <a:noFill/>
            <a:ln>
              <a:noFill/>
            </a:ln>
          </xdr:spPr>
          <xdr:txBody>
            <a:bodyPr spcFirstLastPara="1" wrap="square" lIns="0" tIns="45700" rIns="0" bIns="45700" anchor="t" anchorCtr="0">
              <a:noAutofit/>
            </a:bodyPr>
            <a:lstStyle/>
            <a:p>
              <a:pPr marL="0" marR="0" lvl="0" indent="0" algn="l" rtl="0">
                <a:lnSpc>
                  <a:spcPct val="100000"/>
                </a:lnSpc>
                <a:spcBef>
                  <a:spcPts val="0"/>
                </a:spcBef>
                <a:spcAft>
                  <a:spcPts val="0"/>
                </a:spcAft>
                <a:buClr>
                  <a:srgbClr val="3A3838"/>
                </a:buClr>
                <a:buSzPts val="2200"/>
                <a:buFont typeface="Quattrocento Sans"/>
                <a:buNone/>
              </a:pPr>
              <a:r>
                <a:rPr lang="en-US" sz="2200" b="0" i="0" u="none" strike="noStrike" cap="none">
                  <a:solidFill>
                    <a:srgbClr val="3A3838"/>
                  </a:solidFill>
                  <a:latin typeface="Quattrocento Sans"/>
                  <a:ea typeface="Quattrocento Sans"/>
                  <a:cs typeface="Quattrocento Sans"/>
                  <a:sym typeface="Quattrocento Sans"/>
                </a:rPr>
                <a:t>More information on the web</a:t>
              </a:r>
              <a:endParaRPr sz="2200" b="0">
                <a:solidFill>
                  <a:srgbClr val="3A3838"/>
                </a:solidFill>
                <a:latin typeface="Quattrocento Sans"/>
                <a:ea typeface="Quattrocento Sans"/>
                <a:cs typeface="Quattrocento Sans"/>
                <a:sym typeface="Quattrocento Sans"/>
              </a:endParaRPr>
            </a:p>
          </xdr:txBody>
        </xdr:sp>
        <xdr:cxnSp macro="">
          <xdr:nvCxnSpPr>
            <xdr:cNvPr id="756" name="Shape 756" descr="Decorative line">
              <a:extLst>
                <a:ext uri="{FF2B5EF4-FFF2-40B4-BE49-F238E27FC236}">
                  <a16:creationId xmlns:a16="http://schemas.microsoft.com/office/drawing/2014/main" id="{00000000-0008-0000-0900-0000F4020000}"/>
                </a:ext>
              </a:extLst>
            </xdr:cNvPr>
            <xdr:cNvCxnSpPr/>
          </xdr:nvCxnSpPr>
          <xdr:spPr>
            <a:xfrm>
              <a:off x="234924" y="626111"/>
              <a:ext cx="5213376" cy="0"/>
            </a:xfrm>
            <a:prstGeom prst="straightConnector1">
              <a:avLst/>
            </a:prstGeom>
            <a:noFill/>
            <a:ln w="25400" cap="flat" cmpd="sng">
              <a:solidFill>
                <a:srgbClr val="217346"/>
              </a:solidFill>
              <a:prstDash val="solid"/>
              <a:round/>
              <a:headEnd type="none" w="sm" len="sm"/>
              <a:tailEnd type="none" w="sm" len="sm"/>
            </a:ln>
          </xdr:spPr>
        </xdr:cxnSp>
        <xdr:sp macro="" textlink="">
          <xdr:nvSpPr>
            <xdr:cNvPr id="757" name="Shape 757" descr="Back to top, hyperlinked to cell A1">
              <a:hlinkClick xmlns:r="http://schemas.openxmlformats.org/officeDocument/2006/relationships" r:id="rId3"/>
              <a:extLst>
                <a:ext uri="{FF2B5EF4-FFF2-40B4-BE49-F238E27FC236}">
                  <a16:creationId xmlns:a16="http://schemas.microsoft.com/office/drawing/2014/main" id="{00000000-0008-0000-0900-0000F5020000}"/>
                </a:ext>
              </a:extLst>
            </xdr:cNvPr>
            <xdr:cNvSpPr/>
          </xdr:nvSpPr>
          <xdr:spPr>
            <a:xfrm>
              <a:off x="234924" y="2170102"/>
              <a:ext cx="2723067" cy="536454"/>
            </a:xfrm>
            <a:prstGeom prst="upArrowCallout">
              <a:avLst>
                <a:gd name="adj1" fmla="val 25000"/>
                <a:gd name="adj2" fmla="val 25000"/>
                <a:gd name="adj3" fmla="val 25000"/>
                <a:gd name="adj4" fmla="val 64977"/>
              </a:avLst>
            </a:prstGeom>
            <a:solidFill>
              <a:srgbClr val="D8D8D8"/>
            </a:solidFill>
            <a:ln w="12700" cap="flat" cmpd="sng">
              <a:solidFill>
                <a:srgbClr val="0B744D">
                  <a:alpha val="49803"/>
                </a:srgb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a:solidFill>
                    <a:srgbClr val="0B744D"/>
                  </a:solidFill>
                  <a:latin typeface="Quattrocento Sans"/>
                  <a:ea typeface="Quattrocento Sans"/>
                  <a:cs typeface="Quattrocento Sans"/>
                  <a:sym typeface="Quattrocento Sans"/>
                </a:rPr>
                <a:t>Back to top</a:t>
              </a:r>
              <a:endParaRPr sz="1400"/>
            </a:p>
          </xdr:txBody>
        </xdr:sp>
        <xdr:cxnSp macro="">
          <xdr:nvCxnSpPr>
            <xdr:cNvPr id="758" name="Shape 758" descr="Decorative line">
              <a:extLst>
                <a:ext uri="{FF2B5EF4-FFF2-40B4-BE49-F238E27FC236}">
                  <a16:creationId xmlns:a16="http://schemas.microsoft.com/office/drawing/2014/main" id="{00000000-0008-0000-0900-0000F6020000}"/>
                </a:ext>
              </a:extLst>
            </xdr:cNvPr>
            <xdr:cNvCxnSpPr/>
          </xdr:nvCxnSpPr>
          <xdr:spPr>
            <a:xfrm>
              <a:off x="234924" y="1924751"/>
              <a:ext cx="5213376" cy="0"/>
            </a:xfrm>
            <a:prstGeom prst="straightConnector1">
              <a:avLst/>
            </a:prstGeom>
            <a:noFill/>
            <a:ln w="25400" cap="flat" cmpd="sng">
              <a:solidFill>
                <a:srgbClr val="217346"/>
              </a:solidFill>
              <a:prstDash val="solid"/>
              <a:round/>
              <a:headEnd type="none" w="sm" len="sm"/>
              <a:tailEnd type="none" w="sm" len="sm"/>
            </a:ln>
          </xdr:spPr>
        </xdr:cxnSp>
        <xdr:sp macro="" textlink="">
          <xdr:nvSpPr>
            <xdr:cNvPr id="759" name="Shape 759" descr="Next step button, hyperlinked to next sheet">
              <a:hlinkClick xmlns:r="http://schemas.openxmlformats.org/officeDocument/2006/relationships" r:id="rId1"/>
              <a:extLst>
                <a:ext uri="{FF2B5EF4-FFF2-40B4-BE49-F238E27FC236}">
                  <a16:creationId xmlns:a16="http://schemas.microsoft.com/office/drawing/2014/main" id="{00000000-0008-0000-0900-0000F7020000}"/>
                </a:ext>
              </a:extLst>
            </xdr:cNvPr>
            <xdr:cNvSpPr/>
          </xdr:nvSpPr>
          <xdr:spPr>
            <a:xfrm>
              <a:off x="4293870" y="2360603"/>
              <a:ext cx="1154430" cy="348492"/>
            </a:xfrm>
            <a:prstGeom prst="rightArrowCallout">
              <a:avLst>
                <a:gd name="adj1" fmla="val 32829"/>
                <a:gd name="adj2" fmla="val 31524"/>
                <a:gd name="adj3" fmla="val 25000"/>
                <a:gd name="adj4" fmla="val 86357"/>
              </a:avLst>
            </a:prstGeom>
            <a:solidFill>
              <a:schemeClr val="lt1"/>
            </a:solidFill>
            <a:ln w="12700" cap="flat" cmpd="sng">
              <a:solidFill>
                <a:srgbClr val="0B744D"/>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a:solidFill>
                    <a:srgbClr val="0B744D"/>
                  </a:solidFill>
                  <a:latin typeface="Quattrocento Sans"/>
                  <a:ea typeface="Quattrocento Sans"/>
                  <a:cs typeface="Quattrocento Sans"/>
                  <a:sym typeface="Quattrocento Sans"/>
                </a:rPr>
                <a:t>Next step</a:t>
              </a:r>
              <a:endParaRPr sz="1400"/>
            </a:p>
          </xdr:txBody>
        </xdr:sp>
        <xdr:sp macro="" textlink="">
          <xdr:nvSpPr>
            <xdr:cNvPr id="760" name="Shape 760" descr="Create a PivotTable to analyze worksheet data, hyperlinked to web">
              <a:hlinkClick xmlns:r="http://schemas.openxmlformats.org/officeDocument/2006/relationships" r:id="rId4"/>
              <a:extLst>
                <a:ext uri="{FF2B5EF4-FFF2-40B4-BE49-F238E27FC236}">
                  <a16:creationId xmlns:a16="http://schemas.microsoft.com/office/drawing/2014/main" id="{00000000-0008-0000-0900-0000F8020000}"/>
                </a:ext>
              </a:extLst>
            </xdr:cNvPr>
            <xdr:cNvSpPr txBox="1"/>
          </xdr:nvSpPr>
          <xdr:spPr>
            <a:xfrm>
              <a:off x="638783" y="794849"/>
              <a:ext cx="3024351" cy="310052"/>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u="sng">
                  <a:solidFill>
                    <a:srgbClr val="3F3F3F"/>
                  </a:solidFill>
                  <a:latin typeface="Quattrocento Sans"/>
                  <a:ea typeface="Quattrocento Sans"/>
                  <a:cs typeface="Quattrocento Sans"/>
                  <a:sym typeface="Quattrocento Sans"/>
                </a:rPr>
                <a:t>Create a PivotTable to analyze worksheet data</a:t>
              </a:r>
              <a:endParaRPr sz="1400"/>
            </a:p>
          </xdr:txBody>
        </xdr:sp>
        <xdr:pic>
          <xdr:nvPicPr>
            <xdr:cNvPr id="761" name="Shape 761" descr="Arrow">
              <a:hlinkClick xmlns:r="http://schemas.openxmlformats.org/officeDocument/2006/relationships" r:id="rId4"/>
              <a:extLst>
                <a:ext uri="{FF2B5EF4-FFF2-40B4-BE49-F238E27FC236}">
                  <a16:creationId xmlns:a16="http://schemas.microsoft.com/office/drawing/2014/main" id="{00000000-0008-0000-0900-0000F9020000}"/>
                </a:ext>
              </a:extLst>
            </xdr:cNvPr>
            <xdr:cNvPicPr preferRelativeResize="0"/>
          </xdr:nvPicPr>
          <xdr:blipFill rotWithShape="1">
            <a:blip xmlns:r="http://schemas.openxmlformats.org/officeDocument/2006/relationships" r:embed="rId5">
              <a:alphaModFix/>
            </a:blip>
            <a:srcRect/>
            <a:stretch/>
          </xdr:blipFill>
          <xdr:spPr>
            <a:xfrm>
              <a:off x="211503" y="699572"/>
              <a:ext cx="454554" cy="448472"/>
            </a:xfrm>
            <a:prstGeom prst="rect">
              <a:avLst/>
            </a:prstGeom>
            <a:noFill/>
            <a:ln>
              <a:noFill/>
            </a:ln>
          </xdr:spPr>
        </xdr:pic>
        <xdr:sp macro="" textlink="">
          <xdr:nvSpPr>
            <xdr:cNvPr id="762" name="Shape 762" descr="Use the Field List to arrange fields in a PivotTable, hyperlinked to web">
              <a:hlinkClick xmlns:r="http://schemas.openxmlformats.org/officeDocument/2006/relationships" r:id="rId6"/>
              <a:extLst>
                <a:ext uri="{FF2B5EF4-FFF2-40B4-BE49-F238E27FC236}">
                  <a16:creationId xmlns:a16="http://schemas.microsoft.com/office/drawing/2014/main" id="{00000000-0008-0000-0900-0000FA020000}"/>
                </a:ext>
              </a:extLst>
            </xdr:cNvPr>
            <xdr:cNvSpPr txBox="1"/>
          </xdr:nvSpPr>
          <xdr:spPr>
            <a:xfrm>
              <a:off x="638783" y="1259456"/>
              <a:ext cx="3224376" cy="290453"/>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u="sng">
                  <a:solidFill>
                    <a:srgbClr val="3F3F3F"/>
                  </a:solidFill>
                  <a:latin typeface="Quattrocento Sans"/>
                  <a:ea typeface="Quattrocento Sans"/>
                  <a:cs typeface="Quattrocento Sans"/>
                  <a:sym typeface="Quattrocento Sans"/>
                </a:rPr>
                <a:t>Use the Field List to arrange fields in a PivotTable</a:t>
              </a:r>
              <a:endParaRPr sz="1400"/>
            </a:p>
          </xdr:txBody>
        </xdr:sp>
        <xdr:pic>
          <xdr:nvPicPr>
            <xdr:cNvPr id="763" name="Shape 763" descr="Arrow">
              <a:hlinkClick xmlns:r="http://schemas.openxmlformats.org/officeDocument/2006/relationships" r:id="rId6"/>
              <a:extLst>
                <a:ext uri="{FF2B5EF4-FFF2-40B4-BE49-F238E27FC236}">
                  <a16:creationId xmlns:a16="http://schemas.microsoft.com/office/drawing/2014/main" id="{00000000-0008-0000-0900-0000FB020000}"/>
                </a:ext>
              </a:extLst>
            </xdr:cNvPr>
            <xdr:cNvPicPr preferRelativeResize="0"/>
          </xdr:nvPicPr>
          <xdr:blipFill rotWithShape="1">
            <a:blip xmlns:r="http://schemas.openxmlformats.org/officeDocument/2006/relationships" r:embed="rId5">
              <a:alphaModFix/>
            </a:blip>
            <a:srcRect/>
            <a:stretch/>
          </xdr:blipFill>
          <xdr:spPr>
            <a:xfrm>
              <a:off x="211503" y="1157426"/>
              <a:ext cx="454554" cy="448472"/>
            </a:xfrm>
            <a:prstGeom prst="rect">
              <a:avLst/>
            </a:prstGeom>
            <a:noFill/>
            <a:ln>
              <a:noFill/>
            </a:ln>
          </xdr:spPr>
        </xdr:pic>
      </xdr:grpSp>
    </xdr:grpSp>
    <xdr:clientData fLocksWithSheet="0"/>
  </xdr:oneCellAnchor>
  <xdr:oneCellAnchor>
    <xdr:from>
      <xdr:col>2</xdr:col>
      <xdr:colOff>276225</xdr:colOff>
      <xdr:row>9</xdr:row>
      <xdr:rowOff>161925</xdr:rowOff>
    </xdr:from>
    <xdr:ext cx="1400175" cy="676275"/>
    <xdr:grpSp>
      <xdr:nvGrpSpPr>
        <xdr:cNvPr id="8" name="Shape 2">
          <a:extLst>
            <a:ext uri="{FF2B5EF4-FFF2-40B4-BE49-F238E27FC236}">
              <a16:creationId xmlns:a16="http://schemas.microsoft.com/office/drawing/2014/main" id="{00000000-0008-0000-0900-000008000000}"/>
            </a:ext>
          </a:extLst>
        </xdr:cNvPr>
        <xdr:cNvGrpSpPr/>
      </xdr:nvGrpSpPr>
      <xdr:grpSpPr>
        <a:xfrm>
          <a:off x="6648450" y="2447925"/>
          <a:ext cx="1400175" cy="676275"/>
          <a:chOff x="4645913" y="3369842"/>
          <a:chExt cx="1436337" cy="820316"/>
        </a:xfrm>
      </xdr:grpSpPr>
      <xdr:grpSp>
        <xdr:nvGrpSpPr>
          <xdr:cNvPr id="764" name="Shape 764" descr="Arrow pointing towards Pivot Table">
            <a:extLst>
              <a:ext uri="{FF2B5EF4-FFF2-40B4-BE49-F238E27FC236}">
                <a16:creationId xmlns:a16="http://schemas.microsoft.com/office/drawing/2014/main" id="{00000000-0008-0000-0900-0000FC020000}"/>
              </a:ext>
            </a:extLst>
          </xdr:cNvPr>
          <xdr:cNvGrpSpPr/>
        </xdr:nvGrpSpPr>
        <xdr:grpSpPr>
          <a:xfrm>
            <a:off x="4645913" y="3369842"/>
            <a:ext cx="1436337" cy="820316"/>
            <a:chOff x="6810375" y="2513649"/>
            <a:chExt cx="1441273" cy="811728"/>
          </a:xfrm>
        </xdr:grpSpPr>
        <xdr:sp macro="" textlink="">
          <xdr:nvSpPr>
            <xdr:cNvPr id="9" name="Shape 4">
              <a:extLst>
                <a:ext uri="{FF2B5EF4-FFF2-40B4-BE49-F238E27FC236}">
                  <a16:creationId xmlns:a16="http://schemas.microsoft.com/office/drawing/2014/main" id="{00000000-0008-0000-0900-000009000000}"/>
                </a:ext>
              </a:extLst>
            </xdr:cNvPr>
            <xdr:cNvSpPr/>
          </xdr:nvSpPr>
          <xdr:spPr>
            <a:xfrm>
              <a:off x="6810375" y="2584916"/>
              <a:ext cx="1404975" cy="669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765" name="Shape 765" descr="Arrow">
              <a:extLst>
                <a:ext uri="{FF2B5EF4-FFF2-40B4-BE49-F238E27FC236}">
                  <a16:creationId xmlns:a16="http://schemas.microsoft.com/office/drawing/2014/main" id="{00000000-0008-0000-0900-0000FD020000}"/>
                </a:ext>
              </a:extLst>
            </xdr:cNvPr>
            <xdr:cNvSpPr/>
          </xdr:nvSpPr>
          <xdr:spPr>
            <a:xfrm rot="9903799">
              <a:off x="7535519" y="2584916"/>
              <a:ext cx="640711" cy="669195"/>
            </a:xfrm>
            <a:prstGeom prst="arc">
              <a:avLst>
                <a:gd name="adj1" fmla="val 15011426"/>
                <a:gd name="adj2" fmla="val 20877560"/>
              </a:avLst>
            </a:prstGeom>
            <a:noFill/>
            <a:ln w="19050" cap="flat" cmpd="sng">
              <a:solidFill>
                <a:srgbClr val="217346"/>
              </a:solidFill>
              <a:prstDash val="dot"/>
              <a:round/>
              <a:headEnd type="triangle" w="med" len="med"/>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766" name="Shape 766" descr="PivotTable">
              <a:extLst>
                <a:ext uri="{FF2B5EF4-FFF2-40B4-BE49-F238E27FC236}">
                  <a16:creationId xmlns:a16="http://schemas.microsoft.com/office/drawing/2014/main" id="{00000000-0008-0000-0900-0000FE020000}"/>
                </a:ext>
              </a:extLst>
            </xdr:cNvPr>
            <xdr:cNvSpPr txBox="1"/>
          </xdr:nvSpPr>
          <xdr:spPr>
            <a:xfrm>
              <a:off x="6810375" y="2851150"/>
              <a:ext cx="1404987" cy="321638"/>
            </a:xfrm>
            <a:prstGeom prst="rect">
              <a:avLst/>
            </a:prstGeom>
            <a:noFill/>
            <a:ln>
              <a:noFill/>
            </a:ln>
          </xdr:spPr>
          <xdr:txBody>
            <a:bodyPr spcFirstLastPara="1" wrap="square" lIns="91425" tIns="45700" rIns="91425" bIns="45700" anchor="t" anchorCtr="0">
              <a:noAutofit/>
            </a:bodyPr>
            <a:lstStyle/>
            <a:p>
              <a:pPr marL="0" marR="0" lvl="0" indent="0" algn="ctr" rtl="0">
                <a:lnSpc>
                  <a:spcPct val="100000"/>
                </a:lnSpc>
                <a:spcBef>
                  <a:spcPts val="0"/>
                </a:spcBef>
                <a:spcAft>
                  <a:spcPts val="0"/>
                </a:spcAft>
                <a:buClr>
                  <a:srgbClr val="3A3838"/>
                </a:buClr>
                <a:buSzPts val="1100"/>
                <a:buFont typeface="Calibri"/>
                <a:buNone/>
              </a:pPr>
              <a:r>
                <a:rPr lang="en-US" sz="1100" b="0" i="0" u="none" strike="noStrike" cap="none">
                  <a:solidFill>
                    <a:srgbClr val="3A3838"/>
                  </a:solidFill>
                  <a:latin typeface="Calibri"/>
                  <a:ea typeface="Calibri"/>
                  <a:cs typeface="Calibri"/>
                  <a:sym typeface="Calibri"/>
                </a:rPr>
                <a:t>PivotTable</a:t>
              </a:r>
              <a:endParaRPr sz="1400"/>
            </a:p>
          </xdr:txBody>
        </xdr:sp>
      </xdr:grpSp>
    </xdr:grpSp>
    <xdr:clientData fLocksWithSheet="0"/>
  </xdr:one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un Sharma" refreshedDate="45139.804424652779" createdVersion="8" refreshedVersion="8" minRefreshableVersion="3" recordCount="8" xr:uid="{E6A366BA-4C8B-4C9B-B515-56E02805541A}">
  <cacheSource type="worksheet">
    <worksheetSource name="Table_6"/>
  </cacheSource>
  <cacheFields count="5">
    <cacheField name="Department" numFmtId="0">
      <sharedItems count="4">
        <s v="Bakery"/>
        <s v="Deli"/>
        <s v="Meat"/>
        <s v="Produce"/>
      </sharedItems>
    </cacheField>
    <cacheField name="Category" numFmtId="0">
      <sharedItems/>
    </cacheField>
    <cacheField name="Oct" numFmtId="164">
      <sharedItems containsSemiMixedTypes="0" containsString="0" containsNumber="1" containsInteger="1" minValue="10000" maxValue="90000"/>
    </cacheField>
    <cacheField name="Nov" numFmtId="164">
      <sharedItems containsSemiMixedTypes="0" containsString="0" containsNumber="1" containsInteger="1" minValue="15000" maxValue="110000"/>
    </cacheField>
    <cacheField name="Dec" numFmtId="164">
      <sharedItems containsSemiMixedTypes="0" containsString="0" containsNumber="1" containsInteger="1" minValue="20000" maxValue="200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un Sharma" refreshedDate="45139.812409837963" createdVersion="8" refreshedVersion="8" minRefreshableVersion="3" recordCount="6" xr:uid="{3A5E6001-73B0-4AE9-87DD-FD1CA0A41CE1}">
  <cacheSource type="worksheet">
    <worksheetSource name="Table_11"/>
  </cacheSource>
  <cacheFields count="4">
    <cacheField name="Date" numFmtId="14">
      <sharedItems containsSemiMixedTypes="0" containsNonDate="0" containsDate="1" containsString="0" minDate="2023-06-05T00:00:00" maxDate="2023-08-02T00:00:00"/>
    </cacheField>
    <cacheField name="Salesperson" numFmtId="0">
      <sharedItems/>
    </cacheField>
    <cacheField name="Product" numFmtId="0">
      <sharedItems count="3">
        <s v="Beer"/>
        <s v="Wine"/>
        <s v="Soda"/>
      </sharedItems>
    </cacheField>
    <cacheField name="Amount" numFmtId="166">
      <sharedItems containsSemiMixedTypes="0" containsString="0" containsNumber="1" containsInteger="1" minValue="510" maxValue="16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s v="Breads"/>
    <n v="30000"/>
    <n v="15000"/>
    <n v="20000"/>
  </r>
  <r>
    <x v="0"/>
    <s v="Desserts"/>
    <n v="25000"/>
    <n v="80000"/>
    <n v="120000"/>
  </r>
  <r>
    <x v="1"/>
    <s v="Sandwiches"/>
    <n v="80000"/>
    <n v="40000"/>
    <n v="20000"/>
  </r>
  <r>
    <x v="1"/>
    <s v="Salads"/>
    <n v="90000"/>
    <n v="35000"/>
    <n v="25000"/>
  </r>
  <r>
    <x v="2"/>
    <s v="Beef"/>
    <n v="90000"/>
    <n v="110000"/>
    <n v="200000"/>
  </r>
  <r>
    <x v="2"/>
    <s v="Chicken"/>
    <n v="75000"/>
    <n v="82000"/>
    <n v="150000"/>
  </r>
  <r>
    <x v="3"/>
    <s v="Veggies"/>
    <n v="30000"/>
    <n v="80000"/>
    <n v="30000"/>
  </r>
  <r>
    <x v="3"/>
    <s v="Fruit"/>
    <n v="10000"/>
    <n v="30000"/>
    <n v="4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d v="2023-06-05T00:00:00"/>
    <s v="Anne"/>
    <x v="0"/>
    <n v="1400"/>
  </r>
  <r>
    <d v="2023-06-10T00:00:00"/>
    <s v="Mark"/>
    <x v="1"/>
    <n v="1010"/>
  </r>
  <r>
    <d v="2023-06-27T00:00:00"/>
    <s v="Anne"/>
    <x v="0"/>
    <n v="750"/>
  </r>
  <r>
    <d v="2023-07-01T00:00:00"/>
    <s v="Mark"/>
    <x v="2"/>
    <n v="510"/>
  </r>
  <r>
    <d v="2023-07-21T00:00:00"/>
    <s v="Mariya"/>
    <x v="2"/>
    <n v="1600"/>
  </r>
  <r>
    <d v="2023-08-01T00:00:00"/>
    <s v="Laura"/>
    <x v="1"/>
    <n v="68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B05952-A066-4B79-AC4A-C540C7D6DA09}" name="PivotTable6"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
  <location ref="A3:B7" firstHeaderRow="1" firstDataRow="1" firstDataCol="1"/>
  <pivotFields count="5">
    <pivotField axis="axisRow" compact="0" outline="0" showAll="0" defaultSubtotal="0">
      <items count="4">
        <item x="0"/>
        <item x="1"/>
        <item x="2"/>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dataField="1"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s>
  <rowFields count="1">
    <field x="0"/>
  </rowFields>
  <rowItems count="4">
    <i>
      <x/>
    </i>
    <i>
      <x v="1"/>
    </i>
    <i>
      <x v="2"/>
    </i>
    <i>
      <x v="3"/>
    </i>
  </rowItems>
  <colItems count="1">
    <i/>
  </colItems>
  <dataFields count="1">
    <dataField name="Sum of Nov" fld="3" baseField="0" baseItem="0"/>
  </dataFields>
  <chartFormats count="1">
    <chartFormat chart="0"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B5E173-778A-4086-9362-3EE8AF590901}" name="PivotTable1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2:D46" firstHeaderRow="1" firstDataRow="1" firstDataCol="1"/>
  <pivotFields count="4">
    <pivotField numFmtId="14" showAll="0"/>
    <pivotField showAll="0"/>
    <pivotField axis="axisRow" showAll="0">
      <items count="4">
        <item x="0"/>
        <item x="2"/>
        <item x="1"/>
        <item t="default"/>
      </items>
    </pivotField>
    <pivotField dataField="1" numFmtId="166" showAll="0"/>
  </pivotFields>
  <rowFields count="1">
    <field x="2"/>
  </rowFields>
  <rowItems count="4">
    <i>
      <x/>
    </i>
    <i>
      <x v="1"/>
    </i>
    <i>
      <x v="2"/>
    </i>
    <i t="grand">
      <x/>
    </i>
  </rowItems>
  <colItems count="1">
    <i/>
  </colItems>
  <dataFields count="1">
    <dataField name="Sum of Amount" fld="3"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C31:F37">
  <sortState xmlns:xlrd2="http://schemas.microsoft.com/office/spreadsheetml/2017/richdata2" ref="C32:F37">
    <sortCondition sortBy="cellColor" ref="F33:F37" dxfId="10"/>
  </sortState>
  <tableColumns count="4">
    <tableColumn id="1" xr3:uid="{00000000-0010-0000-0000-000001000000}" name="Expense date"/>
    <tableColumn id="2" xr3:uid="{00000000-0010-0000-0000-000002000000}" name="Employee"/>
    <tableColumn id="3" xr3:uid="{00000000-0010-0000-0000-000003000000}" name="Food"/>
    <tableColumn id="4" xr3:uid="{00000000-0010-0000-0000-000004000000}" name="Hotel"/>
  </tableColumns>
  <tableStyleInfo name="5. Sort &amp; filter-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C49:F55">
  <autoFilter ref="C49:F55" xr:uid="{00000000-000C-0000-FFFF-FFFF01000000}">
    <filterColumn colId="2">
      <customFilters>
        <customFilter operator="greaterThan" val="25"/>
      </customFilters>
    </filterColumn>
    <filterColumn colId="3">
      <dynamicFilter type="aboveAverage" val="2701"/>
    </filterColumn>
  </autoFilter>
  <tableColumns count="4">
    <tableColumn id="1" xr3:uid="{00000000-0010-0000-0100-000001000000}" name="Expense date"/>
    <tableColumn id="2" xr3:uid="{00000000-0010-0000-0100-000002000000}" name="Employee"/>
    <tableColumn id="3" xr3:uid="{00000000-0010-0000-0100-000003000000}" name="Food"/>
    <tableColumn id="4" xr3:uid="{00000000-0010-0000-0100-000004000000}" name="Hotel"/>
  </tableColumns>
  <tableStyleInfo name="5. Sort &amp; filter-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C33:H41">
  <tableColumns count="6">
    <tableColumn id="1" xr3:uid="{00000000-0010-0000-0200-000001000000}" name="Department"/>
    <tableColumn id="2" xr3:uid="{00000000-0010-0000-0200-000002000000}" name="Category"/>
    <tableColumn id="3" xr3:uid="{00000000-0010-0000-0200-000003000000}" name="Oct"/>
    <tableColumn id="4" xr3:uid="{00000000-0010-0000-0200-000004000000}" name="Nov"/>
    <tableColumn id="5" xr3:uid="{00000000-0010-0000-0200-000005000000}" name="Dec"/>
    <tableColumn id="6" xr3:uid="{00000000-0010-0000-0200-000006000000}" name="Total">
      <calculatedColumnFormula>SUM(E34:G34)</calculatedColumnFormula>
    </tableColumn>
  </tableColumns>
  <tableStyleInfo name="6. Tables-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C53:E62" totalsRowCount="1">
  <tableColumns count="3">
    <tableColumn id="1" xr3:uid="{00000000-0010-0000-0300-000001000000}" name="Department"/>
    <tableColumn id="2" xr3:uid="{00000000-0010-0000-0300-000002000000}" name="Category"/>
    <tableColumn id="3" xr3:uid="{00000000-0010-0000-0300-000003000000}" name="Sales"/>
  </tableColumns>
  <tableStyleInfo name="6. Tables-style 2"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E6B51618-AC30-4AEB-933C-FD50ACD047C1}" name="Table13" displayName="Table13" ref="C5:G14" totalsRowShown="0" headerRowDxfId="9" dataDxfId="8">
  <autoFilter ref="C5:G14" xr:uid="{E6B51618-AC30-4AEB-933C-FD50ACD047C1}"/>
  <tableColumns count="5">
    <tableColumn id="1" xr3:uid="{B34331EA-F90C-4E8D-9985-196297AEA86E}" name="Department" dataDxfId="7"/>
    <tableColumn id="2" xr3:uid="{22CD8385-7574-49EE-A7E7-7C3DD4FAC96C}" name="Category" dataDxfId="6"/>
    <tableColumn id="3" xr3:uid="{422FDE35-1248-4E18-8A00-A057882C78FD}" name="Oct" dataDxfId="5"/>
    <tableColumn id="4" xr3:uid="{615EF27C-4CF4-4A94-A9C3-D2B0D69C33D1}" name="Nov" dataDxfId="4"/>
    <tableColumn id="5" xr3:uid="{1876AD34-9C7F-4102-80F2-23C90ECBB42B}" name="Dec" dataDxfId="3"/>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646A5F2C-846E-4795-8765-935F5C393969}" name="Table15" displayName="Table15" ref="F31:F34" totalsRowShown="0" headerRowDxfId="2" dataDxfId="1">
  <autoFilter ref="F31:F34" xr:uid="{646A5F2C-846E-4795-8765-935F5C393969}"/>
  <tableColumns count="1">
    <tableColumn id="1" xr3:uid="{10DA3291-9981-4C55-9FAE-133B6357B416}" name="Department" dataDxfId="0"/>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C5:G13">
  <tableColumns count="5">
    <tableColumn id="1" xr3:uid="{00000000-0010-0000-0400-000001000000}" name="Department"/>
    <tableColumn id="2" xr3:uid="{00000000-0010-0000-0400-000002000000}" name="Category"/>
    <tableColumn id="3" xr3:uid="{00000000-0010-0000-0400-000003000000}" name="Oct"/>
    <tableColumn id="4" xr3:uid="{00000000-0010-0000-0400-000004000000}" name="Nov"/>
    <tableColumn id="5" xr3:uid="{00000000-0010-0000-0400-000005000000}" name="Dec"/>
  </tableColumns>
  <tableStyleInfo name="8. Analyze-style"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C34:G42">
  <tableColumns count="5">
    <tableColumn id="1" xr3:uid="{00000000-0010-0000-0500-000001000000}" name="Department"/>
    <tableColumn id="2" xr3:uid="{00000000-0010-0000-0500-000002000000}" name="Category"/>
    <tableColumn id="3" xr3:uid="{00000000-0010-0000-0500-000003000000}" name="Oct"/>
    <tableColumn id="4" xr3:uid="{00000000-0010-0000-0500-000004000000}" name="Nov"/>
    <tableColumn id="5" xr3:uid="{00000000-0010-0000-0500-000005000000}" name="Dec"/>
  </tableColumns>
  <tableStyleInfo name="8. Analyze-style 2"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C54:G62">
  <tableColumns count="5">
    <tableColumn id="1" xr3:uid="{00000000-0010-0000-0600-000001000000}" name="Department"/>
    <tableColumn id="2" xr3:uid="{00000000-0010-0000-0600-000002000000}" name="Category"/>
    <tableColumn id="3" xr3:uid="{00000000-0010-0000-0600-000003000000}" name="Oct"/>
    <tableColumn id="4" xr3:uid="{00000000-0010-0000-0600-000004000000}" name="Nov"/>
    <tableColumn id="5" xr3:uid="{00000000-0010-0000-0600-000005000000}" name="Dec"/>
  </tableColumns>
  <tableStyleInfo name="8. Analyze-style 3"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C5:D11">
  <tableColumns count="2">
    <tableColumn id="1" xr3:uid="{00000000-0010-0000-0700-000001000000}" name="Year"/>
    <tableColumn id="2" xr3:uid="{00000000-0010-0000-0700-000002000000}" name="Conference attendance"/>
  </tableColumns>
  <tableStyleInfo name="9. Charts-style"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D67:F73">
  <tableColumns count="3">
    <tableColumn id="1" xr3:uid="{00000000-0010-0000-0800-000001000000}" name="Date"/>
    <tableColumn id="2" xr3:uid="{00000000-0010-0000-0800-000002000000}" name="Conference attendance"/>
    <tableColumn id="3" xr3:uid="{00000000-0010-0000-0800-000003000000}" name="Food sales"/>
  </tableColumns>
  <tableStyleInfo name="9. Charts-style 2"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10" displayName="Table_10" ref="C3:F9">
  <tableColumns count="4">
    <tableColumn id="1" xr3:uid="{00000000-0010-0000-0900-000001000000}" name="Date"/>
    <tableColumn id="2" xr3:uid="{00000000-0010-0000-0900-000002000000}" name="Salesperson"/>
    <tableColumn id="3" xr3:uid="{00000000-0010-0000-0900-000003000000}" name="Product"/>
    <tableColumn id="4" xr3:uid="{00000000-0010-0000-0900-000004000000}" name="Amount"/>
  </tableColumns>
  <tableStyleInfo name="10. PivotTables-style"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1" displayName="Table_11" ref="C34:F40">
  <tableColumns count="4">
    <tableColumn id="1" xr3:uid="{00000000-0010-0000-0A00-000001000000}" name="Date"/>
    <tableColumn id="2" xr3:uid="{00000000-0010-0000-0A00-000002000000}" name="Salesperson"/>
    <tableColumn id="3" xr3:uid="{00000000-0010-0000-0A00-000003000000}" name="Product"/>
    <tableColumn id="4" xr3:uid="{00000000-0010-0000-0A00-000004000000}" name="Amount"/>
  </tableColumns>
  <tableStyleInfo name="10. PivotTables-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85296"/>
      </a:hlink>
      <a:folHlink>
        <a:srgbClr val="085296"/>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go.microsoft.com/fwlink/?linkid=844732" TargetMode="External"/><Relationship Id="rId2" Type="http://schemas.openxmlformats.org/officeDocument/2006/relationships/hyperlink" Target="https://go.microsoft.com/fwlink/?linkid=844727" TargetMode="External"/><Relationship Id="rId1" Type="http://schemas.openxmlformats.org/officeDocument/2006/relationships/hyperlink" Target="https://go.microsoft.com/fwlink/?linkid=844719" TargetMode="External"/><Relationship Id="rId5" Type="http://schemas.openxmlformats.org/officeDocument/2006/relationships/drawing" Target="../drawings/drawing1.xml"/><Relationship Id="rId4" Type="http://schemas.openxmlformats.org/officeDocument/2006/relationships/hyperlink" Target="https://go.microsoft.com/fwlink/?linkid=844737"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s://go.microsoft.com/fwlink/?linkid=844745" TargetMode="External"/><Relationship Id="rId1" Type="http://schemas.openxmlformats.org/officeDocument/2006/relationships/hyperlink" Target="https://go.microsoft.com/fwlink/?linkid=844741"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go.microsoft.com/fwlink/?linkid=844729" TargetMode="External"/><Relationship Id="rId7" Type="http://schemas.openxmlformats.org/officeDocument/2006/relationships/drawing" Target="../drawings/drawing3.xml"/><Relationship Id="rId2" Type="http://schemas.openxmlformats.org/officeDocument/2006/relationships/hyperlink" Target="https://go.microsoft.com/fwlink/?linkid=844751" TargetMode="External"/><Relationship Id="rId1" Type="http://schemas.openxmlformats.org/officeDocument/2006/relationships/hyperlink" Target="https://go.microsoft.com/fwlink/?linkid=844748" TargetMode="External"/><Relationship Id="rId6" Type="http://schemas.openxmlformats.org/officeDocument/2006/relationships/hyperlink" Target="https://go.microsoft.com/fwlink/?linkid=844740" TargetMode="External"/><Relationship Id="rId5" Type="http://schemas.openxmlformats.org/officeDocument/2006/relationships/hyperlink" Target="https://go.microsoft.com/fwlink/?linkid=844736" TargetMode="External"/><Relationship Id="rId4" Type="http://schemas.openxmlformats.org/officeDocument/2006/relationships/hyperlink" Target="https://go.microsoft.com/fwlink/?linkid=844733"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go.microsoft.com/fwlink/?linkid=844752" TargetMode="External"/><Relationship Id="rId2" Type="http://schemas.openxmlformats.org/officeDocument/2006/relationships/hyperlink" Target="https://go.microsoft.com/fwlink/?linkid=844747" TargetMode="External"/><Relationship Id="rId1" Type="http://schemas.openxmlformats.org/officeDocument/2006/relationships/hyperlink" Target="https://go.microsoft.com/fwlink/?linkid=844743" TargetMode="External"/><Relationship Id="rId5" Type="http://schemas.openxmlformats.org/officeDocument/2006/relationships/drawing" Target="../drawings/drawing4.xml"/><Relationship Id="rId4"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hyperlink" Target="https://go.microsoft.com/fwlink/?linkid=844750" TargetMode="External"/><Relationship Id="rId1" Type="http://schemas.openxmlformats.org/officeDocument/2006/relationships/hyperlink" Target="https://go.microsoft.com/fwlink/?linkid=844746" TargetMode="External"/><Relationship Id="rId5" Type="http://schemas.openxmlformats.org/officeDocument/2006/relationships/table" Target="../tables/table2.xml"/><Relationship Id="rId4" Type="http://schemas.openxmlformats.org/officeDocument/2006/relationships/table" Target="../tables/table1.xml"/></Relationships>
</file>

<file path=xl/worksheets/_rels/sheet6.xml.rels><?xml version="1.0" encoding="UTF-8" standalone="yes"?>
<Relationships xmlns="http://schemas.openxmlformats.org/package/2006/relationships"><Relationship Id="rId3" Type="http://schemas.openxmlformats.org/officeDocument/2006/relationships/hyperlink" Target="https://go.microsoft.com/fwlink/?linkid=844731" TargetMode="External"/><Relationship Id="rId7" Type="http://schemas.openxmlformats.org/officeDocument/2006/relationships/table" Target="../tables/table5.xml"/><Relationship Id="rId2" Type="http://schemas.openxmlformats.org/officeDocument/2006/relationships/hyperlink" Target="https://go.microsoft.com/fwlink/?linkid=844728" TargetMode="External"/><Relationship Id="rId1" Type="http://schemas.openxmlformats.org/officeDocument/2006/relationships/hyperlink" Target="https://go.microsoft.com/fwlink/?linkid=844726" TargetMode="External"/><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hyperlink" Target="https://go.microsoft.com/fwlink/?linkid=844742" TargetMode="External"/><Relationship Id="rId1" Type="http://schemas.openxmlformats.org/officeDocument/2006/relationships/hyperlink" Target="https://go.microsoft.com/fwlink/?linkid=844735" TargetMode="External"/><Relationship Id="rId4" Type="http://schemas.openxmlformats.org/officeDocument/2006/relationships/table" Target="../tables/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hyperlink" Target="https://go.microsoft.com/fwlink/?linkid=844730" TargetMode="External"/><Relationship Id="rId1" Type="http://schemas.openxmlformats.org/officeDocument/2006/relationships/hyperlink" Target="https://go.microsoft.com/fwlink/?linkid=844725" TargetMode="External"/><Relationship Id="rId6" Type="http://schemas.openxmlformats.org/officeDocument/2006/relationships/table" Target="../tables/table9.xml"/><Relationship Id="rId5" Type="http://schemas.openxmlformats.org/officeDocument/2006/relationships/table" Target="../tables/table8.xml"/><Relationship Id="rId4"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3" Type="http://schemas.openxmlformats.org/officeDocument/2006/relationships/hyperlink" Target="https://go.microsoft.com/fwlink/?linkid=844739" TargetMode="External"/><Relationship Id="rId2" Type="http://schemas.openxmlformats.org/officeDocument/2006/relationships/hyperlink" Target="https://go.microsoft.com/fwlink/?linkid=844738" TargetMode="External"/><Relationship Id="rId1" Type="http://schemas.openxmlformats.org/officeDocument/2006/relationships/hyperlink" Target="https://go.microsoft.com/fwlink/?linkid=844734" TargetMode="External"/><Relationship Id="rId6" Type="http://schemas.openxmlformats.org/officeDocument/2006/relationships/table" Target="../tables/table11.xml"/><Relationship Id="rId5" Type="http://schemas.openxmlformats.org/officeDocument/2006/relationships/table" Target="../tables/table10.xml"/><Relationship Id="rId4"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3" Type="http://schemas.openxmlformats.org/officeDocument/2006/relationships/hyperlink" Target="https://go.microsoft.com/fwlink/?linkid=844749" TargetMode="External"/><Relationship Id="rId2" Type="http://schemas.openxmlformats.org/officeDocument/2006/relationships/hyperlink" Target="https://go.microsoft.com/fwlink/?linkid=844744" TargetMode="External"/><Relationship Id="rId1" Type="http://schemas.openxmlformats.org/officeDocument/2006/relationships/pivotTable" Target="../pivotTables/pivotTable2.xml"/><Relationship Id="rId6" Type="http://schemas.openxmlformats.org/officeDocument/2006/relationships/table" Target="../tables/table13.xml"/><Relationship Id="rId5" Type="http://schemas.openxmlformats.org/officeDocument/2006/relationships/table" Target="../tables/table12.xml"/><Relationship Id="rId4"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showGridLines="0" tabSelected="1" topLeftCell="A134" workbookViewId="0">
      <selection activeCell="F65" sqref="F65"/>
    </sheetView>
  </sheetViews>
  <sheetFormatPr defaultColWidth="14.42578125" defaultRowHeight="15" customHeight="1" x14ac:dyDescent="0.25"/>
  <cols>
    <col min="1" max="1" width="12.7109375" customWidth="1"/>
    <col min="2" max="2" width="82.85546875" customWidth="1"/>
    <col min="3" max="26" width="8.85546875" customWidth="1"/>
  </cols>
  <sheetData>
    <row r="1" spans="1:26" ht="60" customHeight="1" x14ac:dyDescent="0.5">
      <c r="A1" s="1" t="s">
        <v>0</v>
      </c>
      <c r="B1" s="2"/>
      <c r="C1" s="3"/>
      <c r="D1" s="3"/>
      <c r="E1" s="3"/>
      <c r="F1" s="3"/>
      <c r="G1" s="3"/>
      <c r="H1" s="3"/>
      <c r="I1" s="3"/>
      <c r="J1" s="3"/>
      <c r="K1" s="3"/>
      <c r="L1" s="3"/>
      <c r="M1" s="3"/>
      <c r="N1" s="3"/>
      <c r="O1" s="3"/>
      <c r="P1" s="3"/>
      <c r="Q1" s="3"/>
      <c r="R1" s="3"/>
      <c r="S1" s="3"/>
      <c r="T1" s="3"/>
      <c r="U1" s="3"/>
      <c r="V1" s="3"/>
      <c r="W1" s="3"/>
      <c r="X1" s="3"/>
      <c r="Y1" s="3"/>
      <c r="Z1" s="3"/>
    </row>
    <row r="2" spans="1:26" ht="15" customHeight="1" x14ac:dyDescent="0.25">
      <c r="A2" s="1" t="s">
        <v>1</v>
      </c>
      <c r="B2" s="3"/>
      <c r="C2" s="3"/>
      <c r="D2" s="3"/>
      <c r="E2" s="3"/>
      <c r="F2" s="3"/>
      <c r="G2" s="3"/>
      <c r="H2" s="3"/>
      <c r="I2" s="3"/>
      <c r="J2" s="3"/>
      <c r="K2" s="3"/>
      <c r="L2" s="3"/>
      <c r="M2" s="3"/>
      <c r="N2" s="3"/>
      <c r="O2" s="3"/>
      <c r="P2" s="3"/>
      <c r="Q2" s="3"/>
      <c r="R2" s="3"/>
      <c r="S2" s="3"/>
      <c r="T2" s="3"/>
      <c r="U2" s="3"/>
      <c r="V2" s="3"/>
      <c r="W2" s="3"/>
      <c r="X2" s="3"/>
      <c r="Y2" s="3"/>
      <c r="Z2" s="3"/>
    </row>
    <row r="3" spans="1:26" ht="15" customHeight="1" x14ac:dyDescent="0.25">
      <c r="A3" s="1" t="s">
        <v>2</v>
      </c>
      <c r="B3" s="4"/>
      <c r="C3" s="5" t="s">
        <v>3</v>
      </c>
      <c r="D3" s="5" t="s">
        <v>4</v>
      </c>
      <c r="E3" s="3"/>
      <c r="F3" s="5" t="s">
        <v>5</v>
      </c>
      <c r="G3" s="5" t="s">
        <v>4</v>
      </c>
      <c r="H3" s="3"/>
      <c r="I3" s="3"/>
      <c r="J3" s="3"/>
      <c r="K3" s="3"/>
      <c r="L3" s="3"/>
      <c r="M3" s="3"/>
      <c r="N3" s="3"/>
      <c r="O3" s="3"/>
      <c r="P3" s="3"/>
      <c r="Q3" s="3"/>
      <c r="R3" s="3"/>
      <c r="S3" s="3"/>
      <c r="T3" s="3"/>
      <c r="U3" s="3"/>
      <c r="V3" s="3"/>
      <c r="W3" s="3"/>
      <c r="X3" s="3"/>
      <c r="Y3" s="3"/>
      <c r="Z3" s="3"/>
    </row>
    <row r="4" spans="1:26" ht="15" customHeight="1" x14ac:dyDescent="0.25">
      <c r="A4" s="1" t="s">
        <v>6</v>
      </c>
      <c r="B4" s="3"/>
      <c r="C4" s="6" t="s">
        <v>7</v>
      </c>
      <c r="D4" s="6">
        <v>50</v>
      </c>
      <c r="E4" s="3"/>
      <c r="F4" s="6" t="s">
        <v>8</v>
      </c>
      <c r="G4" s="6">
        <v>50</v>
      </c>
      <c r="H4" s="3"/>
      <c r="I4" s="3"/>
      <c r="J4" s="3"/>
      <c r="K4" s="3"/>
      <c r="L4" s="3"/>
      <c r="M4" s="3"/>
      <c r="N4" s="3"/>
      <c r="O4" s="3"/>
      <c r="P4" s="3"/>
      <c r="Q4" s="3"/>
      <c r="R4" s="3"/>
      <c r="S4" s="3"/>
      <c r="T4" s="3"/>
      <c r="U4" s="3"/>
      <c r="V4" s="3"/>
      <c r="W4" s="3"/>
      <c r="X4" s="3"/>
      <c r="Y4" s="3"/>
      <c r="Z4" s="3"/>
    </row>
    <row r="5" spans="1:26" ht="15" customHeight="1" x14ac:dyDescent="0.25">
      <c r="A5" s="1" t="s">
        <v>9</v>
      </c>
      <c r="B5" s="7"/>
      <c r="C5" s="6" t="s">
        <v>10</v>
      </c>
      <c r="D5" s="6">
        <v>20</v>
      </c>
      <c r="E5" s="7"/>
      <c r="F5" s="6" t="s">
        <v>11</v>
      </c>
      <c r="G5" s="6">
        <v>30</v>
      </c>
      <c r="H5" s="7"/>
      <c r="I5" s="7"/>
      <c r="J5" s="7"/>
      <c r="K5" s="7"/>
      <c r="L5" s="7"/>
      <c r="M5" s="7"/>
      <c r="N5" s="7"/>
      <c r="O5" s="7"/>
      <c r="P5" s="7"/>
      <c r="Q5" s="7"/>
      <c r="R5" s="7"/>
      <c r="S5" s="7"/>
      <c r="T5" s="7"/>
      <c r="U5" s="7"/>
      <c r="V5" s="7"/>
      <c r="W5" s="7"/>
      <c r="X5" s="7"/>
      <c r="Y5" s="7"/>
      <c r="Z5" s="7"/>
    </row>
    <row r="6" spans="1:26" ht="15" customHeight="1" x14ac:dyDescent="0.25">
      <c r="A6" s="1" t="s">
        <v>12</v>
      </c>
      <c r="B6" s="8"/>
      <c r="C6" s="6" t="s">
        <v>13</v>
      </c>
      <c r="D6" s="6">
        <v>60</v>
      </c>
      <c r="E6" s="7"/>
      <c r="F6" s="6" t="s">
        <v>14</v>
      </c>
      <c r="G6" s="6">
        <v>10</v>
      </c>
      <c r="H6" s="7"/>
      <c r="I6" s="7"/>
      <c r="J6" s="7"/>
      <c r="K6" s="7"/>
      <c r="L6" s="7"/>
      <c r="M6" s="7"/>
      <c r="N6" s="7"/>
      <c r="O6" s="7"/>
      <c r="P6" s="7"/>
      <c r="Q6" s="7"/>
      <c r="R6" s="7"/>
      <c r="S6" s="7"/>
      <c r="T6" s="7"/>
      <c r="U6" s="7"/>
      <c r="V6" s="7"/>
      <c r="W6" s="7"/>
      <c r="X6" s="7"/>
      <c r="Y6" s="7"/>
      <c r="Z6" s="7"/>
    </row>
    <row r="7" spans="1:26" ht="15" customHeight="1" x14ac:dyDescent="0.25">
      <c r="A7" s="1" t="s">
        <v>15</v>
      </c>
      <c r="B7" s="7"/>
      <c r="C7" s="6" t="s">
        <v>16</v>
      </c>
      <c r="D7" s="6">
        <v>40</v>
      </c>
      <c r="E7" s="7"/>
      <c r="F7" s="6" t="s">
        <v>17</v>
      </c>
      <c r="G7" s="6">
        <v>50</v>
      </c>
      <c r="H7" s="7"/>
      <c r="I7" s="7"/>
      <c r="J7" s="7"/>
      <c r="K7" s="7"/>
      <c r="L7" s="7"/>
      <c r="M7" s="7"/>
      <c r="N7" s="7"/>
      <c r="O7" s="7"/>
      <c r="P7" s="7"/>
      <c r="Q7" s="7"/>
      <c r="R7" s="7"/>
      <c r="S7" s="7"/>
      <c r="T7" s="7"/>
      <c r="U7" s="7"/>
      <c r="V7" s="7"/>
      <c r="W7" s="7"/>
      <c r="X7" s="7"/>
      <c r="Y7" s="7"/>
      <c r="Z7" s="7"/>
    </row>
    <row r="8" spans="1:26" ht="15" customHeight="1" x14ac:dyDescent="0.25">
      <c r="A8" s="1" t="s">
        <v>18</v>
      </c>
      <c r="B8" s="7"/>
      <c r="C8" s="7"/>
      <c r="D8" s="9">
        <f>SUM(D4:D7)</f>
        <v>170</v>
      </c>
      <c r="E8" s="7"/>
      <c r="F8" s="7"/>
      <c r="G8" s="9">
        <f>SUM(G4:G7)</f>
        <v>140</v>
      </c>
      <c r="H8" s="7"/>
      <c r="I8" s="7"/>
      <c r="J8" s="7"/>
      <c r="K8" s="7"/>
      <c r="L8" s="7"/>
      <c r="M8" s="7"/>
      <c r="N8" s="7"/>
      <c r="O8" s="7"/>
      <c r="P8" s="7"/>
      <c r="Q8" s="7"/>
      <c r="R8" s="7"/>
      <c r="S8" s="7"/>
      <c r="T8" s="7"/>
      <c r="U8" s="7"/>
      <c r="V8" s="7"/>
      <c r="W8" s="7"/>
      <c r="X8" s="7"/>
      <c r="Y8" s="7"/>
      <c r="Z8" s="7"/>
    </row>
    <row r="9" spans="1:26" ht="15" customHeight="1" x14ac:dyDescent="0.25">
      <c r="A9" s="1" t="s">
        <v>19</v>
      </c>
      <c r="B9" s="7"/>
      <c r="C9" s="7"/>
      <c r="D9" s="7"/>
      <c r="E9" s="7"/>
      <c r="F9" s="7"/>
      <c r="G9" s="7"/>
      <c r="H9" s="7"/>
      <c r="I9" s="7"/>
      <c r="J9" s="7"/>
      <c r="K9" s="7"/>
      <c r="L9" s="7"/>
      <c r="M9" s="7"/>
      <c r="N9" s="7"/>
      <c r="O9" s="7"/>
      <c r="P9" s="7"/>
      <c r="Q9" s="7"/>
      <c r="R9" s="7"/>
      <c r="S9" s="7"/>
      <c r="T9" s="7"/>
      <c r="U9" s="7"/>
      <c r="V9" s="7"/>
      <c r="W9" s="7"/>
      <c r="X9" s="7"/>
      <c r="Y9" s="7"/>
      <c r="Z9" s="7"/>
    </row>
    <row r="10" spans="1:26" ht="15" customHeight="1" x14ac:dyDescent="0.25">
      <c r="A10" s="1" t="s">
        <v>20</v>
      </c>
      <c r="B10" s="7"/>
      <c r="C10" s="5" t="s">
        <v>21</v>
      </c>
      <c r="D10" s="5" t="s">
        <v>4</v>
      </c>
      <c r="E10" s="7"/>
      <c r="F10" s="5" t="s">
        <v>21</v>
      </c>
      <c r="G10" s="5" t="s">
        <v>4</v>
      </c>
      <c r="H10" s="7"/>
      <c r="I10" s="7"/>
      <c r="J10" s="7"/>
      <c r="K10" s="7"/>
      <c r="L10" s="7"/>
      <c r="M10" s="7"/>
      <c r="N10" s="7"/>
      <c r="O10" s="7"/>
      <c r="P10" s="7"/>
      <c r="Q10" s="7"/>
      <c r="R10" s="7"/>
      <c r="S10" s="7"/>
      <c r="T10" s="7"/>
      <c r="U10" s="7"/>
      <c r="V10" s="7"/>
      <c r="W10" s="7"/>
      <c r="X10" s="7"/>
      <c r="Y10" s="7"/>
      <c r="Z10" s="7"/>
    </row>
    <row r="11" spans="1:26" ht="15" customHeight="1" x14ac:dyDescent="0.25">
      <c r="A11" s="1" t="s">
        <v>22</v>
      </c>
      <c r="B11" s="7"/>
      <c r="C11" s="6" t="s">
        <v>23</v>
      </c>
      <c r="D11" s="6">
        <v>50</v>
      </c>
      <c r="E11" s="7"/>
      <c r="F11" s="6" t="s">
        <v>23</v>
      </c>
      <c r="G11" s="6">
        <v>50</v>
      </c>
      <c r="H11" s="7"/>
      <c r="I11" s="7"/>
      <c r="J11" s="7"/>
      <c r="K11" s="7"/>
      <c r="L11" s="7"/>
      <c r="M11" s="7"/>
      <c r="N11" s="7"/>
      <c r="O11" s="7"/>
      <c r="P11" s="7"/>
      <c r="Q11" s="7"/>
      <c r="R11" s="7"/>
      <c r="S11" s="7"/>
      <c r="T11" s="7"/>
      <c r="U11" s="7"/>
      <c r="V11" s="7"/>
      <c r="W11" s="7"/>
      <c r="X11" s="7"/>
      <c r="Y11" s="7"/>
      <c r="Z11" s="7"/>
    </row>
    <row r="12" spans="1:26" ht="15" customHeight="1" x14ac:dyDescent="0.25">
      <c r="A12" s="1" t="s">
        <v>24</v>
      </c>
      <c r="B12" s="7"/>
      <c r="C12" s="6" t="s">
        <v>25</v>
      </c>
      <c r="D12" s="6">
        <v>100</v>
      </c>
      <c r="E12" s="7"/>
      <c r="F12" s="6" t="s">
        <v>25</v>
      </c>
      <c r="G12" s="6">
        <v>100</v>
      </c>
      <c r="H12" s="7"/>
      <c r="I12" s="7"/>
      <c r="J12" s="7"/>
      <c r="K12" s="7"/>
      <c r="L12" s="7"/>
      <c r="M12" s="7"/>
      <c r="N12" s="7"/>
      <c r="O12" s="7"/>
      <c r="P12" s="7"/>
      <c r="Q12" s="7"/>
      <c r="R12" s="7"/>
      <c r="S12" s="7"/>
      <c r="T12" s="7"/>
      <c r="U12" s="7"/>
      <c r="V12" s="7"/>
      <c r="W12" s="7"/>
      <c r="X12" s="7"/>
      <c r="Y12" s="7"/>
      <c r="Z12" s="7"/>
    </row>
    <row r="13" spans="1:26" ht="15" customHeight="1" x14ac:dyDescent="0.25">
      <c r="A13" s="1" t="s">
        <v>26</v>
      </c>
      <c r="B13" s="7"/>
      <c r="C13" s="6" t="s">
        <v>27</v>
      </c>
      <c r="D13" s="6">
        <v>40</v>
      </c>
      <c r="E13" s="7"/>
      <c r="F13" s="6" t="s">
        <v>27</v>
      </c>
      <c r="G13" s="6">
        <v>40</v>
      </c>
      <c r="H13" s="7"/>
      <c r="I13" s="7"/>
      <c r="J13" s="7"/>
      <c r="K13" s="7"/>
      <c r="L13" s="7"/>
      <c r="M13" s="7"/>
      <c r="N13" s="7"/>
      <c r="O13" s="7"/>
      <c r="P13" s="7"/>
      <c r="Q13" s="7"/>
      <c r="R13" s="7"/>
      <c r="S13" s="7"/>
      <c r="T13" s="7"/>
      <c r="U13" s="7"/>
      <c r="V13" s="7"/>
      <c r="W13" s="7"/>
      <c r="X13" s="7"/>
      <c r="Y13" s="7"/>
      <c r="Z13" s="7"/>
    </row>
    <row r="14" spans="1:26" ht="15" customHeight="1" x14ac:dyDescent="0.25">
      <c r="A14" s="1"/>
      <c r="B14" s="7"/>
      <c r="C14" s="6" t="s">
        <v>28</v>
      </c>
      <c r="D14" s="6">
        <v>50</v>
      </c>
      <c r="E14" s="7"/>
      <c r="F14" s="6" t="s">
        <v>28</v>
      </c>
      <c r="G14" s="6">
        <v>50</v>
      </c>
      <c r="H14" s="7"/>
      <c r="I14" s="7"/>
      <c r="J14" s="7"/>
      <c r="K14" s="7"/>
      <c r="L14" s="7"/>
      <c r="M14" s="7"/>
      <c r="N14" s="7"/>
      <c r="O14" s="7"/>
      <c r="P14" s="7"/>
      <c r="Q14" s="7"/>
      <c r="R14" s="7"/>
      <c r="S14" s="7"/>
      <c r="T14" s="7"/>
      <c r="U14" s="7"/>
      <c r="V14" s="7"/>
      <c r="W14" s="7"/>
      <c r="X14" s="7"/>
      <c r="Y14" s="7"/>
      <c r="Z14" s="7"/>
    </row>
    <row r="15" spans="1:26" ht="15" customHeight="1" x14ac:dyDescent="0.25">
      <c r="A15" s="1"/>
      <c r="B15" s="7"/>
      <c r="C15" s="6" t="s">
        <v>29</v>
      </c>
      <c r="D15" s="6">
        <v>20</v>
      </c>
      <c r="E15" s="7"/>
      <c r="F15" s="6" t="s">
        <v>29</v>
      </c>
      <c r="G15" s="6">
        <v>20</v>
      </c>
      <c r="H15" s="7"/>
      <c r="I15" s="7"/>
      <c r="J15" s="7"/>
      <c r="K15" s="7"/>
      <c r="L15" s="7"/>
      <c r="M15" s="7"/>
      <c r="N15" s="7"/>
      <c r="O15" s="7"/>
      <c r="P15" s="7"/>
      <c r="Q15" s="7"/>
      <c r="R15" s="7"/>
      <c r="S15" s="7"/>
      <c r="T15" s="7"/>
      <c r="U15" s="7"/>
      <c r="V15" s="7"/>
      <c r="W15" s="7"/>
      <c r="X15" s="7"/>
      <c r="Y15" s="7"/>
      <c r="Z15" s="7"/>
    </row>
    <row r="16" spans="1:26" ht="15" customHeight="1" x14ac:dyDescent="0.25">
      <c r="A16" s="1"/>
      <c r="B16" s="7"/>
      <c r="C16" s="7"/>
      <c r="D16" s="9">
        <f>SUMIF(D11:D15,"&gt;50")</f>
        <v>100</v>
      </c>
      <c r="E16" s="7"/>
      <c r="F16" s="7"/>
      <c r="G16" s="10">
        <f>SUMIF(G11:G15,"&lt;100")</f>
        <v>160</v>
      </c>
      <c r="H16" s="7"/>
      <c r="I16" s="7"/>
      <c r="J16" s="7"/>
      <c r="K16" s="7"/>
      <c r="L16" s="7"/>
      <c r="M16" s="7"/>
      <c r="N16" s="7"/>
      <c r="O16" s="7"/>
      <c r="P16" s="7"/>
      <c r="Q16" s="7"/>
      <c r="R16" s="7"/>
      <c r="S16" s="7"/>
      <c r="T16" s="7"/>
      <c r="U16" s="7"/>
      <c r="V16" s="7"/>
      <c r="W16" s="7"/>
      <c r="X16" s="7"/>
      <c r="Y16" s="7"/>
      <c r="Z16" s="7"/>
    </row>
    <row r="17" spans="1:26" ht="15" customHeight="1" x14ac:dyDescent="0.25">
      <c r="A17" s="1"/>
      <c r="B17" s="7"/>
      <c r="C17" s="7"/>
      <c r="D17" s="7"/>
      <c r="E17" s="7"/>
      <c r="F17" s="7"/>
      <c r="G17" s="7"/>
      <c r="H17" s="7"/>
      <c r="I17" s="7"/>
      <c r="J17" s="7"/>
      <c r="K17" s="7"/>
      <c r="L17" s="7"/>
      <c r="M17" s="7"/>
      <c r="N17" s="7"/>
      <c r="O17" s="7"/>
      <c r="P17" s="7"/>
      <c r="Q17" s="7"/>
      <c r="R17" s="7"/>
      <c r="S17" s="7"/>
      <c r="T17" s="7"/>
      <c r="U17" s="7"/>
      <c r="V17" s="7"/>
      <c r="W17" s="7"/>
      <c r="X17" s="7"/>
      <c r="Y17" s="7"/>
      <c r="Z17" s="7"/>
    </row>
    <row r="18" spans="1:26" ht="15" customHeight="1" x14ac:dyDescent="0.25">
      <c r="A18" s="1"/>
      <c r="B18" s="7"/>
      <c r="C18" s="7"/>
      <c r="D18" s="7"/>
      <c r="E18" s="7"/>
      <c r="F18" s="7"/>
      <c r="G18" s="7"/>
      <c r="H18" s="7"/>
      <c r="I18" s="7"/>
      <c r="J18" s="7"/>
      <c r="K18" s="7"/>
      <c r="L18" s="7"/>
      <c r="M18" s="7"/>
      <c r="N18" s="7"/>
      <c r="O18" s="7"/>
      <c r="P18" s="7"/>
      <c r="Q18" s="7"/>
      <c r="R18" s="7"/>
      <c r="S18" s="7"/>
      <c r="T18" s="7"/>
      <c r="U18" s="7"/>
      <c r="V18" s="7"/>
      <c r="W18" s="7"/>
      <c r="X18" s="7"/>
      <c r="Y18" s="7"/>
      <c r="Z18" s="7"/>
    </row>
    <row r="19" spans="1:26" ht="15" customHeight="1" x14ac:dyDescent="0.25">
      <c r="A19" s="1"/>
      <c r="B19" s="7"/>
      <c r="C19" s="7"/>
      <c r="D19" s="7"/>
      <c r="E19" s="7"/>
      <c r="F19" s="7"/>
      <c r="G19" s="7"/>
      <c r="H19" s="7"/>
      <c r="I19" s="7"/>
      <c r="J19" s="7"/>
      <c r="K19" s="7"/>
      <c r="L19" s="7"/>
      <c r="M19" s="7"/>
      <c r="N19" s="7"/>
      <c r="O19" s="7"/>
      <c r="P19" s="7"/>
      <c r="Q19" s="7"/>
      <c r="R19" s="7"/>
      <c r="S19" s="7"/>
      <c r="T19" s="7"/>
      <c r="U19" s="7"/>
      <c r="V19" s="7"/>
      <c r="W19" s="7"/>
      <c r="X19" s="7"/>
      <c r="Y19" s="7"/>
      <c r="Z19" s="7"/>
    </row>
    <row r="20" spans="1:26" ht="15" customHeight="1" x14ac:dyDescent="0.25">
      <c r="A20" s="1"/>
      <c r="B20" s="7"/>
      <c r="C20" s="7"/>
      <c r="D20" s="7"/>
      <c r="E20" s="7"/>
      <c r="F20" s="7"/>
      <c r="G20" s="7"/>
      <c r="H20" s="7"/>
      <c r="I20" s="7"/>
      <c r="J20" s="7"/>
      <c r="K20" s="7"/>
      <c r="L20" s="7"/>
      <c r="M20" s="7"/>
      <c r="N20" s="7"/>
      <c r="O20" s="7"/>
      <c r="P20" s="7"/>
      <c r="Q20" s="7"/>
      <c r="R20" s="7"/>
      <c r="S20" s="7"/>
      <c r="T20" s="7"/>
      <c r="U20" s="7"/>
      <c r="V20" s="7"/>
      <c r="W20" s="7"/>
      <c r="X20" s="7"/>
      <c r="Y20" s="7"/>
      <c r="Z20" s="7"/>
    </row>
    <row r="21" spans="1:26" ht="15" customHeight="1" x14ac:dyDescent="0.25">
      <c r="A21" s="1"/>
      <c r="B21" s="7"/>
      <c r="C21" s="7"/>
      <c r="D21" s="7"/>
      <c r="E21" s="7"/>
      <c r="F21" s="7"/>
      <c r="G21" s="7"/>
      <c r="H21" s="7"/>
      <c r="I21" s="7"/>
      <c r="J21" s="7"/>
      <c r="K21" s="7"/>
      <c r="L21" s="7"/>
      <c r="M21" s="7"/>
      <c r="N21" s="7"/>
      <c r="O21" s="7"/>
      <c r="P21" s="7"/>
      <c r="Q21" s="7"/>
      <c r="R21" s="7"/>
      <c r="S21" s="7"/>
      <c r="T21" s="7"/>
      <c r="U21" s="7"/>
      <c r="V21" s="7"/>
      <c r="W21" s="7"/>
      <c r="X21" s="7"/>
      <c r="Y21" s="7"/>
      <c r="Z21" s="7"/>
    </row>
    <row r="22" spans="1:26" ht="15" customHeight="1" x14ac:dyDescent="0.25">
      <c r="A22" s="1"/>
      <c r="B22" s="7"/>
      <c r="C22" s="7"/>
      <c r="D22" s="7"/>
      <c r="E22" s="7"/>
      <c r="F22" s="7"/>
      <c r="G22" s="7"/>
      <c r="H22" s="7"/>
      <c r="I22" s="7"/>
      <c r="J22" s="7"/>
      <c r="K22" s="7"/>
      <c r="L22" s="7"/>
      <c r="M22" s="7"/>
      <c r="N22" s="7"/>
      <c r="O22" s="7"/>
      <c r="P22" s="7"/>
      <c r="Q22" s="7"/>
      <c r="R22" s="7"/>
      <c r="S22" s="7"/>
      <c r="T22" s="7"/>
      <c r="U22" s="7"/>
      <c r="V22" s="7"/>
      <c r="W22" s="7"/>
      <c r="X22" s="7"/>
      <c r="Y22" s="7"/>
      <c r="Z22" s="7"/>
    </row>
    <row r="23" spans="1:26" ht="15" customHeight="1" x14ac:dyDescent="0.25">
      <c r="A23" s="1"/>
      <c r="B23" s="7"/>
      <c r="C23" s="7"/>
      <c r="D23" s="7"/>
      <c r="E23" s="7"/>
      <c r="F23" s="7"/>
      <c r="G23" s="7"/>
      <c r="H23" s="7"/>
      <c r="I23" s="7"/>
      <c r="J23" s="7"/>
      <c r="K23" s="7"/>
      <c r="L23" s="7"/>
      <c r="M23" s="7"/>
      <c r="N23" s="7"/>
      <c r="O23" s="7"/>
      <c r="P23" s="7"/>
      <c r="Q23" s="7"/>
      <c r="R23" s="7"/>
      <c r="S23" s="7"/>
      <c r="T23" s="7"/>
      <c r="U23" s="7"/>
      <c r="V23" s="7"/>
      <c r="W23" s="7"/>
      <c r="X23" s="7"/>
      <c r="Y23" s="7"/>
      <c r="Z23" s="7"/>
    </row>
    <row r="24" spans="1:26" ht="15" customHeight="1" x14ac:dyDescent="0.25">
      <c r="A24" s="1"/>
      <c r="B24" s="7"/>
      <c r="C24" s="7"/>
      <c r="D24" s="7"/>
      <c r="E24" s="7"/>
      <c r="F24" s="7"/>
      <c r="G24" s="7"/>
      <c r="H24" s="7"/>
      <c r="I24" s="7"/>
      <c r="J24" s="7"/>
      <c r="K24" s="7"/>
      <c r="L24" s="7"/>
      <c r="M24" s="7"/>
      <c r="N24" s="7"/>
      <c r="O24" s="7"/>
      <c r="P24" s="7"/>
      <c r="Q24" s="7"/>
      <c r="R24" s="7"/>
      <c r="S24" s="7"/>
      <c r="T24" s="7"/>
      <c r="U24" s="7"/>
      <c r="V24" s="7"/>
      <c r="W24" s="7"/>
      <c r="X24" s="7"/>
      <c r="Y24" s="7"/>
      <c r="Z24" s="7"/>
    </row>
    <row r="25" spans="1:26" ht="15.75" customHeight="1" x14ac:dyDescent="0.25">
      <c r="A25" s="1"/>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x14ac:dyDescent="0.25">
      <c r="A26" s="1"/>
      <c r="B26" s="3"/>
      <c r="C26" s="3"/>
      <c r="D26" s="3"/>
      <c r="E26" s="3"/>
      <c r="F26" s="3"/>
      <c r="G26" s="3"/>
      <c r="H26" s="3"/>
      <c r="I26" s="3"/>
      <c r="J26" s="3"/>
      <c r="K26" s="3"/>
      <c r="L26" s="3"/>
      <c r="M26" s="3"/>
      <c r="N26" s="3"/>
      <c r="O26" s="3"/>
      <c r="P26" s="3"/>
      <c r="Q26" s="3"/>
      <c r="R26" s="3"/>
      <c r="S26" s="3"/>
      <c r="T26" s="3"/>
      <c r="U26" s="3"/>
      <c r="V26" s="3"/>
      <c r="W26" s="3"/>
      <c r="X26" s="3"/>
      <c r="Y26" s="3"/>
      <c r="Z26" s="3"/>
    </row>
    <row r="27" spans="1:26" ht="15" customHeight="1" x14ac:dyDescent="0.25">
      <c r="A27" s="1" t="s">
        <v>30</v>
      </c>
      <c r="B27" s="3"/>
      <c r="C27" s="3"/>
      <c r="D27" s="3"/>
      <c r="E27" s="3"/>
      <c r="F27" s="3"/>
      <c r="G27" s="3"/>
      <c r="H27" s="3"/>
      <c r="I27" s="3"/>
      <c r="J27" s="3"/>
      <c r="K27" s="3"/>
      <c r="L27" s="3"/>
      <c r="M27" s="3"/>
      <c r="N27" s="3"/>
      <c r="O27" s="3"/>
      <c r="P27" s="3"/>
      <c r="Q27" s="3"/>
      <c r="R27" s="3"/>
      <c r="S27" s="3"/>
      <c r="T27" s="3"/>
      <c r="U27" s="3"/>
      <c r="V27" s="3"/>
      <c r="W27" s="3"/>
      <c r="X27" s="3"/>
      <c r="Y27" s="3"/>
      <c r="Z27" s="3"/>
    </row>
    <row r="28" spans="1:26" ht="15" customHeight="1" x14ac:dyDescent="0.25">
      <c r="A28" s="1" t="s">
        <v>31</v>
      </c>
      <c r="B28" s="3"/>
      <c r="C28" s="3"/>
      <c r="D28" s="3"/>
      <c r="E28" s="3"/>
      <c r="F28" s="3"/>
      <c r="G28" s="3"/>
      <c r="H28" s="3"/>
      <c r="I28" s="3"/>
      <c r="J28" s="3"/>
      <c r="K28" s="3"/>
      <c r="L28" s="3"/>
      <c r="M28" s="3"/>
      <c r="N28" s="3"/>
      <c r="O28" s="3"/>
      <c r="P28" s="3"/>
      <c r="Q28" s="3"/>
      <c r="R28" s="3"/>
      <c r="S28" s="3"/>
      <c r="T28" s="3"/>
      <c r="U28" s="3"/>
      <c r="V28" s="3"/>
      <c r="W28" s="3"/>
      <c r="X28" s="3"/>
      <c r="Y28" s="3"/>
      <c r="Z28" s="3"/>
    </row>
    <row r="29" spans="1:26" ht="15" customHeight="1" x14ac:dyDescent="0.25">
      <c r="A29" s="1" t="s">
        <v>32</v>
      </c>
      <c r="B29" s="3"/>
      <c r="C29" s="3"/>
      <c r="D29" s="3"/>
      <c r="E29" s="3"/>
      <c r="F29" s="3"/>
      <c r="G29" s="3"/>
      <c r="H29" s="3"/>
      <c r="I29" s="3"/>
      <c r="J29" s="3"/>
      <c r="K29" s="3"/>
      <c r="L29" s="3"/>
      <c r="M29" s="3"/>
      <c r="N29" s="3"/>
      <c r="O29" s="3"/>
      <c r="P29" s="3"/>
      <c r="Q29" s="3"/>
      <c r="R29" s="3"/>
      <c r="S29" s="3"/>
      <c r="T29" s="3"/>
      <c r="U29" s="3"/>
      <c r="V29" s="3"/>
      <c r="W29" s="3"/>
      <c r="X29" s="3"/>
      <c r="Y29" s="3"/>
      <c r="Z29" s="3"/>
    </row>
    <row r="30" spans="1:26" ht="15" customHeight="1" x14ac:dyDescent="0.25">
      <c r="A30" s="1" t="s">
        <v>33</v>
      </c>
      <c r="B30" s="3"/>
      <c r="C30" s="3"/>
      <c r="D30" s="3"/>
      <c r="E30" s="3"/>
      <c r="F30" s="3"/>
      <c r="G30" s="3"/>
      <c r="H30" s="3"/>
      <c r="I30" s="3"/>
      <c r="J30" s="3"/>
      <c r="K30" s="3"/>
      <c r="L30" s="3"/>
      <c r="M30" s="3"/>
      <c r="N30" s="3"/>
      <c r="O30" s="3"/>
      <c r="P30" s="3"/>
      <c r="Q30" s="3"/>
      <c r="R30" s="3"/>
      <c r="S30" s="3"/>
      <c r="T30" s="3"/>
      <c r="U30" s="3"/>
      <c r="V30" s="3"/>
      <c r="W30" s="3"/>
      <c r="X30" s="3"/>
      <c r="Y30" s="3"/>
      <c r="Z30" s="3"/>
    </row>
    <row r="31" spans="1:26" ht="15" customHeight="1" x14ac:dyDescent="0.25">
      <c r="A31" s="1" t="s">
        <v>34</v>
      </c>
      <c r="B31" s="3"/>
      <c r="C31" s="3"/>
      <c r="D31" s="3"/>
      <c r="E31" s="3"/>
      <c r="F31" s="3"/>
      <c r="G31" s="3"/>
      <c r="H31" s="3"/>
      <c r="I31" s="3"/>
      <c r="J31" s="3"/>
      <c r="K31" s="3"/>
      <c r="L31" s="3"/>
      <c r="M31" s="3"/>
      <c r="N31" s="3"/>
      <c r="O31" s="3"/>
      <c r="P31" s="3"/>
      <c r="Q31" s="3"/>
      <c r="R31" s="3"/>
      <c r="S31" s="3"/>
      <c r="T31" s="3"/>
      <c r="U31" s="3"/>
      <c r="V31" s="3"/>
      <c r="W31" s="3"/>
      <c r="X31" s="3"/>
      <c r="Y31" s="3"/>
      <c r="Z31" s="3"/>
    </row>
    <row r="32" spans="1:26" ht="15" customHeight="1" x14ac:dyDescent="0.25">
      <c r="A32" s="1" t="s">
        <v>35</v>
      </c>
      <c r="B32" s="3"/>
      <c r="C32" s="3"/>
      <c r="D32" s="3"/>
      <c r="E32" s="3"/>
      <c r="F32" s="3"/>
      <c r="G32" s="3"/>
      <c r="H32" s="3"/>
      <c r="I32" s="3"/>
      <c r="J32" s="3"/>
      <c r="K32" s="3"/>
      <c r="L32" s="3"/>
      <c r="M32" s="3"/>
      <c r="N32" s="3"/>
      <c r="O32" s="3"/>
      <c r="P32" s="3"/>
      <c r="Q32" s="3"/>
      <c r="R32" s="3"/>
      <c r="S32" s="3"/>
      <c r="T32" s="3"/>
      <c r="U32" s="3"/>
      <c r="V32" s="3"/>
      <c r="W32" s="3"/>
      <c r="X32" s="3"/>
      <c r="Y32" s="3"/>
      <c r="Z32" s="3"/>
    </row>
    <row r="33" spans="1:26" ht="15" customHeight="1" x14ac:dyDescent="0.25">
      <c r="A33" s="1" t="s">
        <v>36</v>
      </c>
      <c r="B33" s="3"/>
      <c r="C33" s="3"/>
      <c r="D33" s="3"/>
      <c r="E33" s="3"/>
      <c r="F33" s="3"/>
      <c r="G33" s="3"/>
      <c r="H33" s="3"/>
      <c r="I33" s="3"/>
      <c r="J33" s="3"/>
      <c r="K33" s="3"/>
      <c r="L33" s="3"/>
      <c r="M33" s="3"/>
      <c r="N33" s="3"/>
      <c r="O33" s="3"/>
      <c r="P33" s="3"/>
      <c r="Q33" s="3"/>
      <c r="R33" s="3"/>
      <c r="S33" s="3"/>
      <c r="T33" s="3"/>
      <c r="U33" s="3"/>
      <c r="V33" s="3"/>
      <c r="W33" s="3"/>
      <c r="X33" s="3"/>
      <c r="Y33" s="3"/>
      <c r="Z33" s="3"/>
    </row>
    <row r="34" spans="1:26" ht="15" customHeight="1" x14ac:dyDescent="0.25">
      <c r="A34" s="1" t="s">
        <v>37</v>
      </c>
      <c r="B34" s="3"/>
      <c r="C34" s="3"/>
      <c r="D34" s="3"/>
      <c r="E34" s="3"/>
      <c r="F34" s="3"/>
      <c r="G34" s="3"/>
      <c r="H34" s="3"/>
      <c r="I34" s="3"/>
      <c r="J34" s="3"/>
      <c r="K34" s="3"/>
      <c r="L34" s="3"/>
      <c r="M34" s="3"/>
      <c r="N34" s="3"/>
      <c r="O34" s="3"/>
      <c r="P34" s="3"/>
      <c r="Q34" s="3"/>
      <c r="R34" s="3"/>
      <c r="S34" s="3"/>
      <c r="T34" s="3"/>
      <c r="U34" s="3"/>
      <c r="V34" s="3"/>
      <c r="W34" s="3"/>
      <c r="X34" s="3"/>
      <c r="Y34" s="3"/>
      <c r="Z34" s="3"/>
    </row>
    <row r="35" spans="1:26" ht="15" customHeight="1" x14ac:dyDescent="0.25">
      <c r="A35" s="1" t="s">
        <v>38</v>
      </c>
      <c r="B35" s="3"/>
      <c r="C35" s="3"/>
      <c r="D35" s="3"/>
      <c r="E35" s="3"/>
      <c r="F35" s="3"/>
      <c r="G35" s="3"/>
      <c r="H35" s="3"/>
      <c r="I35" s="3"/>
      <c r="J35" s="3"/>
      <c r="K35" s="3"/>
      <c r="L35" s="3"/>
      <c r="M35" s="3"/>
      <c r="N35" s="3"/>
      <c r="O35" s="3"/>
      <c r="P35" s="3"/>
      <c r="Q35" s="3"/>
      <c r="R35" s="3"/>
      <c r="S35" s="3"/>
      <c r="T35" s="3"/>
      <c r="U35" s="3"/>
      <c r="V35" s="3"/>
      <c r="W35" s="3"/>
      <c r="X35" s="3"/>
      <c r="Y35" s="3"/>
      <c r="Z35" s="3"/>
    </row>
    <row r="36" spans="1:26" ht="15" customHeight="1" x14ac:dyDescent="0.25">
      <c r="A36" s="1" t="s">
        <v>39</v>
      </c>
      <c r="B36" s="3"/>
      <c r="C36" s="3"/>
      <c r="D36" s="3"/>
      <c r="E36" s="3"/>
      <c r="F36" s="3"/>
      <c r="G36" s="3"/>
      <c r="H36" s="3"/>
      <c r="I36" s="3"/>
      <c r="J36" s="3"/>
      <c r="K36" s="3"/>
      <c r="L36" s="3"/>
      <c r="M36" s="3"/>
      <c r="N36" s="3"/>
      <c r="O36" s="3"/>
      <c r="P36" s="3"/>
      <c r="Q36" s="3"/>
      <c r="R36" s="3"/>
      <c r="S36" s="3"/>
      <c r="T36" s="3"/>
      <c r="U36" s="3"/>
      <c r="V36" s="3"/>
      <c r="W36" s="3"/>
      <c r="X36" s="3"/>
      <c r="Y36" s="3"/>
      <c r="Z36" s="3"/>
    </row>
    <row r="37" spans="1:26" ht="15" customHeight="1" x14ac:dyDescent="0.25">
      <c r="A37" s="1" t="s">
        <v>40</v>
      </c>
      <c r="B37" s="3"/>
      <c r="C37" s="5" t="s">
        <v>3</v>
      </c>
      <c r="D37" s="5" t="s">
        <v>4</v>
      </c>
      <c r="E37" s="3"/>
      <c r="F37" s="3"/>
      <c r="G37" s="3"/>
      <c r="H37" s="3"/>
      <c r="I37" s="3"/>
      <c r="J37" s="3"/>
      <c r="K37" s="3"/>
      <c r="L37" s="3"/>
      <c r="M37" s="3"/>
      <c r="N37" s="3"/>
      <c r="O37" s="3"/>
      <c r="P37" s="3"/>
      <c r="Q37" s="3"/>
      <c r="R37" s="3"/>
      <c r="S37" s="3"/>
      <c r="T37" s="3"/>
      <c r="U37" s="3"/>
      <c r="V37" s="3"/>
      <c r="W37" s="3"/>
      <c r="X37" s="3"/>
      <c r="Y37" s="3"/>
      <c r="Z37" s="3"/>
    </row>
    <row r="38" spans="1:26" ht="15" customHeight="1" x14ac:dyDescent="0.25">
      <c r="A38" s="1" t="s">
        <v>41</v>
      </c>
      <c r="B38" s="3"/>
      <c r="C38" s="6" t="s">
        <v>7</v>
      </c>
      <c r="D38" s="6">
        <v>50</v>
      </c>
      <c r="E38" s="7"/>
      <c r="F38" s="3"/>
      <c r="G38" s="3"/>
      <c r="H38" s="3"/>
      <c r="I38" s="3"/>
      <c r="J38" s="3"/>
      <c r="K38" s="3"/>
      <c r="L38" s="3"/>
      <c r="M38" s="3"/>
      <c r="N38" s="3"/>
      <c r="O38" s="3"/>
      <c r="P38" s="3"/>
      <c r="Q38" s="3"/>
      <c r="R38" s="3"/>
      <c r="S38" s="3"/>
      <c r="T38" s="3"/>
      <c r="U38" s="3"/>
      <c r="V38" s="3"/>
      <c r="W38" s="3"/>
      <c r="X38" s="3"/>
      <c r="Y38" s="3"/>
      <c r="Z38" s="3"/>
    </row>
    <row r="39" spans="1:26" ht="15" customHeight="1" x14ac:dyDescent="0.25">
      <c r="A39" s="1" t="s">
        <v>42</v>
      </c>
      <c r="B39" s="3"/>
      <c r="C39" s="6" t="s">
        <v>10</v>
      </c>
      <c r="D39" s="6">
        <v>20</v>
      </c>
      <c r="E39" s="7"/>
      <c r="F39" s="3"/>
      <c r="G39" s="3"/>
      <c r="H39" s="3"/>
      <c r="I39" s="3"/>
      <c r="J39" s="3"/>
      <c r="K39" s="3"/>
      <c r="L39" s="3"/>
      <c r="M39" s="3"/>
      <c r="N39" s="3"/>
      <c r="O39" s="3"/>
      <c r="P39" s="3"/>
      <c r="Q39" s="3"/>
      <c r="R39" s="3"/>
      <c r="S39" s="3"/>
      <c r="T39" s="3"/>
      <c r="U39" s="3"/>
      <c r="V39" s="3"/>
      <c r="W39" s="3"/>
      <c r="X39" s="3"/>
      <c r="Y39" s="3"/>
      <c r="Z39" s="3"/>
    </row>
    <row r="40" spans="1:26" ht="15" customHeight="1" x14ac:dyDescent="0.25">
      <c r="A40" s="1" t="s">
        <v>43</v>
      </c>
      <c r="B40" s="3"/>
      <c r="C40" s="6" t="s">
        <v>13</v>
      </c>
      <c r="D40" s="6">
        <v>60</v>
      </c>
      <c r="E40" s="7"/>
      <c r="F40" s="3"/>
      <c r="G40" s="3"/>
      <c r="H40" s="3"/>
      <c r="I40" s="3"/>
      <c r="J40" s="3"/>
      <c r="K40" s="3"/>
      <c r="L40" s="3"/>
      <c r="M40" s="3"/>
      <c r="N40" s="3"/>
      <c r="O40" s="3"/>
      <c r="P40" s="3"/>
      <c r="Q40" s="3"/>
      <c r="R40" s="3"/>
      <c r="S40" s="3"/>
      <c r="T40" s="3"/>
      <c r="U40" s="3"/>
      <c r="V40" s="3"/>
      <c r="W40" s="3"/>
      <c r="X40" s="3"/>
      <c r="Y40" s="3"/>
      <c r="Z40" s="3"/>
    </row>
    <row r="41" spans="1:26" ht="15" customHeight="1" x14ac:dyDescent="0.25">
      <c r="A41" s="1" t="s">
        <v>44</v>
      </c>
      <c r="B41" s="3"/>
      <c r="C41" s="6" t="s">
        <v>16</v>
      </c>
      <c r="D41" s="6">
        <v>40</v>
      </c>
      <c r="E41" s="7"/>
      <c r="F41" s="3"/>
      <c r="G41" s="3"/>
      <c r="H41" s="3"/>
      <c r="I41" s="3"/>
      <c r="J41" s="3"/>
      <c r="K41" s="3"/>
      <c r="L41" s="3"/>
      <c r="M41" s="3"/>
      <c r="N41" s="3"/>
      <c r="O41" s="3"/>
      <c r="P41" s="3"/>
      <c r="Q41" s="3"/>
      <c r="R41" s="3"/>
      <c r="S41" s="3"/>
      <c r="T41" s="3"/>
      <c r="U41" s="3"/>
      <c r="V41" s="3"/>
      <c r="W41" s="3"/>
      <c r="X41" s="3"/>
      <c r="Y41" s="3"/>
      <c r="Z41" s="3"/>
    </row>
    <row r="42" spans="1:26" ht="15" customHeight="1" x14ac:dyDescent="0.25">
      <c r="A42" s="1" t="s">
        <v>45</v>
      </c>
      <c r="B42" s="3"/>
      <c r="C42" s="7"/>
      <c r="D42" s="9">
        <f>SUM(D38:D41)</f>
        <v>170</v>
      </c>
      <c r="E42" s="7"/>
      <c r="F42" s="7"/>
      <c r="G42" s="7"/>
      <c r="H42" s="3"/>
      <c r="I42" s="3"/>
      <c r="J42" s="3"/>
      <c r="K42" s="3"/>
      <c r="L42" s="3"/>
      <c r="M42" s="3"/>
      <c r="N42" s="3"/>
      <c r="O42" s="3"/>
      <c r="P42" s="3"/>
      <c r="Q42" s="3"/>
      <c r="R42" s="3"/>
      <c r="S42" s="3"/>
      <c r="T42" s="3"/>
      <c r="U42" s="3"/>
      <c r="V42" s="3"/>
      <c r="W42" s="3"/>
      <c r="X42" s="3"/>
      <c r="Y42" s="3"/>
      <c r="Z42" s="3"/>
    </row>
    <row r="43" spans="1:26" ht="15" customHeight="1" x14ac:dyDescent="0.25">
      <c r="A43" s="1" t="s">
        <v>46</v>
      </c>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x14ac:dyDescent="0.25">
      <c r="A44" s="1"/>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x14ac:dyDescent="0.25">
      <c r="A45" s="1"/>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x14ac:dyDescent="0.25">
      <c r="A46" s="1"/>
      <c r="B46" s="3"/>
      <c r="C46" s="3"/>
      <c r="D46" s="3"/>
      <c r="E46" s="3"/>
      <c r="F46" s="3"/>
      <c r="G46" s="3"/>
      <c r="H46" s="3"/>
      <c r="I46" s="3"/>
      <c r="J46" s="3"/>
      <c r="K46" s="3"/>
      <c r="L46" s="3"/>
      <c r="M46" s="3"/>
      <c r="N46" s="3"/>
      <c r="O46" s="3"/>
      <c r="P46" s="3"/>
      <c r="Q46" s="3"/>
      <c r="R46" s="3"/>
      <c r="S46" s="3"/>
      <c r="T46" s="3"/>
      <c r="U46" s="3"/>
      <c r="V46" s="3"/>
      <c r="W46" s="3"/>
      <c r="X46" s="3"/>
      <c r="Y46" s="3"/>
      <c r="Z46" s="3"/>
    </row>
    <row r="47" spans="1:26" ht="15" customHeight="1" x14ac:dyDescent="0.25">
      <c r="A47" s="1"/>
      <c r="B47" s="3"/>
      <c r="C47" s="5" t="s">
        <v>21</v>
      </c>
      <c r="D47" s="5" t="s">
        <v>4</v>
      </c>
      <c r="E47" s="7"/>
      <c r="F47" s="5" t="s">
        <v>21</v>
      </c>
      <c r="G47" s="5" t="s">
        <v>4</v>
      </c>
      <c r="H47" s="3"/>
      <c r="I47" s="3"/>
      <c r="J47" s="3"/>
      <c r="K47" s="3"/>
      <c r="L47" s="3"/>
      <c r="M47" s="3"/>
      <c r="N47" s="3"/>
      <c r="O47" s="3"/>
      <c r="P47" s="3"/>
      <c r="Q47" s="3"/>
      <c r="R47" s="3"/>
      <c r="S47" s="3"/>
      <c r="T47" s="3"/>
      <c r="U47" s="3"/>
      <c r="V47" s="3"/>
      <c r="W47" s="3"/>
      <c r="X47" s="3"/>
      <c r="Y47" s="3"/>
      <c r="Z47" s="3"/>
    </row>
    <row r="48" spans="1:26" ht="15" customHeight="1" x14ac:dyDescent="0.25">
      <c r="A48" s="1"/>
      <c r="B48" s="3"/>
      <c r="C48" s="6" t="s">
        <v>47</v>
      </c>
      <c r="D48" s="6">
        <v>20</v>
      </c>
      <c r="E48" s="7"/>
      <c r="F48" s="6" t="s">
        <v>48</v>
      </c>
      <c r="G48" s="6">
        <v>20</v>
      </c>
      <c r="H48" s="3"/>
      <c r="I48" s="3"/>
      <c r="J48" s="3"/>
      <c r="K48" s="3"/>
      <c r="L48" s="3"/>
      <c r="M48" s="3"/>
      <c r="N48" s="3"/>
      <c r="O48" s="3"/>
      <c r="P48" s="3"/>
      <c r="Q48" s="3"/>
      <c r="R48" s="3"/>
      <c r="S48" s="3"/>
      <c r="T48" s="3"/>
      <c r="U48" s="3"/>
      <c r="V48" s="3"/>
      <c r="W48" s="3"/>
      <c r="X48" s="3"/>
      <c r="Y48" s="3"/>
      <c r="Z48" s="3"/>
    </row>
    <row r="49" spans="1:26" ht="15" customHeight="1" x14ac:dyDescent="0.25">
      <c r="A49" s="1"/>
      <c r="B49" s="3"/>
      <c r="C49" s="6"/>
      <c r="D49" s="6"/>
      <c r="E49" s="7"/>
      <c r="F49" s="6" t="s">
        <v>49</v>
      </c>
      <c r="G49" s="6">
        <v>10</v>
      </c>
      <c r="H49" s="3"/>
      <c r="I49" s="3"/>
      <c r="J49" s="3"/>
      <c r="K49" s="3"/>
      <c r="L49" s="3"/>
      <c r="M49" s="3"/>
      <c r="N49" s="3"/>
      <c r="O49" s="3"/>
      <c r="P49" s="3"/>
      <c r="Q49" s="3"/>
      <c r="R49" s="3"/>
      <c r="S49" s="3"/>
      <c r="T49" s="3"/>
      <c r="U49" s="3"/>
      <c r="V49" s="3"/>
      <c r="W49" s="3"/>
      <c r="X49" s="3"/>
      <c r="Y49" s="3"/>
      <c r="Z49" s="3"/>
    </row>
    <row r="50" spans="1:26" ht="15" customHeight="1" x14ac:dyDescent="0.25">
      <c r="A50" s="1"/>
      <c r="B50" s="3"/>
      <c r="C50" s="6"/>
      <c r="D50" s="6"/>
      <c r="E50" s="7"/>
      <c r="F50" s="6" t="s">
        <v>50</v>
      </c>
      <c r="G50" s="6">
        <v>10</v>
      </c>
      <c r="H50" s="3"/>
      <c r="I50" s="3"/>
      <c r="J50" s="3"/>
      <c r="K50" s="3"/>
      <c r="L50" s="3"/>
      <c r="M50" s="3"/>
      <c r="N50" s="3"/>
      <c r="O50" s="3"/>
      <c r="P50" s="3"/>
      <c r="Q50" s="3"/>
      <c r="R50" s="3"/>
      <c r="S50" s="3"/>
      <c r="T50" s="3"/>
      <c r="U50" s="3"/>
      <c r="V50" s="3"/>
      <c r="W50" s="3"/>
      <c r="X50" s="3"/>
      <c r="Y50" s="3"/>
      <c r="Z50" s="3"/>
    </row>
    <row r="51" spans="1:26" ht="15" customHeight="1" x14ac:dyDescent="0.25">
      <c r="A51" s="1"/>
      <c r="B51" s="3"/>
      <c r="C51" s="6"/>
      <c r="D51" s="6"/>
      <c r="E51" s="7"/>
      <c r="F51" s="6" t="s">
        <v>51</v>
      </c>
      <c r="G51" s="6">
        <v>40</v>
      </c>
      <c r="H51" s="3"/>
      <c r="I51" s="3"/>
      <c r="J51" s="3"/>
      <c r="K51" s="3"/>
      <c r="L51" s="3"/>
      <c r="M51" s="3"/>
      <c r="N51" s="3"/>
      <c r="O51" s="3"/>
      <c r="P51" s="3"/>
      <c r="Q51" s="3"/>
      <c r="R51" s="3"/>
      <c r="S51" s="3"/>
      <c r="T51" s="3"/>
      <c r="U51" s="3"/>
      <c r="V51" s="3"/>
      <c r="W51" s="3"/>
      <c r="X51" s="3"/>
      <c r="Y51" s="3"/>
      <c r="Z51" s="3"/>
    </row>
    <row r="52" spans="1:26" ht="15.75" customHeight="1" x14ac:dyDescent="0.25">
      <c r="A52" s="1"/>
      <c r="B52" s="3"/>
      <c r="C52" s="3"/>
      <c r="D52" s="3"/>
      <c r="E52" s="3"/>
      <c r="F52" s="3"/>
      <c r="G52" s="3"/>
      <c r="H52" s="3"/>
      <c r="I52" s="3"/>
      <c r="J52" s="3"/>
      <c r="K52" s="3"/>
      <c r="L52" s="3"/>
      <c r="M52" s="3"/>
      <c r="N52" s="3"/>
      <c r="O52" s="3"/>
      <c r="P52" s="3"/>
      <c r="Q52" s="3"/>
      <c r="R52" s="3"/>
      <c r="S52" s="3"/>
      <c r="T52" s="3"/>
      <c r="U52" s="3"/>
      <c r="V52" s="3"/>
      <c r="W52" s="3"/>
      <c r="X52" s="3"/>
      <c r="Y52" s="3"/>
      <c r="Z52" s="3"/>
    </row>
    <row r="53" spans="1:26" ht="15" customHeight="1" x14ac:dyDescent="0.25">
      <c r="A53" s="1"/>
      <c r="B53" s="3"/>
      <c r="C53" s="3"/>
      <c r="D53" s="3"/>
      <c r="E53" s="5" t="s">
        <v>52</v>
      </c>
      <c r="F53" s="3"/>
      <c r="G53" s="3"/>
      <c r="H53" s="3"/>
      <c r="I53" s="3"/>
      <c r="J53" s="3"/>
      <c r="K53" s="3"/>
      <c r="L53" s="3"/>
      <c r="M53" s="3"/>
      <c r="N53" s="3"/>
      <c r="O53" s="3"/>
      <c r="P53" s="3"/>
      <c r="Q53" s="3"/>
      <c r="R53" s="3"/>
      <c r="S53" s="3"/>
      <c r="T53" s="3"/>
      <c r="U53" s="3"/>
      <c r="V53" s="3"/>
      <c r="W53" s="3"/>
      <c r="X53" s="3"/>
      <c r="Y53" s="3"/>
      <c r="Z53" s="3"/>
    </row>
    <row r="54" spans="1:26" ht="15" customHeight="1" x14ac:dyDescent="0.25">
      <c r="A54" s="1"/>
      <c r="B54" s="3"/>
      <c r="C54" s="3"/>
      <c r="D54" s="3"/>
      <c r="E54" s="9">
        <f>SUM(D48,G48:G51,100)</f>
        <v>200</v>
      </c>
      <c r="F54" s="3"/>
      <c r="G54" s="3"/>
      <c r="H54" s="3"/>
      <c r="I54" s="3"/>
      <c r="J54" s="3"/>
      <c r="K54" s="3"/>
      <c r="L54" s="3"/>
      <c r="M54" s="3"/>
      <c r="N54" s="3"/>
      <c r="O54" s="3"/>
      <c r="P54" s="3"/>
      <c r="Q54" s="3"/>
      <c r="R54" s="3"/>
      <c r="S54" s="3"/>
      <c r="T54" s="3"/>
      <c r="U54" s="3"/>
      <c r="V54" s="3"/>
      <c r="W54" s="3"/>
      <c r="X54" s="3"/>
      <c r="Y54" s="3"/>
      <c r="Z54" s="3"/>
    </row>
    <row r="55" spans="1:26" ht="15.75" customHeight="1" x14ac:dyDescent="0.25">
      <c r="A55" s="1"/>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x14ac:dyDescent="0.25">
      <c r="A56" s="1"/>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x14ac:dyDescent="0.25">
      <c r="A57" s="1"/>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x14ac:dyDescent="0.25">
      <c r="A58" s="1"/>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x14ac:dyDescent="0.25">
      <c r="A59" s="1"/>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x14ac:dyDescent="0.25">
      <c r="A60" s="1"/>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x14ac:dyDescent="0.25">
      <c r="A61" s="1"/>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x14ac:dyDescent="0.25">
      <c r="A62" s="1"/>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x14ac:dyDescent="0.25">
      <c r="A63" s="1"/>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x14ac:dyDescent="0.25">
      <c r="A64" s="1"/>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x14ac:dyDescent="0.25">
      <c r="A65" s="1"/>
      <c r="B65" s="3"/>
      <c r="C65" s="3"/>
      <c r="D65" s="3"/>
      <c r="E65" s="3"/>
      <c r="F65" s="3"/>
      <c r="G65" s="3"/>
      <c r="H65" s="3"/>
      <c r="I65" s="3"/>
      <c r="J65" s="3"/>
      <c r="K65" s="3"/>
      <c r="L65" s="3"/>
      <c r="M65" s="3"/>
      <c r="N65" s="3"/>
      <c r="O65" s="3"/>
      <c r="P65" s="3"/>
      <c r="Q65" s="3"/>
      <c r="R65" s="3"/>
      <c r="S65" s="3"/>
      <c r="T65" s="3"/>
      <c r="U65" s="3"/>
      <c r="V65" s="3"/>
      <c r="W65" s="3"/>
      <c r="X65" s="3"/>
      <c r="Y65" s="3"/>
      <c r="Z65" s="3"/>
    </row>
    <row r="66" spans="1:26" ht="15" customHeight="1" x14ac:dyDescent="0.25">
      <c r="A66" s="1" t="s">
        <v>53</v>
      </c>
      <c r="B66" s="3"/>
      <c r="C66" s="3"/>
      <c r="D66" s="3"/>
      <c r="E66" s="3"/>
      <c r="F66" s="3"/>
      <c r="G66" s="3"/>
      <c r="H66" s="3"/>
      <c r="I66" s="3"/>
      <c r="J66" s="3"/>
      <c r="K66" s="3"/>
      <c r="L66" s="3"/>
      <c r="M66" s="3"/>
      <c r="N66" s="3"/>
      <c r="O66" s="3"/>
      <c r="P66" s="3"/>
      <c r="Q66" s="3"/>
      <c r="R66" s="3"/>
      <c r="S66" s="3"/>
      <c r="T66" s="3"/>
      <c r="U66" s="3"/>
      <c r="V66" s="3"/>
      <c r="W66" s="3"/>
      <c r="X66" s="3"/>
      <c r="Y66" s="3"/>
      <c r="Z66" s="3"/>
    </row>
    <row r="67" spans="1:26" ht="15" customHeight="1" x14ac:dyDescent="0.25">
      <c r="A67" s="1" t="s">
        <v>54</v>
      </c>
      <c r="B67" s="3"/>
      <c r="C67" s="3"/>
      <c r="D67" s="3"/>
      <c r="E67" s="3"/>
      <c r="F67" s="3"/>
      <c r="G67" s="3"/>
      <c r="H67" s="3"/>
      <c r="I67" s="3"/>
      <c r="J67" s="3"/>
      <c r="K67" s="3"/>
      <c r="L67" s="3"/>
      <c r="M67" s="3"/>
      <c r="N67" s="3"/>
      <c r="O67" s="3"/>
      <c r="P67" s="3"/>
      <c r="Q67" s="3"/>
      <c r="R67" s="3"/>
      <c r="S67" s="3"/>
      <c r="T67" s="3"/>
      <c r="U67" s="3"/>
      <c r="V67" s="3"/>
      <c r="W67" s="3"/>
      <c r="X67" s="3"/>
      <c r="Y67" s="3"/>
      <c r="Z67" s="3"/>
    </row>
    <row r="68" spans="1:26" ht="15" customHeight="1" x14ac:dyDescent="0.25">
      <c r="A68" s="1" t="s">
        <v>55</v>
      </c>
      <c r="B68" s="3"/>
      <c r="C68" s="3"/>
      <c r="D68" s="3"/>
      <c r="E68" s="3"/>
      <c r="F68" s="3"/>
      <c r="G68" s="3"/>
      <c r="H68" s="3"/>
      <c r="I68" s="3"/>
      <c r="J68" s="3"/>
      <c r="K68" s="3"/>
      <c r="L68" s="3"/>
      <c r="M68" s="3"/>
      <c r="N68" s="3"/>
      <c r="O68" s="3"/>
      <c r="P68" s="3"/>
      <c r="Q68" s="3"/>
      <c r="R68" s="3"/>
      <c r="S68" s="3"/>
      <c r="T68" s="3"/>
      <c r="U68" s="3"/>
      <c r="V68" s="3"/>
      <c r="W68" s="3"/>
      <c r="X68" s="3"/>
      <c r="Y68" s="3"/>
      <c r="Z68" s="3"/>
    </row>
    <row r="69" spans="1:26" ht="15" customHeight="1" x14ac:dyDescent="0.25">
      <c r="A69" s="1" t="s">
        <v>56</v>
      </c>
      <c r="B69" s="3"/>
      <c r="C69" s="3"/>
      <c r="D69" s="3"/>
      <c r="E69" s="3"/>
      <c r="F69" s="3"/>
      <c r="G69" s="3"/>
      <c r="H69" s="3"/>
      <c r="I69" s="3"/>
      <c r="J69" s="3"/>
      <c r="K69" s="3"/>
      <c r="L69" s="3"/>
      <c r="M69" s="3"/>
      <c r="N69" s="3"/>
      <c r="O69" s="3"/>
      <c r="P69" s="3"/>
      <c r="Q69" s="3"/>
      <c r="R69" s="3"/>
      <c r="S69" s="3"/>
      <c r="T69" s="3"/>
      <c r="U69" s="3"/>
      <c r="V69" s="3"/>
      <c r="W69" s="3"/>
      <c r="X69" s="3"/>
      <c r="Y69" s="3"/>
      <c r="Z69" s="3"/>
    </row>
    <row r="70" spans="1:26" ht="15" customHeight="1" x14ac:dyDescent="0.25">
      <c r="A70" s="1" t="s">
        <v>57</v>
      </c>
      <c r="B70" s="3"/>
      <c r="C70" s="3"/>
      <c r="D70" s="3"/>
      <c r="E70" s="3"/>
      <c r="F70" s="3"/>
      <c r="G70" s="3"/>
      <c r="H70" s="3"/>
      <c r="I70" s="3"/>
      <c r="J70" s="3"/>
      <c r="K70" s="3"/>
      <c r="L70" s="3"/>
      <c r="M70" s="3"/>
      <c r="N70" s="3"/>
      <c r="O70" s="3"/>
      <c r="P70" s="3"/>
      <c r="Q70" s="3"/>
      <c r="R70" s="3"/>
      <c r="S70" s="3"/>
      <c r="T70" s="3"/>
      <c r="U70" s="3"/>
      <c r="V70" s="3"/>
      <c r="W70" s="3"/>
      <c r="X70" s="3"/>
      <c r="Y70" s="3"/>
      <c r="Z70" s="3"/>
    </row>
    <row r="71" spans="1:26" ht="15" customHeight="1" x14ac:dyDescent="0.25">
      <c r="A71" s="11" t="s">
        <v>58</v>
      </c>
      <c r="B71" s="3"/>
      <c r="C71" s="3"/>
      <c r="D71" s="3"/>
      <c r="E71" s="3"/>
      <c r="F71" s="3"/>
      <c r="G71" s="3"/>
      <c r="H71" s="3"/>
      <c r="I71" s="3"/>
      <c r="J71" s="3"/>
      <c r="K71" s="3"/>
      <c r="L71" s="3"/>
      <c r="M71" s="3"/>
      <c r="N71" s="3"/>
      <c r="O71" s="3"/>
      <c r="P71" s="3"/>
      <c r="Q71" s="3"/>
      <c r="R71" s="3"/>
      <c r="S71" s="3"/>
      <c r="T71" s="3"/>
      <c r="U71" s="3"/>
      <c r="V71" s="3"/>
      <c r="W71" s="3"/>
      <c r="X71" s="3"/>
      <c r="Y71" s="3"/>
      <c r="Z71" s="3"/>
    </row>
    <row r="72" spans="1:26" ht="15" customHeight="1" x14ac:dyDescent="0.25">
      <c r="A72" s="1" t="s">
        <v>59</v>
      </c>
      <c r="B72" s="3"/>
      <c r="C72" s="5" t="s">
        <v>21</v>
      </c>
      <c r="D72" s="5" t="s">
        <v>4</v>
      </c>
      <c r="E72" s="3"/>
      <c r="F72" s="5" t="s">
        <v>21</v>
      </c>
      <c r="G72" s="5" t="s">
        <v>4</v>
      </c>
      <c r="H72" s="3"/>
      <c r="I72" s="3"/>
      <c r="J72" s="3"/>
      <c r="K72" s="3"/>
      <c r="L72" s="3"/>
      <c r="M72" s="3"/>
      <c r="N72" s="3"/>
      <c r="O72" s="3"/>
      <c r="P72" s="3"/>
      <c r="Q72" s="3"/>
      <c r="R72" s="3"/>
      <c r="S72" s="3"/>
      <c r="T72" s="3"/>
      <c r="U72" s="3"/>
      <c r="V72" s="3"/>
      <c r="W72" s="3"/>
      <c r="X72" s="3"/>
      <c r="Y72" s="3"/>
      <c r="Z72" s="3"/>
    </row>
    <row r="73" spans="1:26" ht="15" customHeight="1" x14ac:dyDescent="0.25">
      <c r="A73" s="12" t="s">
        <v>60</v>
      </c>
      <c r="B73" s="3"/>
      <c r="C73" s="6" t="s">
        <v>23</v>
      </c>
      <c r="D73" s="6">
        <v>50</v>
      </c>
      <c r="E73" s="3"/>
      <c r="F73" s="6" t="s">
        <v>23</v>
      </c>
      <c r="G73" s="6">
        <v>50</v>
      </c>
      <c r="H73" s="3"/>
      <c r="I73" s="3"/>
      <c r="J73" s="3"/>
      <c r="K73" s="3"/>
      <c r="L73" s="3"/>
      <c r="M73" s="3"/>
      <c r="N73" s="3"/>
      <c r="O73" s="3"/>
      <c r="P73" s="3"/>
      <c r="Q73" s="3"/>
      <c r="R73" s="3"/>
      <c r="S73" s="3"/>
      <c r="T73" s="3"/>
      <c r="U73" s="3"/>
      <c r="V73" s="3"/>
      <c r="W73" s="3"/>
      <c r="X73" s="3"/>
      <c r="Y73" s="3"/>
      <c r="Z73" s="3"/>
    </row>
    <row r="74" spans="1:26" ht="15" customHeight="1" x14ac:dyDescent="0.25">
      <c r="A74" s="1" t="s">
        <v>61</v>
      </c>
      <c r="B74" s="3"/>
      <c r="C74" s="6" t="s">
        <v>25</v>
      </c>
      <c r="D74" s="6">
        <v>100</v>
      </c>
      <c r="E74" s="3"/>
      <c r="F74" s="6" t="s">
        <v>25</v>
      </c>
      <c r="G74" s="6">
        <v>100</v>
      </c>
      <c r="H74" s="3"/>
      <c r="I74" s="3"/>
      <c r="J74" s="3"/>
      <c r="K74" s="3"/>
      <c r="L74" s="3"/>
      <c r="M74" s="3"/>
      <c r="N74" s="3"/>
      <c r="O74" s="3"/>
      <c r="P74" s="3"/>
      <c r="Q74" s="3"/>
      <c r="R74" s="3"/>
      <c r="S74" s="3"/>
      <c r="T74" s="3"/>
      <c r="U74" s="3"/>
      <c r="V74" s="3"/>
      <c r="W74" s="3"/>
      <c r="X74" s="3"/>
      <c r="Y74" s="3"/>
      <c r="Z74" s="3"/>
    </row>
    <row r="75" spans="1:26" ht="15" customHeight="1" x14ac:dyDescent="0.25">
      <c r="A75" s="1"/>
      <c r="B75" s="3"/>
      <c r="C75" s="6" t="s">
        <v>27</v>
      </c>
      <c r="D75" s="6">
        <v>40</v>
      </c>
      <c r="E75" s="3"/>
      <c r="F75" s="6" t="s">
        <v>27</v>
      </c>
      <c r="G75" s="6">
        <v>40</v>
      </c>
      <c r="H75" s="3"/>
      <c r="I75" s="3"/>
      <c r="J75" s="3"/>
      <c r="K75" s="3"/>
      <c r="L75" s="3"/>
      <c r="M75" s="3"/>
      <c r="N75" s="3"/>
      <c r="O75" s="3"/>
      <c r="P75" s="3"/>
      <c r="Q75" s="3"/>
      <c r="R75" s="3"/>
      <c r="S75" s="3"/>
      <c r="T75" s="3"/>
      <c r="U75" s="3"/>
      <c r="V75" s="3"/>
      <c r="W75" s="3"/>
      <c r="X75" s="3"/>
      <c r="Y75" s="3"/>
      <c r="Z75" s="3"/>
    </row>
    <row r="76" spans="1:26" ht="15" customHeight="1" x14ac:dyDescent="0.25">
      <c r="A76" s="1"/>
      <c r="B76" s="3"/>
      <c r="C76" s="6" t="s">
        <v>28</v>
      </c>
      <c r="D76" s="6">
        <v>50</v>
      </c>
      <c r="E76" s="3"/>
      <c r="F76" s="6" t="s">
        <v>28</v>
      </c>
      <c r="G76" s="6">
        <v>50</v>
      </c>
      <c r="H76" s="3"/>
      <c r="I76" s="3"/>
      <c r="J76" s="3"/>
      <c r="K76" s="3"/>
      <c r="L76" s="3"/>
      <c r="M76" s="3"/>
      <c r="N76" s="3"/>
      <c r="O76" s="3"/>
      <c r="P76" s="3"/>
      <c r="Q76" s="3"/>
      <c r="R76" s="3"/>
      <c r="S76" s="3"/>
      <c r="T76" s="3"/>
      <c r="U76" s="3"/>
      <c r="V76" s="3"/>
      <c r="W76" s="3"/>
      <c r="X76" s="3"/>
      <c r="Y76" s="3"/>
      <c r="Z76" s="3"/>
    </row>
    <row r="77" spans="1:26" ht="15" customHeight="1" x14ac:dyDescent="0.25">
      <c r="A77" s="1"/>
      <c r="B77" s="3"/>
      <c r="C77" s="6" t="s">
        <v>29</v>
      </c>
      <c r="D77" s="6">
        <v>20</v>
      </c>
      <c r="E77" s="3"/>
      <c r="F77" s="6" t="s">
        <v>29</v>
      </c>
      <c r="G77" s="6">
        <v>20</v>
      </c>
      <c r="H77" s="3"/>
      <c r="I77" s="3"/>
      <c r="J77" s="3"/>
      <c r="K77" s="3"/>
      <c r="L77" s="3"/>
      <c r="M77" s="3"/>
      <c r="N77" s="3"/>
      <c r="O77" s="3"/>
      <c r="P77" s="3"/>
      <c r="Q77" s="3"/>
      <c r="R77" s="3"/>
      <c r="S77" s="3"/>
      <c r="T77" s="3"/>
      <c r="U77" s="3"/>
      <c r="V77" s="3"/>
      <c r="W77" s="3"/>
      <c r="X77" s="3"/>
      <c r="Y77" s="3"/>
      <c r="Z77" s="3"/>
    </row>
    <row r="78" spans="1:26" ht="15" customHeight="1" x14ac:dyDescent="0.25">
      <c r="A78" s="1"/>
      <c r="B78" s="3"/>
      <c r="C78" s="3"/>
      <c r="D78" s="9">
        <f>SUMIF(D73:D77,"&gt;50")</f>
        <v>100</v>
      </c>
      <c r="E78" s="3"/>
      <c r="F78" s="7"/>
      <c r="G78" s="10">
        <f>SUMIF(G73:G77,"&gt;=50")</f>
        <v>200</v>
      </c>
      <c r="H78" s="3"/>
      <c r="I78" s="3"/>
      <c r="J78" s="3"/>
      <c r="K78" s="3"/>
      <c r="L78" s="3"/>
      <c r="M78" s="3"/>
      <c r="N78" s="3"/>
      <c r="O78" s="3"/>
      <c r="P78" s="3"/>
      <c r="Q78" s="3"/>
      <c r="R78" s="3"/>
      <c r="S78" s="3"/>
      <c r="T78" s="3"/>
      <c r="U78" s="3"/>
      <c r="V78" s="3"/>
      <c r="W78" s="3"/>
      <c r="X78" s="3"/>
      <c r="Y78" s="3"/>
      <c r="Z78" s="3"/>
    </row>
    <row r="79" spans="1:26" ht="15" customHeight="1" x14ac:dyDescent="0.25">
      <c r="A79" s="1"/>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x14ac:dyDescent="0.25">
      <c r="A80" s="1"/>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x14ac:dyDescent="0.25">
      <c r="A81" s="1"/>
      <c r="B81" s="3"/>
      <c r="C81" s="3"/>
      <c r="D81" s="3"/>
      <c r="E81" s="3"/>
      <c r="F81" s="3"/>
      <c r="G81" s="3"/>
      <c r="H81" s="3"/>
      <c r="I81" s="3"/>
      <c r="J81" s="3"/>
      <c r="K81" s="3"/>
      <c r="L81" s="3"/>
      <c r="M81" s="3"/>
      <c r="N81" s="3"/>
      <c r="O81" s="3"/>
      <c r="P81" s="3"/>
      <c r="Q81" s="3"/>
      <c r="R81" s="3"/>
      <c r="S81" s="3"/>
      <c r="T81" s="3"/>
      <c r="U81" s="3"/>
      <c r="V81" s="3"/>
      <c r="W81" s="3"/>
      <c r="X81" s="3"/>
      <c r="Y81" s="3"/>
      <c r="Z81" s="3"/>
    </row>
    <row r="82" spans="1:26" ht="15" customHeight="1" x14ac:dyDescent="0.25">
      <c r="A82" s="1"/>
      <c r="B82" s="3"/>
      <c r="C82" s="3"/>
      <c r="D82" s="3"/>
      <c r="E82" s="3"/>
      <c r="F82" s="3"/>
      <c r="G82" s="3"/>
      <c r="H82" s="3"/>
      <c r="I82" s="3"/>
      <c r="J82" s="3"/>
      <c r="K82" s="3"/>
      <c r="L82" s="3"/>
      <c r="M82" s="3"/>
      <c r="N82" s="3"/>
      <c r="O82" s="3"/>
      <c r="P82" s="3"/>
      <c r="Q82" s="3"/>
      <c r="R82" s="3"/>
      <c r="S82" s="3"/>
      <c r="T82" s="3"/>
      <c r="U82" s="3"/>
      <c r="V82" s="3"/>
      <c r="W82" s="3"/>
      <c r="X82" s="3"/>
      <c r="Y82" s="3"/>
      <c r="Z82" s="3"/>
    </row>
    <row r="83" spans="1:26" ht="15" customHeight="1" x14ac:dyDescent="0.25">
      <c r="A83" s="1"/>
      <c r="B83" s="3"/>
      <c r="C83" s="3"/>
      <c r="D83" s="3"/>
      <c r="E83" s="3"/>
      <c r="F83" s="3"/>
      <c r="G83" s="3"/>
      <c r="H83" s="3"/>
      <c r="I83" s="3"/>
      <c r="J83" s="3"/>
      <c r="K83" s="3"/>
      <c r="L83" s="3"/>
      <c r="M83" s="3"/>
      <c r="N83" s="3"/>
      <c r="O83" s="3"/>
      <c r="P83" s="3"/>
      <c r="Q83" s="3"/>
      <c r="R83" s="3"/>
      <c r="S83" s="3"/>
      <c r="T83" s="3"/>
      <c r="U83" s="3"/>
      <c r="V83" s="3"/>
      <c r="W83" s="3"/>
      <c r="X83" s="3"/>
      <c r="Y83" s="3"/>
      <c r="Z83" s="3"/>
    </row>
    <row r="84" spans="1:26" ht="15" customHeight="1" x14ac:dyDescent="0.25">
      <c r="A84" s="1"/>
      <c r="B84" s="3"/>
      <c r="C84" s="3"/>
      <c r="D84" s="3"/>
      <c r="E84" s="3"/>
      <c r="F84" s="3"/>
      <c r="G84" s="3"/>
      <c r="H84" s="3"/>
      <c r="I84" s="3"/>
      <c r="J84" s="3"/>
      <c r="K84" s="3"/>
      <c r="L84" s="3"/>
      <c r="M84" s="3"/>
      <c r="N84" s="3"/>
      <c r="O84" s="3"/>
      <c r="P84" s="3"/>
      <c r="Q84" s="3"/>
      <c r="R84" s="3"/>
      <c r="S84" s="3"/>
      <c r="T84" s="3"/>
      <c r="U84" s="3"/>
      <c r="V84" s="3"/>
      <c r="W84" s="3"/>
      <c r="X84" s="3"/>
      <c r="Y84" s="3"/>
      <c r="Z84" s="3"/>
    </row>
    <row r="85" spans="1:26" ht="15" customHeight="1" x14ac:dyDescent="0.25">
      <c r="A85" s="1"/>
      <c r="B85" s="3"/>
      <c r="C85" s="3"/>
      <c r="D85" s="3"/>
      <c r="E85" s="3"/>
      <c r="F85" s="3"/>
      <c r="G85" s="3"/>
      <c r="H85" s="3"/>
      <c r="I85" s="3"/>
      <c r="J85" s="3"/>
      <c r="K85" s="3"/>
      <c r="L85" s="3"/>
      <c r="M85" s="3"/>
      <c r="N85" s="3"/>
      <c r="O85" s="3"/>
      <c r="P85" s="3"/>
      <c r="Q85" s="3"/>
      <c r="R85" s="3"/>
      <c r="S85" s="3"/>
      <c r="T85" s="3"/>
      <c r="U85" s="3"/>
      <c r="V85" s="3"/>
      <c r="W85" s="3"/>
      <c r="X85" s="3"/>
      <c r="Y85" s="3"/>
      <c r="Z85" s="3"/>
    </row>
    <row r="86" spans="1:26" ht="15" customHeight="1" x14ac:dyDescent="0.25">
      <c r="A86" s="1" t="s">
        <v>62</v>
      </c>
      <c r="B86" s="3"/>
      <c r="C86" s="3"/>
      <c r="D86" s="3"/>
      <c r="E86" s="3"/>
      <c r="F86" s="3"/>
      <c r="G86" s="3"/>
      <c r="H86" s="3"/>
      <c r="I86" s="3"/>
      <c r="J86" s="3"/>
      <c r="K86" s="3"/>
      <c r="L86" s="3"/>
      <c r="M86" s="3"/>
      <c r="N86" s="3"/>
      <c r="O86" s="3"/>
      <c r="P86" s="3"/>
      <c r="Q86" s="3"/>
      <c r="R86" s="3"/>
      <c r="S86" s="3"/>
      <c r="T86" s="3"/>
      <c r="U86" s="3"/>
      <c r="V86" s="3"/>
      <c r="W86" s="3"/>
      <c r="X86" s="3"/>
      <c r="Y86" s="3"/>
      <c r="Z86" s="3"/>
    </row>
    <row r="87" spans="1:26" ht="15" customHeight="1" x14ac:dyDescent="0.25">
      <c r="A87" s="11" t="s">
        <v>63</v>
      </c>
      <c r="B87" s="3"/>
      <c r="C87" s="3"/>
      <c r="D87" s="3"/>
      <c r="E87" s="3"/>
      <c r="F87" s="3"/>
      <c r="G87" s="3"/>
      <c r="H87" s="3"/>
      <c r="I87" s="3"/>
      <c r="J87" s="3"/>
      <c r="K87" s="3"/>
      <c r="L87" s="3"/>
      <c r="M87" s="3"/>
      <c r="N87" s="3"/>
      <c r="O87" s="3"/>
      <c r="P87" s="3"/>
      <c r="Q87" s="3"/>
      <c r="R87" s="3"/>
      <c r="S87" s="3"/>
      <c r="T87" s="3"/>
      <c r="U87" s="3"/>
      <c r="V87" s="3"/>
      <c r="W87" s="3"/>
      <c r="X87" s="3"/>
      <c r="Y87" s="3"/>
      <c r="Z87" s="3"/>
    </row>
    <row r="88" spans="1:26" ht="15" customHeight="1" x14ac:dyDescent="0.25">
      <c r="A88" s="11" t="s">
        <v>64</v>
      </c>
      <c r="B88" s="3"/>
      <c r="C88" s="3"/>
      <c r="D88" s="3"/>
      <c r="E88" s="3"/>
      <c r="F88" s="3"/>
      <c r="G88" s="3"/>
      <c r="H88" s="3"/>
      <c r="I88" s="3"/>
      <c r="J88" s="3"/>
      <c r="K88" s="3"/>
      <c r="L88" s="3"/>
      <c r="M88" s="3"/>
      <c r="N88" s="3"/>
      <c r="O88" s="3"/>
      <c r="P88" s="3"/>
      <c r="Q88" s="3"/>
      <c r="R88" s="3"/>
      <c r="S88" s="3"/>
      <c r="T88" s="3"/>
      <c r="U88" s="3"/>
      <c r="V88" s="3"/>
      <c r="W88" s="3"/>
      <c r="X88" s="3"/>
      <c r="Y88" s="3"/>
      <c r="Z88" s="3"/>
    </row>
    <row r="89" spans="1:26" ht="15" customHeight="1" x14ac:dyDescent="0.25">
      <c r="A89" s="11" t="s">
        <v>65</v>
      </c>
      <c r="B89" s="3"/>
      <c r="C89" s="3"/>
      <c r="D89" s="3"/>
      <c r="E89" s="3"/>
      <c r="F89" s="3"/>
      <c r="G89" s="3"/>
      <c r="H89" s="3"/>
      <c r="I89" s="3"/>
      <c r="J89" s="3"/>
      <c r="K89" s="3"/>
      <c r="L89" s="3"/>
      <c r="M89" s="3"/>
      <c r="N89" s="3"/>
      <c r="O89" s="3"/>
      <c r="P89" s="3"/>
      <c r="Q89" s="3"/>
      <c r="R89" s="3"/>
      <c r="S89" s="3"/>
      <c r="T89" s="3"/>
      <c r="U89" s="3"/>
      <c r="V89" s="3"/>
      <c r="W89" s="3"/>
      <c r="X89" s="3"/>
      <c r="Y89" s="3"/>
      <c r="Z89" s="3"/>
    </row>
    <row r="90" spans="1:26" ht="15" customHeight="1" x14ac:dyDescent="0.25">
      <c r="A90" s="11" t="s">
        <v>66</v>
      </c>
      <c r="B90" s="3"/>
      <c r="C90" s="3"/>
      <c r="D90" s="3"/>
      <c r="E90" s="3"/>
      <c r="F90" s="3"/>
      <c r="G90" s="3"/>
      <c r="H90" s="3"/>
      <c r="I90" s="3"/>
      <c r="J90" s="3"/>
      <c r="K90" s="3"/>
      <c r="L90" s="3"/>
      <c r="M90" s="3"/>
      <c r="N90" s="3"/>
      <c r="O90" s="3"/>
      <c r="P90" s="3"/>
      <c r="Q90" s="3"/>
      <c r="R90" s="3"/>
      <c r="S90" s="3"/>
      <c r="T90" s="3"/>
      <c r="U90" s="3"/>
      <c r="V90" s="3"/>
      <c r="W90" s="3"/>
      <c r="X90" s="3"/>
      <c r="Y90" s="3"/>
      <c r="Z90" s="3"/>
    </row>
    <row r="91" spans="1:26" ht="15" customHeight="1" x14ac:dyDescent="0.25">
      <c r="A91" s="1" t="s">
        <v>67</v>
      </c>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x14ac:dyDescent="0.25">
      <c r="A92" s="1"/>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x14ac:dyDescent="0.25">
      <c r="A93" s="1"/>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x14ac:dyDescent="0.25">
      <c r="A94" s="1"/>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x14ac:dyDescent="0.25">
      <c r="A95" s="1"/>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x14ac:dyDescent="0.25">
      <c r="A96" s="1"/>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x14ac:dyDescent="0.25">
      <c r="A97" s="1"/>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x14ac:dyDescent="0.25">
      <c r="A98" s="1"/>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x14ac:dyDescent="0.25">
      <c r="A99" s="1"/>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x14ac:dyDescent="0.25">
      <c r="A100" s="1"/>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x14ac:dyDescent="0.25">
      <c r="A101" s="1"/>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x14ac:dyDescent="0.25">
      <c r="A102" s="1"/>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x14ac:dyDescent="0.25">
      <c r="A103" s="1"/>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x14ac:dyDescent="0.25">
      <c r="A104" s="1"/>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x14ac:dyDescent="0.25">
      <c r="A105" s="1"/>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x14ac:dyDescent="0.25">
      <c r="A106" s="1"/>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x14ac:dyDescent="0.25">
      <c r="A107" s="1"/>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x14ac:dyDescent="0.25">
      <c r="A108" s="1"/>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x14ac:dyDescent="0.25">
      <c r="A109" s="1"/>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x14ac:dyDescent="0.25">
      <c r="A110" s="1"/>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x14ac:dyDescent="0.25">
      <c r="A111" s="1"/>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x14ac:dyDescent="0.25">
      <c r="A112" s="1"/>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x14ac:dyDescent="0.25">
      <c r="A113" s="1"/>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x14ac:dyDescent="0.25">
      <c r="A114" s="1"/>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x14ac:dyDescent="0.25">
      <c r="A115" s="1"/>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x14ac:dyDescent="0.25">
      <c r="A116" s="1"/>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x14ac:dyDescent="0.25">
      <c r="A117" s="1"/>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x14ac:dyDescent="0.25">
      <c r="A118" s="1"/>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x14ac:dyDescent="0.25">
      <c r="A119" s="1"/>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x14ac:dyDescent="0.25">
      <c r="A120" s="1"/>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x14ac:dyDescent="0.25">
      <c r="A121" s="1"/>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x14ac:dyDescent="0.25">
      <c r="A122" s="1"/>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x14ac:dyDescent="0.25">
      <c r="A123" s="1"/>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x14ac:dyDescent="0.25">
      <c r="A124" s="1"/>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x14ac:dyDescent="0.25">
      <c r="A125" s="1"/>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x14ac:dyDescent="0.25">
      <c r="A126" s="1"/>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x14ac:dyDescent="0.25">
      <c r="A127" s="1"/>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x14ac:dyDescent="0.25">
      <c r="A128" s="1"/>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x14ac:dyDescent="0.25">
      <c r="A129" s="1"/>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x14ac:dyDescent="0.25">
      <c r="A130" s="1"/>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x14ac:dyDescent="0.25">
      <c r="A131" s="1"/>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x14ac:dyDescent="0.25">
      <c r="A132" s="1"/>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x14ac:dyDescent="0.25">
      <c r="A133" s="1"/>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x14ac:dyDescent="0.25">
      <c r="A134" s="1"/>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x14ac:dyDescent="0.25">
      <c r="A135" s="1"/>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x14ac:dyDescent="0.25">
      <c r="A136" s="1"/>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x14ac:dyDescent="0.25">
      <c r="A137" s="1"/>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x14ac:dyDescent="0.25">
      <c r="A138" s="1"/>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x14ac:dyDescent="0.25">
      <c r="A139" s="1"/>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x14ac:dyDescent="0.25">
      <c r="A140" s="1"/>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x14ac:dyDescent="0.25">
      <c r="A141" s="1"/>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x14ac:dyDescent="0.25">
      <c r="A142" s="1"/>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x14ac:dyDescent="0.25">
      <c r="A143" s="1"/>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x14ac:dyDescent="0.25">
      <c r="A144" s="1"/>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x14ac:dyDescent="0.25">
      <c r="A145" s="1"/>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x14ac:dyDescent="0.25">
      <c r="A146" s="1"/>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x14ac:dyDescent="0.25">
      <c r="A147" s="1"/>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x14ac:dyDescent="0.25">
      <c r="A148" s="1"/>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x14ac:dyDescent="0.25">
      <c r="A149" s="1"/>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x14ac:dyDescent="0.25">
      <c r="A150" s="1"/>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x14ac:dyDescent="0.25">
      <c r="A151" s="1"/>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x14ac:dyDescent="0.25">
      <c r="A152" s="1"/>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x14ac:dyDescent="0.25">
      <c r="A153" s="1"/>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x14ac:dyDescent="0.25">
      <c r="A154" s="1"/>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x14ac:dyDescent="0.25">
      <c r="A155" s="1"/>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x14ac:dyDescent="0.25">
      <c r="A156" s="1"/>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x14ac:dyDescent="0.25">
      <c r="A157" s="1"/>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x14ac:dyDescent="0.25">
      <c r="A158" s="1"/>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x14ac:dyDescent="0.25">
      <c r="A159" s="1"/>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x14ac:dyDescent="0.25">
      <c r="A160" s="1"/>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x14ac:dyDescent="0.25">
      <c r="A161" s="1"/>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x14ac:dyDescent="0.25">
      <c r="A162" s="1"/>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x14ac:dyDescent="0.25">
      <c r="A163" s="1"/>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x14ac:dyDescent="0.25">
      <c r="A164" s="1"/>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x14ac:dyDescent="0.25">
      <c r="A165" s="1"/>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x14ac:dyDescent="0.25">
      <c r="A166" s="1"/>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x14ac:dyDescent="0.25">
      <c r="A167" s="1"/>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x14ac:dyDescent="0.25">
      <c r="A168" s="1"/>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x14ac:dyDescent="0.25">
      <c r="A169" s="1"/>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x14ac:dyDescent="0.25">
      <c r="A170" s="1"/>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x14ac:dyDescent="0.25">
      <c r="A171" s="1"/>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x14ac:dyDescent="0.25">
      <c r="A172" s="1"/>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x14ac:dyDescent="0.25">
      <c r="A173" s="1"/>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x14ac:dyDescent="0.25">
      <c r="A174" s="1"/>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x14ac:dyDescent="0.25">
      <c r="A175" s="1"/>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x14ac:dyDescent="0.25">
      <c r="A176" s="1"/>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x14ac:dyDescent="0.25">
      <c r="A177" s="1"/>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x14ac:dyDescent="0.25">
      <c r="A178" s="1"/>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x14ac:dyDescent="0.25">
      <c r="A179" s="1"/>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x14ac:dyDescent="0.25">
      <c r="A180" s="1"/>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x14ac:dyDescent="0.25">
      <c r="A181" s="1"/>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x14ac:dyDescent="0.25">
      <c r="A182" s="1"/>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x14ac:dyDescent="0.25">
      <c r="A183" s="1"/>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x14ac:dyDescent="0.25">
      <c r="A184" s="1"/>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x14ac:dyDescent="0.25">
      <c r="A185" s="1"/>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x14ac:dyDescent="0.25">
      <c r="A186" s="1"/>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x14ac:dyDescent="0.25">
      <c r="A187" s="1"/>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x14ac:dyDescent="0.25">
      <c r="A188" s="1"/>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x14ac:dyDescent="0.25">
      <c r="A189" s="1"/>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x14ac:dyDescent="0.25">
      <c r="A190" s="1"/>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x14ac:dyDescent="0.25">
      <c r="A191" s="1"/>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x14ac:dyDescent="0.25">
      <c r="A192" s="1"/>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x14ac:dyDescent="0.25">
      <c r="A193" s="1"/>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x14ac:dyDescent="0.25">
      <c r="A194" s="1"/>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x14ac:dyDescent="0.25">
      <c r="A195" s="1"/>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x14ac:dyDescent="0.25">
      <c r="A196" s="1"/>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x14ac:dyDescent="0.25">
      <c r="A197" s="1"/>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x14ac:dyDescent="0.25">
      <c r="A198" s="1"/>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x14ac:dyDescent="0.25">
      <c r="A199" s="1"/>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x14ac:dyDescent="0.25">
      <c r="A200" s="1"/>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x14ac:dyDescent="0.25">
      <c r="A201" s="1"/>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x14ac:dyDescent="0.25">
      <c r="A202" s="1"/>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x14ac:dyDescent="0.25">
      <c r="A203" s="1"/>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x14ac:dyDescent="0.25">
      <c r="A204" s="1"/>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x14ac:dyDescent="0.25">
      <c r="A205" s="1"/>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x14ac:dyDescent="0.25">
      <c r="A206" s="1"/>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x14ac:dyDescent="0.25">
      <c r="A207" s="1"/>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x14ac:dyDescent="0.25">
      <c r="A208" s="1"/>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x14ac:dyDescent="0.25">
      <c r="A209" s="1"/>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x14ac:dyDescent="0.25">
      <c r="A210" s="1"/>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x14ac:dyDescent="0.25">
      <c r="A211" s="1"/>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x14ac:dyDescent="0.25">
      <c r="A212" s="1"/>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x14ac:dyDescent="0.25">
      <c r="A213" s="1"/>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x14ac:dyDescent="0.25">
      <c r="A214" s="1"/>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x14ac:dyDescent="0.25">
      <c r="A215" s="1"/>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x14ac:dyDescent="0.25">
      <c r="A216" s="1"/>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x14ac:dyDescent="0.25">
      <c r="A217" s="1"/>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x14ac:dyDescent="0.25">
      <c r="A218" s="1"/>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x14ac:dyDescent="0.25">
      <c r="A219" s="1"/>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x14ac:dyDescent="0.25">
      <c r="A220" s="1"/>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x14ac:dyDescent="0.25">
      <c r="A221" s="1"/>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x14ac:dyDescent="0.25">
      <c r="A222" s="1"/>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x14ac:dyDescent="0.25">
      <c r="A223" s="1"/>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x14ac:dyDescent="0.25">
      <c r="A224" s="1"/>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x14ac:dyDescent="0.25">
      <c r="A225" s="1"/>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x14ac:dyDescent="0.25">
      <c r="A226" s="1"/>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x14ac:dyDescent="0.25">
      <c r="A227" s="1"/>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x14ac:dyDescent="0.25">
      <c r="A228" s="1"/>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x14ac:dyDescent="0.25">
      <c r="A229" s="1"/>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x14ac:dyDescent="0.25">
      <c r="A230" s="1"/>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x14ac:dyDescent="0.25">
      <c r="A231" s="1"/>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x14ac:dyDescent="0.25">
      <c r="A232" s="1"/>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x14ac:dyDescent="0.25">
      <c r="A233" s="1"/>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x14ac:dyDescent="0.25">
      <c r="A234" s="1"/>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x14ac:dyDescent="0.25">
      <c r="A235" s="1"/>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x14ac:dyDescent="0.25">
      <c r="A236" s="1"/>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x14ac:dyDescent="0.25">
      <c r="A237" s="1"/>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x14ac:dyDescent="0.25">
      <c r="A238" s="1"/>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x14ac:dyDescent="0.25">
      <c r="A239" s="1"/>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x14ac:dyDescent="0.25">
      <c r="A240" s="1"/>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x14ac:dyDescent="0.25">
      <c r="A241" s="1"/>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x14ac:dyDescent="0.25">
      <c r="A242" s="1"/>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x14ac:dyDescent="0.25">
      <c r="A243" s="1"/>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x14ac:dyDescent="0.25">
      <c r="A244" s="1"/>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x14ac:dyDescent="0.25">
      <c r="A245" s="1"/>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x14ac:dyDescent="0.25">
      <c r="A246" s="1"/>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x14ac:dyDescent="0.25">
      <c r="A247" s="1"/>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x14ac:dyDescent="0.25">
      <c r="A248" s="1"/>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x14ac:dyDescent="0.25">
      <c r="A249" s="1"/>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x14ac:dyDescent="0.25">
      <c r="A250" s="1"/>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x14ac:dyDescent="0.25">
      <c r="A251" s="1"/>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x14ac:dyDescent="0.25">
      <c r="A252" s="1"/>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x14ac:dyDescent="0.25">
      <c r="A253" s="1"/>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x14ac:dyDescent="0.25">
      <c r="A254" s="1"/>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x14ac:dyDescent="0.25">
      <c r="A255" s="1"/>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x14ac:dyDescent="0.25">
      <c r="A256" s="1"/>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x14ac:dyDescent="0.25">
      <c r="A257" s="1"/>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x14ac:dyDescent="0.25">
      <c r="A258" s="1"/>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x14ac:dyDescent="0.25">
      <c r="A259" s="1"/>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x14ac:dyDescent="0.25">
      <c r="A260" s="1"/>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x14ac:dyDescent="0.25">
      <c r="A261" s="1"/>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x14ac:dyDescent="0.25">
      <c r="A262" s="1"/>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x14ac:dyDescent="0.25">
      <c r="A263" s="1"/>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x14ac:dyDescent="0.25">
      <c r="A264" s="1"/>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x14ac:dyDescent="0.25">
      <c r="A265" s="1"/>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x14ac:dyDescent="0.25">
      <c r="A266" s="1"/>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x14ac:dyDescent="0.25">
      <c r="A267" s="1"/>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x14ac:dyDescent="0.25">
      <c r="A268" s="1"/>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x14ac:dyDescent="0.25">
      <c r="A269" s="1"/>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x14ac:dyDescent="0.25">
      <c r="A270" s="1"/>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x14ac:dyDescent="0.25">
      <c r="A271" s="1"/>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x14ac:dyDescent="0.25">
      <c r="A272" s="1"/>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x14ac:dyDescent="0.25">
      <c r="A273" s="1"/>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x14ac:dyDescent="0.25">
      <c r="A274" s="1"/>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x14ac:dyDescent="0.25">
      <c r="A275" s="1"/>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x14ac:dyDescent="0.25">
      <c r="A276" s="1"/>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x14ac:dyDescent="0.25">
      <c r="A277" s="1"/>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x14ac:dyDescent="0.25">
      <c r="A278" s="1"/>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x14ac:dyDescent="0.25">
      <c r="A279" s="1"/>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x14ac:dyDescent="0.25">
      <c r="A280" s="1"/>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x14ac:dyDescent="0.25">
      <c r="A281" s="1"/>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x14ac:dyDescent="0.25">
      <c r="A282" s="1"/>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x14ac:dyDescent="0.25">
      <c r="A283" s="1"/>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x14ac:dyDescent="0.25">
      <c r="A284" s="1"/>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x14ac:dyDescent="0.25">
      <c r="A285" s="1"/>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x14ac:dyDescent="0.25">
      <c r="A286" s="1"/>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x14ac:dyDescent="0.25">
      <c r="A287" s="1"/>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x14ac:dyDescent="0.25">
      <c r="A288" s="1"/>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x14ac:dyDescent="0.25">
      <c r="A289" s="1"/>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x14ac:dyDescent="0.25">
      <c r="A290" s="1"/>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x14ac:dyDescent="0.25">
      <c r="A291" s="1"/>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x14ac:dyDescent="0.25">
      <c r="A292" s="1"/>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x14ac:dyDescent="0.25">
      <c r="A293" s="1"/>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x14ac:dyDescent="0.25">
      <c r="A294" s="1"/>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x14ac:dyDescent="0.25">
      <c r="A295" s="1"/>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x14ac:dyDescent="0.25">
      <c r="A296" s="1"/>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x14ac:dyDescent="0.25">
      <c r="A297" s="1"/>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x14ac:dyDescent="0.25">
      <c r="A298" s="1"/>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x14ac:dyDescent="0.25">
      <c r="A299" s="1"/>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x14ac:dyDescent="0.25">
      <c r="A300" s="1"/>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x14ac:dyDescent="0.25">
      <c r="A301" s="1"/>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x14ac:dyDescent="0.25">
      <c r="A302" s="1"/>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x14ac:dyDescent="0.25">
      <c r="A303" s="1"/>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x14ac:dyDescent="0.25">
      <c r="A304" s="1"/>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x14ac:dyDescent="0.25">
      <c r="A305" s="1"/>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x14ac:dyDescent="0.25">
      <c r="A306" s="1"/>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x14ac:dyDescent="0.25">
      <c r="A307" s="1"/>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x14ac:dyDescent="0.25">
      <c r="A308" s="1"/>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x14ac:dyDescent="0.25">
      <c r="A309" s="1"/>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x14ac:dyDescent="0.25">
      <c r="A310" s="1"/>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x14ac:dyDescent="0.25">
      <c r="A311" s="1"/>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x14ac:dyDescent="0.25">
      <c r="A312" s="1"/>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x14ac:dyDescent="0.25">
      <c r="A313" s="1"/>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x14ac:dyDescent="0.25">
      <c r="A314" s="1"/>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x14ac:dyDescent="0.25">
      <c r="A315" s="1"/>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x14ac:dyDescent="0.25">
      <c r="A316" s="1"/>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x14ac:dyDescent="0.25">
      <c r="A317" s="1"/>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x14ac:dyDescent="0.25">
      <c r="A318" s="1"/>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x14ac:dyDescent="0.25">
      <c r="A319" s="1"/>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x14ac:dyDescent="0.25">
      <c r="A320" s="1"/>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x14ac:dyDescent="0.25">
      <c r="A321" s="1"/>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x14ac:dyDescent="0.25">
      <c r="A322" s="1"/>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x14ac:dyDescent="0.25">
      <c r="A323" s="1"/>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x14ac:dyDescent="0.25">
      <c r="A324" s="1"/>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x14ac:dyDescent="0.25">
      <c r="A325" s="1"/>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x14ac:dyDescent="0.25">
      <c r="A326" s="1"/>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x14ac:dyDescent="0.25">
      <c r="A327" s="1"/>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x14ac:dyDescent="0.25">
      <c r="A328" s="1"/>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x14ac:dyDescent="0.25">
      <c r="A329" s="1"/>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x14ac:dyDescent="0.25">
      <c r="A330" s="1"/>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x14ac:dyDescent="0.25">
      <c r="A331" s="1"/>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x14ac:dyDescent="0.25">
      <c r="A332" s="1"/>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x14ac:dyDescent="0.25">
      <c r="A333" s="1"/>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x14ac:dyDescent="0.25">
      <c r="A334" s="1"/>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x14ac:dyDescent="0.25">
      <c r="A335" s="1"/>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x14ac:dyDescent="0.25">
      <c r="A336" s="1"/>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x14ac:dyDescent="0.25">
      <c r="A337" s="1"/>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x14ac:dyDescent="0.25">
      <c r="A338" s="1"/>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x14ac:dyDescent="0.25">
      <c r="A339" s="1"/>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x14ac:dyDescent="0.25">
      <c r="A340" s="1"/>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x14ac:dyDescent="0.25">
      <c r="A341" s="1"/>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x14ac:dyDescent="0.25">
      <c r="A342" s="1"/>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x14ac:dyDescent="0.25">
      <c r="A343" s="1"/>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x14ac:dyDescent="0.25">
      <c r="A344" s="1"/>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x14ac:dyDescent="0.25">
      <c r="A345" s="1"/>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x14ac:dyDescent="0.25">
      <c r="A346" s="1"/>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x14ac:dyDescent="0.25">
      <c r="A347" s="1"/>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x14ac:dyDescent="0.25">
      <c r="A348" s="1"/>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x14ac:dyDescent="0.25">
      <c r="A349" s="1"/>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x14ac:dyDescent="0.25">
      <c r="A350" s="1"/>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x14ac:dyDescent="0.25">
      <c r="A351" s="1"/>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x14ac:dyDescent="0.25">
      <c r="A352" s="1"/>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x14ac:dyDescent="0.25">
      <c r="A353" s="1"/>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x14ac:dyDescent="0.25">
      <c r="A354" s="1"/>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x14ac:dyDescent="0.25">
      <c r="A355" s="1"/>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x14ac:dyDescent="0.25">
      <c r="A356" s="1"/>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x14ac:dyDescent="0.25">
      <c r="A357" s="1"/>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x14ac:dyDescent="0.25">
      <c r="A358" s="1"/>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x14ac:dyDescent="0.25">
      <c r="A359" s="1"/>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x14ac:dyDescent="0.25">
      <c r="A360" s="1"/>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x14ac:dyDescent="0.25">
      <c r="A361" s="1"/>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x14ac:dyDescent="0.25">
      <c r="A362" s="1"/>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x14ac:dyDescent="0.25">
      <c r="A363" s="1"/>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x14ac:dyDescent="0.25">
      <c r="A364" s="1"/>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x14ac:dyDescent="0.25">
      <c r="A365" s="1"/>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x14ac:dyDescent="0.25">
      <c r="A366" s="1"/>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x14ac:dyDescent="0.25">
      <c r="A367" s="1"/>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x14ac:dyDescent="0.25">
      <c r="A368" s="1"/>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x14ac:dyDescent="0.25">
      <c r="A369" s="1"/>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x14ac:dyDescent="0.25">
      <c r="A370" s="1"/>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x14ac:dyDescent="0.25">
      <c r="A371" s="1"/>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x14ac:dyDescent="0.25">
      <c r="A372" s="1"/>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x14ac:dyDescent="0.25">
      <c r="A373" s="1"/>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x14ac:dyDescent="0.25">
      <c r="A374" s="1"/>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x14ac:dyDescent="0.25">
      <c r="A375" s="1"/>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x14ac:dyDescent="0.25">
      <c r="A376" s="1"/>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x14ac:dyDescent="0.25">
      <c r="A377" s="1"/>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x14ac:dyDescent="0.25">
      <c r="A378" s="1"/>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x14ac:dyDescent="0.25">
      <c r="A379" s="1"/>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x14ac:dyDescent="0.25">
      <c r="A380" s="1"/>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x14ac:dyDescent="0.25">
      <c r="A381" s="1"/>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x14ac:dyDescent="0.25">
      <c r="A382" s="1"/>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x14ac:dyDescent="0.25">
      <c r="A383" s="1"/>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x14ac:dyDescent="0.25">
      <c r="A384" s="1"/>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x14ac:dyDescent="0.25">
      <c r="A385" s="1"/>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x14ac:dyDescent="0.25">
      <c r="A386" s="1"/>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x14ac:dyDescent="0.25">
      <c r="A387" s="1"/>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x14ac:dyDescent="0.25">
      <c r="A388" s="1"/>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x14ac:dyDescent="0.25">
      <c r="A389" s="1"/>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x14ac:dyDescent="0.25">
      <c r="A390" s="1"/>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x14ac:dyDescent="0.25">
      <c r="A391" s="1"/>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x14ac:dyDescent="0.25">
      <c r="A392" s="1"/>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x14ac:dyDescent="0.25">
      <c r="A393" s="1"/>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x14ac:dyDescent="0.25">
      <c r="A394" s="1"/>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x14ac:dyDescent="0.25">
      <c r="A395" s="1"/>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x14ac:dyDescent="0.25">
      <c r="A396" s="1"/>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x14ac:dyDescent="0.25">
      <c r="A397" s="1"/>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x14ac:dyDescent="0.25">
      <c r="A398" s="1"/>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x14ac:dyDescent="0.25">
      <c r="A399" s="1"/>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x14ac:dyDescent="0.25">
      <c r="A400" s="1"/>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x14ac:dyDescent="0.25">
      <c r="A401" s="1"/>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x14ac:dyDescent="0.25">
      <c r="A402" s="1"/>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x14ac:dyDescent="0.25">
      <c r="A403" s="1"/>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x14ac:dyDescent="0.25">
      <c r="A404" s="1"/>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x14ac:dyDescent="0.25">
      <c r="A405" s="1"/>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x14ac:dyDescent="0.25">
      <c r="A406" s="1"/>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x14ac:dyDescent="0.25">
      <c r="A407" s="1"/>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x14ac:dyDescent="0.25">
      <c r="A408" s="1"/>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x14ac:dyDescent="0.25">
      <c r="A409" s="1"/>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x14ac:dyDescent="0.25">
      <c r="A410" s="1"/>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x14ac:dyDescent="0.25">
      <c r="A411" s="1"/>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x14ac:dyDescent="0.25">
      <c r="A412" s="1"/>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x14ac:dyDescent="0.25">
      <c r="A413" s="1"/>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x14ac:dyDescent="0.25">
      <c r="A414" s="1"/>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x14ac:dyDescent="0.25">
      <c r="A415" s="1"/>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x14ac:dyDescent="0.25">
      <c r="A416" s="1"/>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x14ac:dyDescent="0.25">
      <c r="A417" s="1"/>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x14ac:dyDescent="0.25">
      <c r="A418" s="1"/>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x14ac:dyDescent="0.25">
      <c r="A419" s="1"/>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x14ac:dyDescent="0.25">
      <c r="A420" s="1"/>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x14ac:dyDescent="0.25">
      <c r="A421" s="1"/>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x14ac:dyDescent="0.25">
      <c r="A422" s="1"/>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x14ac:dyDescent="0.25">
      <c r="A423" s="1"/>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x14ac:dyDescent="0.25">
      <c r="A424" s="1"/>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x14ac:dyDescent="0.25">
      <c r="A425" s="1"/>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x14ac:dyDescent="0.25">
      <c r="A426" s="1"/>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x14ac:dyDescent="0.25">
      <c r="A427" s="1"/>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x14ac:dyDescent="0.25">
      <c r="A428" s="1"/>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x14ac:dyDescent="0.25">
      <c r="A429" s="1"/>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x14ac:dyDescent="0.25">
      <c r="A430" s="1"/>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x14ac:dyDescent="0.25">
      <c r="A431" s="1"/>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x14ac:dyDescent="0.25">
      <c r="A432" s="1"/>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x14ac:dyDescent="0.25">
      <c r="A433" s="1"/>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x14ac:dyDescent="0.25">
      <c r="A434" s="1"/>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x14ac:dyDescent="0.25">
      <c r="A435" s="1"/>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x14ac:dyDescent="0.25">
      <c r="A436" s="1"/>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x14ac:dyDescent="0.25">
      <c r="A437" s="1"/>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x14ac:dyDescent="0.25">
      <c r="A438" s="1"/>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x14ac:dyDescent="0.25">
      <c r="A439" s="1"/>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x14ac:dyDescent="0.25">
      <c r="A440" s="1"/>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x14ac:dyDescent="0.25">
      <c r="A441" s="1"/>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x14ac:dyDescent="0.25">
      <c r="A442" s="1"/>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x14ac:dyDescent="0.25">
      <c r="A443" s="1"/>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x14ac:dyDescent="0.25">
      <c r="A444" s="1"/>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x14ac:dyDescent="0.25">
      <c r="A445" s="1"/>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x14ac:dyDescent="0.25">
      <c r="A446" s="1"/>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x14ac:dyDescent="0.25">
      <c r="A447" s="1"/>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x14ac:dyDescent="0.25">
      <c r="A448" s="1"/>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x14ac:dyDescent="0.25">
      <c r="A449" s="1"/>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x14ac:dyDescent="0.25">
      <c r="A450" s="1"/>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x14ac:dyDescent="0.25">
      <c r="A451" s="1"/>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x14ac:dyDescent="0.25">
      <c r="A452" s="1"/>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x14ac:dyDescent="0.25">
      <c r="A453" s="1"/>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x14ac:dyDescent="0.25">
      <c r="A454" s="1"/>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x14ac:dyDescent="0.25">
      <c r="A455" s="1"/>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x14ac:dyDescent="0.25">
      <c r="A456" s="1"/>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x14ac:dyDescent="0.25">
      <c r="A457" s="1"/>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x14ac:dyDescent="0.25">
      <c r="A458" s="1"/>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x14ac:dyDescent="0.25">
      <c r="A459" s="1"/>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x14ac:dyDescent="0.25">
      <c r="A460" s="1"/>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x14ac:dyDescent="0.25">
      <c r="A461" s="1"/>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x14ac:dyDescent="0.25">
      <c r="A462" s="1"/>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x14ac:dyDescent="0.25">
      <c r="A463" s="1"/>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x14ac:dyDescent="0.25">
      <c r="A464" s="1"/>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x14ac:dyDescent="0.25">
      <c r="A465" s="1"/>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x14ac:dyDescent="0.25">
      <c r="A466" s="1"/>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x14ac:dyDescent="0.25">
      <c r="A467" s="1"/>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x14ac:dyDescent="0.25">
      <c r="A468" s="1"/>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x14ac:dyDescent="0.25">
      <c r="A469" s="1"/>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x14ac:dyDescent="0.25">
      <c r="A470" s="1"/>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x14ac:dyDescent="0.25">
      <c r="A471" s="1"/>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x14ac:dyDescent="0.25">
      <c r="A472" s="1"/>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x14ac:dyDescent="0.25">
      <c r="A473" s="1"/>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x14ac:dyDescent="0.25">
      <c r="A474" s="1"/>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x14ac:dyDescent="0.25">
      <c r="A475" s="1"/>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x14ac:dyDescent="0.25">
      <c r="A476" s="1"/>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x14ac:dyDescent="0.25">
      <c r="A477" s="1"/>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x14ac:dyDescent="0.25">
      <c r="A478" s="1"/>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x14ac:dyDescent="0.25">
      <c r="A479" s="1"/>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x14ac:dyDescent="0.25">
      <c r="A480" s="1"/>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x14ac:dyDescent="0.25">
      <c r="A481" s="1"/>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x14ac:dyDescent="0.25">
      <c r="A482" s="1"/>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x14ac:dyDescent="0.25">
      <c r="A483" s="1"/>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x14ac:dyDescent="0.25">
      <c r="A484" s="1"/>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x14ac:dyDescent="0.25">
      <c r="A485" s="1"/>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x14ac:dyDescent="0.25">
      <c r="A486" s="1"/>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x14ac:dyDescent="0.25">
      <c r="A487" s="1"/>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x14ac:dyDescent="0.25">
      <c r="A488" s="1"/>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x14ac:dyDescent="0.25">
      <c r="A489" s="1"/>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x14ac:dyDescent="0.25">
      <c r="A490" s="1"/>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x14ac:dyDescent="0.25">
      <c r="A491" s="1"/>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x14ac:dyDescent="0.25">
      <c r="A492" s="1"/>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x14ac:dyDescent="0.25">
      <c r="A493" s="1"/>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x14ac:dyDescent="0.25">
      <c r="A494" s="1"/>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x14ac:dyDescent="0.25">
      <c r="A495" s="1"/>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x14ac:dyDescent="0.25">
      <c r="A496" s="1"/>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x14ac:dyDescent="0.25">
      <c r="A497" s="1"/>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x14ac:dyDescent="0.25">
      <c r="A498" s="1"/>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x14ac:dyDescent="0.25">
      <c r="A499" s="1"/>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x14ac:dyDescent="0.25">
      <c r="A500" s="1"/>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x14ac:dyDescent="0.25">
      <c r="A501" s="1"/>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x14ac:dyDescent="0.25">
      <c r="A502" s="1"/>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x14ac:dyDescent="0.25">
      <c r="A503" s="1"/>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x14ac:dyDescent="0.25">
      <c r="A504" s="1"/>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x14ac:dyDescent="0.25">
      <c r="A505" s="1"/>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x14ac:dyDescent="0.25">
      <c r="A506" s="1"/>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x14ac:dyDescent="0.25">
      <c r="A507" s="1"/>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x14ac:dyDescent="0.25">
      <c r="A508" s="1"/>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x14ac:dyDescent="0.25">
      <c r="A509" s="1"/>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x14ac:dyDescent="0.25">
      <c r="A510" s="1"/>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x14ac:dyDescent="0.25">
      <c r="A511" s="1"/>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x14ac:dyDescent="0.25">
      <c r="A512" s="1"/>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x14ac:dyDescent="0.25">
      <c r="A513" s="1"/>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x14ac:dyDescent="0.25">
      <c r="A514" s="1"/>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x14ac:dyDescent="0.25">
      <c r="A515" s="1"/>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x14ac:dyDescent="0.25">
      <c r="A516" s="1"/>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x14ac:dyDescent="0.25">
      <c r="A517" s="1"/>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x14ac:dyDescent="0.25">
      <c r="A518" s="1"/>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x14ac:dyDescent="0.25">
      <c r="A519" s="1"/>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x14ac:dyDescent="0.25">
      <c r="A520" s="1"/>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x14ac:dyDescent="0.25">
      <c r="A521" s="1"/>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x14ac:dyDescent="0.25">
      <c r="A522" s="1"/>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x14ac:dyDescent="0.25">
      <c r="A523" s="1"/>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x14ac:dyDescent="0.25">
      <c r="A524" s="1"/>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x14ac:dyDescent="0.25">
      <c r="A525" s="1"/>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x14ac:dyDescent="0.25">
      <c r="A526" s="1"/>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x14ac:dyDescent="0.25">
      <c r="A527" s="1"/>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x14ac:dyDescent="0.25">
      <c r="A528" s="1"/>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x14ac:dyDescent="0.25">
      <c r="A529" s="1"/>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x14ac:dyDescent="0.25">
      <c r="A530" s="1"/>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x14ac:dyDescent="0.25">
      <c r="A531" s="1"/>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x14ac:dyDescent="0.25">
      <c r="A532" s="1"/>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x14ac:dyDescent="0.25">
      <c r="A533" s="1"/>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x14ac:dyDescent="0.25">
      <c r="A534" s="1"/>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x14ac:dyDescent="0.25">
      <c r="A535" s="1"/>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x14ac:dyDescent="0.25">
      <c r="A536" s="1"/>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x14ac:dyDescent="0.25">
      <c r="A537" s="1"/>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x14ac:dyDescent="0.25">
      <c r="A538" s="1"/>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x14ac:dyDescent="0.25">
      <c r="A539" s="1"/>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x14ac:dyDescent="0.25">
      <c r="A540" s="1"/>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x14ac:dyDescent="0.25">
      <c r="A541" s="1"/>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x14ac:dyDescent="0.25">
      <c r="A542" s="1"/>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x14ac:dyDescent="0.25">
      <c r="A543" s="1"/>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x14ac:dyDescent="0.25">
      <c r="A544" s="1"/>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x14ac:dyDescent="0.25">
      <c r="A545" s="1"/>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x14ac:dyDescent="0.25">
      <c r="A546" s="1"/>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x14ac:dyDescent="0.25">
      <c r="A547" s="1"/>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x14ac:dyDescent="0.25">
      <c r="A548" s="1"/>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x14ac:dyDescent="0.25">
      <c r="A549" s="1"/>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x14ac:dyDescent="0.25">
      <c r="A550" s="1"/>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x14ac:dyDescent="0.25">
      <c r="A551" s="1"/>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x14ac:dyDescent="0.25">
      <c r="A552" s="1"/>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x14ac:dyDescent="0.25">
      <c r="A553" s="1"/>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x14ac:dyDescent="0.25">
      <c r="A554" s="1"/>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x14ac:dyDescent="0.25">
      <c r="A555" s="1"/>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x14ac:dyDescent="0.25">
      <c r="A556" s="1"/>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x14ac:dyDescent="0.25">
      <c r="A557" s="1"/>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x14ac:dyDescent="0.25">
      <c r="A558" s="1"/>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x14ac:dyDescent="0.25">
      <c r="A559" s="1"/>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x14ac:dyDescent="0.25">
      <c r="A560" s="1"/>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x14ac:dyDescent="0.25">
      <c r="A561" s="1"/>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x14ac:dyDescent="0.25">
      <c r="A562" s="1"/>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x14ac:dyDescent="0.25">
      <c r="A563" s="1"/>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x14ac:dyDescent="0.25">
      <c r="A564" s="1"/>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x14ac:dyDescent="0.25">
      <c r="A565" s="1"/>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x14ac:dyDescent="0.25">
      <c r="A566" s="1"/>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x14ac:dyDescent="0.25">
      <c r="A567" s="1"/>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x14ac:dyDescent="0.25">
      <c r="A568" s="1"/>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x14ac:dyDescent="0.25">
      <c r="A569" s="1"/>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x14ac:dyDescent="0.25">
      <c r="A570" s="1"/>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x14ac:dyDescent="0.25">
      <c r="A571" s="1"/>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x14ac:dyDescent="0.25">
      <c r="A572" s="1"/>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x14ac:dyDescent="0.25">
      <c r="A573" s="1"/>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x14ac:dyDescent="0.25">
      <c r="A574" s="1"/>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x14ac:dyDescent="0.25">
      <c r="A575" s="1"/>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x14ac:dyDescent="0.25">
      <c r="A576" s="1"/>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x14ac:dyDescent="0.25">
      <c r="A577" s="1"/>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x14ac:dyDescent="0.25">
      <c r="A578" s="1"/>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x14ac:dyDescent="0.25">
      <c r="A579" s="1"/>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x14ac:dyDescent="0.25">
      <c r="A580" s="1"/>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x14ac:dyDescent="0.25">
      <c r="A581" s="1"/>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x14ac:dyDescent="0.25">
      <c r="A582" s="1"/>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x14ac:dyDescent="0.25">
      <c r="A583" s="1"/>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x14ac:dyDescent="0.25">
      <c r="A584" s="1"/>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x14ac:dyDescent="0.25">
      <c r="A585" s="1"/>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x14ac:dyDescent="0.25">
      <c r="A586" s="1"/>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x14ac:dyDescent="0.25">
      <c r="A587" s="1"/>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x14ac:dyDescent="0.25">
      <c r="A588" s="1"/>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x14ac:dyDescent="0.25">
      <c r="A589" s="1"/>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x14ac:dyDescent="0.25">
      <c r="A590" s="1"/>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x14ac:dyDescent="0.25">
      <c r="A591" s="1"/>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x14ac:dyDescent="0.25">
      <c r="A592" s="1"/>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x14ac:dyDescent="0.25">
      <c r="A593" s="1"/>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x14ac:dyDescent="0.25">
      <c r="A594" s="1"/>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x14ac:dyDescent="0.25">
      <c r="A595" s="1"/>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x14ac:dyDescent="0.25">
      <c r="A596" s="1"/>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x14ac:dyDescent="0.25">
      <c r="A597" s="1"/>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x14ac:dyDescent="0.25">
      <c r="A598" s="1"/>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x14ac:dyDescent="0.25">
      <c r="A599" s="1"/>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x14ac:dyDescent="0.25">
      <c r="A600" s="1"/>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x14ac:dyDescent="0.25">
      <c r="A601" s="1"/>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x14ac:dyDescent="0.25">
      <c r="A602" s="1"/>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x14ac:dyDescent="0.25">
      <c r="A603" s="1"/>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x14ac:dyDescent="0.25">
      <c r="A604" s="1"/>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x14ac:dyDescent="0.25">
      <c r="A605" s="1"/>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x14ac:dyDescent="0.25">
      <c r="A606" s="1"/>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x14ac:dyDescent="0.25">
      <c r="A607" s="1"/>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x14ac:dyDescent="0.25">
      <c r="A608" s="1"/>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x14ac:dyDescent="0.25">
      <c r="A609" s="1"/>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x14ac:dyDescent="0.25">
      <c r="A610" s="1"/>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x14ac:dyDescent="0.25">
      <c r="A611" s="1"/>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x14ac:dyDescent="0.25">
      <c r="A612" s="1"/>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x14ac:dyDescent="0.25">
      <c r="A613" s="1"/>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x14ac:dyDescent="0.25">
      <c r="A614" s="1"/>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x14ac:dyDescent="0.25">
      <c r="A615" s="1"/>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x14ac:dyDescent="0.25">
      <c r="A616" s="1"/>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x14ac:dyDescent="0.25">
      <c r="A617" s="1"/>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x14ac:dyDescent="0.25">
      <c r="A618" s="1"/>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x14ac:dyDescent="0.25">
      <c r="A619" s="1"/>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x14ac:dyDescent="0.25">
      <c r="A620" s="1"/>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x14ac:dyDescent="0.25">
      <c r="A621" s="1"/>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x14ac:dyDescent="0.25">
      <c r="A622" s="1"/>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x14ac:dyDescent="0.25">
      <c r="A623" s="1"/>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x14ac:dyDescent="0.25">
      <c r="A624" s="1"/>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x14ac:dyDescent="0.25">
      <c r="A625" s="1"/>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x14ac:dyDescent="0.25">
      <c r="A626" s="1"/>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x14ac:dyDescent="0.25">
      <c r="A627" s="1"/>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x14ac:dyDescent="0.25">
      <c r="A628" s="1"/>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x14ac:dyDescent="0.25">
      <c r="A629" s="1"/>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x14ac:dyDescent="0.25">
      <c r="A630" s="1"/>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x14ac:dyDescent="0.25">
      <c r="A631" s="1"/>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x14ac:dyDescent="0.25">
      <c r="A632" s="1"/>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x14ac:dyDescent="0.25">
      <c r="A633" s="1"/>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x14ac:dyDescent="0.25">
      <c r="A634" s="1"/>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x14ac:dyDescent="0.25">
      <c r="A635" s="1"/>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x14ac:dyDescent="0.25">
      <c r="A636" s="1"/>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x14ac:dyDescent="0.25">
      <c r="A637" s="1"/>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x14ac:dyDescent="0.25">
      <c r="A638" s="1"/>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x14ac:dyDescent="0.25">
      <c r="A639" s="1"/>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x14ac:dyDescent="0.25">
      <c r="A640" s="1"/>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x14ac:dyDescent="0.25">
      <c r="A641" s="1"/>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x14ac:dyDescent="0.25">
      <c r="A642" s="1"/>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x14ac:dyDescent="0.25">
      <c r="A643" s="1"/>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x14ac:dyDescent="0.25">
      <c r="A644" s="1"/>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x14ac:dyDescent="0.25">
      <c r="A645" s="1"/>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x14ac:dyDescent="0.25">
      <c r="A646" s="1"/>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x14ac:dyDescent="0.25">
      <c r="A647" s="1"/>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x14ac:dyDescent="0.25">
      <c r="A648" s="1"/>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x14ac:dyDescent="0.25">
      <c r="A649" s="1"/>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x14ac:dyDescent="0.25">
      <c r="A650" s="1"/>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x14ac:dyDescent="0.25">
      <c r="A651" s="1"/>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x14ac:dyDescent="0.25">
      <c r="A652" s="1"/>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x14ac:dyDescent="0.25">
      <c r="A653" s="1"/>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x14ac:dyDescent="0.25">
      <c r="A654" s="1"/>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x14ac:dyDescent="0.25">
      <c r="A655" s="1"/>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x14ac:dyDescent="0.25">
      <c r="A656" s="1"/>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x14ac:dyDescent="0.25">
      <c r="A657" s="1"/>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x14ac:dyDescent="0.25">
      <c r="A658" s="1"/>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x14ac:dyDescent="0.25">
      <c r="A659" s="1"/>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x14ac:dyDescent="0.25">
      <c r="A660" s="1"/>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x14ac:dyDescent="0.25">
      <c r="A661" s="1"/>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x14ac:dyDescent="0.25">
      <c r="A662" s="1"/>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x14ac:dyDescent="0.25">
      <c r="A663" s="1"/>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x14ac:dyDescent="0.25">
      <c r="A664" s="1"/>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x14ac:dyDescent="0.25">
      <c r="A665" s="1"/>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x14ac:dyDescent="0.25">
      <c r="A666" s="1"/>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x14ac:dyDescent="0.25">
      <c r="A667" s="1"/>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x14ac:dyDescent="0.25">
      <c r="A668" s="1"/>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x14ac:dyDescent="0.25">
      <c r="A669" s="1"/>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x14ac:dyDescent="0.25">
      <c r="A670" s="1"/>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x14ac:dyDescent="0.25">
      <c r="A671" s="1"/>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x14ac:dyDescent="0.25">
      <c r="A672" s="1"/>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x14ac:dyDescent="0.25">
      <c r="A673" s="1"/>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x14ac:dyDescent="0.25">
      <c r="A674" s="1"/>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x14ac:dyDescent="0.25">
      <c r="A675" s="1"/>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x14ac:dyDescent="0.25">
      <c r="A676" s="1"/>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x14ac:dyDescent="0.25">
      <c r="A677" s="1"/>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x14ac:dyDescent="0.25">
      <c r="A678" s="1"/>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x14ac:dyDescent="0.25">
      <c r="A679" s="1"/>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x14ac:dyDescent="0.25">
      <c r="A680" s="1"/>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x14ac:dyDescent="0.25">
      <c r="A681" s="1"/>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x14ac:dyDescent="0.25">
      <c r="A682" s="1"/>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x14ac:dyDescent="0.25">
      <c r="A683" s="1"/>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x14ac:dyDescent="0.25">
      <c r="A684" s="1"/>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x14ac:dyDescent="0.25">
      <c r="A685" s="1"/>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x14ac:dyDescent="0.25">
      <c r="A686" s="1"/>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x14ac:dyDescent="0.25">
      <c r="A687" s="1"/>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x14ac:dyDescent="0.25">
      <c r="A688" s="1"/>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x14ac:dyDescent="0.25">
      <c r="A689" s="1"/>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x14ac:dyDescent="0.25">
      <c r="A690" s="1"/>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x14ac:dyDescent="0.25">
      <c r="A691" s="1"/>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x14ac:dyDescent="0.25">
      <c r="A692" s="1"/>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x14ac:dyDescent="0.25">
      <c r="A693" s="1"/>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x14ac:dyDescent="0.25">
      <c r="A694" s="1"/>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x14ac:dyDescent="0.25">
      <c r="A695" s="1"/>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x14ac:dyDescent="0.25">
      <c r="A696" s="1"/>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x14ac:dyDescent="0.25">
      <c r="A697" s="1"/>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x14ac:dyDescent="0.25">
      <c r="A698" s="1"/>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x14ac:dyDescent="0.25">
      <c r="A699" s="1"/>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x14ac:dyDescent="0.25">
      <c r="A700" s="1"/>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x14ac:dyDescent="0.25">
      <c r="A701" s="1"/>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x14ac:dyDescent="0.25">
      <c r="A702" s="1"/>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x14ac:dyDescent="0.25">
      <c r="A703" s="1"/>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x14ac:dyDescent="0.25">
      <c r="A704" s="1"/>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x14ac:dyDescent="0.25">
      <c r="A705" s="1"/>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x14ac:dyDescent="0.25">
      <c r="A706" s="1"/>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x14ac:dyDescent="0.25">
      <c r="A707" s="1"/>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x14ac:dyDescent="0.25">
      <c r="A708" s="1"/>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x14ac:dyDescent="0.25">
      <c r="A709" s="1"/>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x14ac:dyDescent="0.25">
      <c r="A710" s="1"/>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x14ac:dyDescent="0.25">
      <c r="A711" s="1"/>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x14ac:dyDescent="0.25">
      <c r="A712" s="1"/>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x14ac:dyDescent="0.25">
      <c r="A713" s="1"/>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x14ac:dyDescent="0.25">
      <c r="A714" s="1"/>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x14ac:dyDescent="0.25">
      <c r="A715" s="1"/>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x14ac:dyDescent="0.25">
      <c r="A716" s="1"/>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x14ac:dyDescent="0.25">
      <c r="A717" s="1"/>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x14ac:dyDescent="0.25">
      <c r="A718" s="1"/>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x14ac:dyDescent="0.25">
      <c r="A719" s="1"/>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x14ac:dyDescent="0.25">
      <c r="A720" s="1"/>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x14ac:dyDescent="0.25">
      <c r="A721" s="1"/>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x14ac:dyDescent="0.25">
      <c r="A722" s="1"/>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x14ac:dyDescent="0.25">
      <c r="A723" s="1"/>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x14ac:dyDescent="0.25">
      <c r="A724" s="1"/>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x14ac:dyDescent="0.25">
      <c r="A725" s="1"/>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x14ac:dyDescent="0.25">
      <c r="A726" s="1"/>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x14ac:dyDescent="0.25">
      <c r="A727" s="1"/>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x14ac:dyDescent="0.25">
      <c r="A728" s="1"/>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x14ac:dyDescent="0.25">
      <c r="A729" s="1"/>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x14ac:dyDescent="0.25">
      <c r="A730" s="1"/>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x14ac:dyDescent="0.25">
      <c r="A731" s="1"/>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x14ac:dyDescent="0.25">
      <c r="A732" s="1"/>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x14ac:dyDescent="0.25">
      <c r="A733" s="1"/>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x14ac:dyDescent="0.25">
      <c r="A734" s="1"/>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x14ac:dyDescent="0.25">
      <c r="A735" s="1"/>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x14ac:dyDescent="0.25">
      <c r="A736" s="1"/>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x14ac:dyDescent="0.25">
      <c r="A737" s="1"/>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x14ac:dyDescent="0.25">
      <c r="A738" s="1"/>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x14ac:dyDescent="0.25">
      <c r="A739" s="1"/>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x14ac:dyDescent="0.25">
      <c r="A740" s="1"/>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x14ac:dyDescent="0.25">
      <c r="A741" s="1"/>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x14ac:dyDescent="0.25">
      <c r="A742" s="1"/>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x14ac:dyDescent="0.25">
      <c r="A743" s="1"/>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x14ac:dyDescent="0.25">
      <c r="A744" s="1"/>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x14ac:dyDescent="0.25">
      <c r="A745" s="1"/>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x14ac:dyDescent="0.25">
      <c r="A746" s="1"/>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x14ac:dyDescent="0.25">
      <c r="A747" s="1"/>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x14ac:dyDescent="0.25">
      <c r="A748" s="1"/>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x14ac:dyDescent="0.25">
      <c r="A749" s="1"/>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x14ac:dyDescent="0.25">
      <c r="A750" s="1"/>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x14ac:dyDescent="0.25">
      <c r="A751" s="1"/>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x14ac:dyDescent="0.25">
      <c r="A752" s="1"/>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x14ac:dyDescent="0.25">
      <c r="A753" s="1"/>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x14ac:dyDescent="0.25">
      <c r="A754" s="1"/>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x14ac:dyDescent="0.25">
      <c r="A755" s="1"/>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x14ac:dyDescent="0.25">
      <c r="A756" s="1"/>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x14ac:dyDescent="0.25">
      <c r="A757" s="1"/>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x14ac:dyDescent="0.25">
      <c r="A758" s="1"/>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x14ac:dyDescent="0.25">
      <c r="A759" s="1"/>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x14ac:dyDescent="0.25">
      <c r="A760" s="1"/>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x14ac:dyDescent="0.25">
      <c r="A761" s="1"/>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x14ac:dyDescent="0.25">
      <c r="A762" s="1"/>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x14ac:dyDescent="0.25">
      <c r="A763" s="1"/>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x14ac:dyDescent="0.25">
      <c r="A764" s="1"/>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x14ac:dyDescent="0.25">
      <c r="A765" s="1"/>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x14ac:dyDescent="0.25">
      <c r="A766" s="1"/>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x14ac:dyDescent="0.25">
      <c r="A767" s="1"/>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x14ac:dyDescent="0.25">
      <c r="A768" s="1"/>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x14ac:dyDescent="0.25">
      <c r="A769" s="1"/>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x14ac:dyDescent="0.25">
      <c r="A770" s="1"/>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x14ac:dyDescent="0.25">
      <c r="A771" s="1"/>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x14ac:dyDescent="0.25">
      <c r="A772" s="1"/>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x14ac:dyDescent="0.25">
      <c r="A773" s="1"/>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x14ac:dyDescent="0.25">
      <c r="A774" s="1"/>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x14ac:dyDescent="0.25">
      <c r="A775" s="1"/>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x14ac:dyDescent="0.25">
      <c r="A776" s="1"/>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x14ac:dyDescent="0.25">
      <c r="A777" s="1"/>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x14ac:dyDescent="0.25">
      <c r="A778" s="1"/>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x14ac:dyDescent="0.25">
      <c r="A779" s="1"/>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x14ac:dyDescent="0.25">
      <c r="A780" s="1"/>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x14ac:dyDescent="0.25">
      <c r="A781" s="1"/>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x14ac:dyDescent="0.25">
      <c r="A782" s="1"/>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x14ac:dyDescent="0.25">
      <c r="A783" s="1"/>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x14ac:dyDescent="0.25">
      <c r="A784" s="1"/>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x14ac:dyDescent="0.25">
      <c r="A785" s="1"/>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x14ac:dyDescent="0.25">
      <c r="A786" s="1"/>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x14ac:dyDescent="0.25">
      <c r="A787" s="1"/>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x14ac:dyDescent="0.25">
      <c r="A788" s="1"/>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x14ac:dyDescent="0.25">
      <c r="A789" s="1"/>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x14ac:dyDescent="0.25">
      <c r="A790" s="1"/>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x14ac:dyDescent="0.25">
      <c r="A791" s="1"/>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x14ac:dyDescent="0.25">
      <c r="A792" s="1"/>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x14ac:dyDescent="0.25">
      <c r="A793" s="1"/>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x14ac:dyDescent="0.25">
      <c r="A794" s="1"/>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x14ac:dyDescent="0.25">
      <c r="A795" s="1"/>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x14ac:dyDescent="0.25">
      <c r="A796" s="1"/>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x14ac:dyDescent="0.25">
      <c r="A797" s="1"/>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x14ac:dyDescent="0.25">
      <c r="A798" s="1"/>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x14ac:dyDescent="0.25">
      <c r="A799" s="1"/>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x14ac:dyDescent="0.25">
      <c r="A800" s="1"/>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x14ac:dyDescent="0.25">
      <c r="A801" s="1"/>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x14ac:dyDescent="0.25">
      <c r="A802" s="1"/>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x14ac:dyDescent="0.25">
      <c r="A803" s="1"/>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x14ac:dyDescent="0.25">
      <c r="A804" s="1"/>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x14ac:dyDescent="0.25">
      <c r="A805" s="1"/>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x14ac:dyDescent="0.25">
      <c r="A806" s="1"/>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x14ac:dyDescent="0.25">
      <c r="A807" s="1"/>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x14ac:dyDescent="0.25">
      <c r="A808" s="1"/>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x14ac:dyDescent="0.25">
      <c r="A809" s="1"/>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x14ac:dyDescent="0.25">
      <c r="A810" s="1"/>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x14ac:dyDescent="0.25">
      <c r="A811" s="1"/>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x14ac:dyDescent="0.25">
      <c r="A812" s="1"/>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x14ac:dyDescent="0.25">
      <c r="A813" s="1"/>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x14ac:dyDescent="0.25">
      <c r="A814" s="1"/>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x14ac:dyDescent="0.25">
      <c r="A815" s="1"/>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x14ac:dyDescent="0.25">
      <c r="A816" s="1"/>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x14ac:dyDescent="0.25">
      <c r="A817" s="1"/>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x14ac:dyDescent="0.25">
      <c r="A818" s="1"/>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x14ac:dyDescent="0.25">
      <c r="A819" s="1"/>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x14ac:dyDescent="0.25">
      <c r="A820" s="1"/>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x14ac:dyDescent="0.25">
      <c r="A821" s="1"/>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x14ac:dyDescent="0.25">
      <c r="A822" s="1"/>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x14ac:dyDescent="0.25">
      <c r="A823" s="1"/>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x14ac:dyDescent="0.25">
      <c r="A824" s="1"/>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x14ac:dyDescent="0.25">
      <c r="A825" s="1"/>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x14ac:dyDescent="0.25">
      <c r="A826" s="1"/>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x14ac:dyDescent="0.25">
      <c r="A827" s="1"/>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x14ac:dyDescent="0.25">
      <c r="A828" s="1"/>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x14ac:dyDescent="0.25">
      <c r="A829" s="1"/>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x14ac:dyDescent="0.25">
      <c r="A830" s="1"/>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x14ac:dyDescent="0.25">
      <c r="A831" s="1"/>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x14ac:dyDescent="0.25">
      <c r="A832" s="1"/>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x14ac:dyDescent="0.25">
      <c r="A833" s="1"/>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x14ac:dyDescent="0.25">
      <c r="A834" s="1"/>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x14ac:dyDescent="0.25">
      <c r="A835" s="1"/>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x14ac:dyDescent="0.25">
      <c r="A836" s="1"/>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x14ac:dyDescent="0.25">
      <c r="A837" s="1"/>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x14ac:dyDescent="0.25">
      <c r="A838" s="1"/>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x14ac:dyDescent="0.25">
      <c r="A839" s="1"/>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x14ac:dyDescent="0.25">
      <c r="A840" s="1"/>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x14ac:dyDescent="0.25">
      <c r="A841" s="1"/>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x14ac:dyDescent="0.25">
      <c r="A842" s="1"/>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x14ac:dyDescent="0.25">
      <c r="A843" s="1"/>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x14ac:dyDescent="0.25">
      <c r="A844" s="1"/>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x14ac:dyDescent="0.25">
      <c r="A845" s="1"/>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x14ac:dyDescent="0.25">
      <c r="A846" s="1"/>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x14ac:dyDescent="0.25">
      <c r="A847" s="1"/>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x14ac:dyDescent="0.25">
      <c r="A848" s="1"/>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x14ac:dyDescent="0.25">
      <c r="A849" s="1"/>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x14ac:dyDescent="0.25">
      <c r="A850" s="1"/>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x14ac:dyDescent="0.25">
      <c r="A851" s="1"/>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x14ac:dyDescent="0.25">
      <c r="A852" s="1"/>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x14ac:dyDescent="0.25">
      <c r="A853" s="1"/>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x14ac:dyDescent="0.25">
      <c r="A854" s="1"/>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x14ac:dyDescent="0.25">
      <c r="A855" s="1"/>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x14ac:dyDescent="0.25">
      <c r="A856" s="1"/>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x14ac:dyDescent="0.25">
      <c r="A857" s="1"/>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x14ac:dyDescent="0.25">
      <c r="A858" s="1"/>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x14ac:dyDescent="0.25">
      <c r="A859" s="1"/>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x14ac:dyDescent="0.25">
      <c r="A860" s="1"/>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x14ac:dyDescent="0.25">
      <c r="A861" s="1"/>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x14ac:dyDescent="0.25">
      <c r="A862" s="1"/>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x14ac:dyDescent="0.25">
      <c r="A863" s="1"/>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x14ac:dyDescent="0.25">
      <c r="A864" s="1"/>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x14ac:dyDescent="0.25">
      <c r="A865" s="1"/>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x14ac:dyDescent="0.25">
      <c r="A866" s="1"/>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x14ac:dyDescent="0.25">
      <c r="A867" s="1"/>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x14ac:dyDescent="0.25">
      <c r="A868" s="1"/>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x14ac:dyDescent="0.25">
      <c r="A869" s="1"/>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x14ac:dyDescent="0.25">
      <c r="A870" s="1"/>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x14ac:dyDescent="0.25">
      <c r="A871" s="1"/>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x14ac:dyDescent="0.25">
      <c r="A872" s="1"/>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x14ac:dyDescent="0.25">
      <c r="A873" s="1"/>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x14ac:dyDescent="0.25">
      <c r="A874" s="1"/>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x14ac:dyDescent="0.25">
      <c r="A875" s="1"/>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x14ac:dyDescent="0.25">
      <c r="A876" s="1"/>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x14ac:dyDescent="0.25">
      <c r="A877" s="1"/>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x14ac:dyDescent="0.25">
      <c r="A878" s="1"/>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x14ac:dyDescent="0.25">
      <c r="A879" s="1"/>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x14ac:dyDescent="0.25">
      <c r="A880" s="1"/>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x14ac:dyDescent="0.25">
      <c r="A881" s="1"/>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x14ac:dyDescent="0.25">
      <c r="A882" s="1"/>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x14ac:dyDescent="0.25">
      <c r="A883" s="1"/>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x14ac:dyDescent="0.25">
      <c r="A884" s="1"/>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x14ac:dyDescent="0.25">
      <c r="A885" s="1"/>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x14ac:dyDescent="0.25">
      <c r="A886" s="1"/>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x14ac:dyDescent="0.25">
      <c r="A887" s="1"/>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x14ac:dyDescent="0.25">
      <c r="A888" s="1"/>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x14ac:dyDescent="0.25">
      <c r="A889" s="1"/>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x14ac:dyDescent="0.25">
      <c r="A890" s="1"/>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x14ac:dyDescent="0.25">
      <c r="A891" s="1"/>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x14ac:dyDescent="0.25">
      <c r="A892" s="1"/>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x14ac:dyDescent="0.25">
      <c r="A893" s="1"/>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x14ac:dyDescent="0.25">
      <c r="A894" s="1"/>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x14ac:dyDescent="0.25">
      <c r="A895" s="1"/>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x14ac:dyDescent="0.25">
      <c r="A896" s="1"/>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x14ac:dyDescent="0.25">
      <c r="A897" s="1"/>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x14ac:dyDescent="0.25">
      <c r="A898" s="1"/>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x14ac:dyDescent="0.25">
      <c r="A899" s="1"/>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x14ac:dyDescent="0.25">
      <c r="A900" s="1"/>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x14ac:dyDescent="0.25">
      <c r="A901" s="1"/>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x14ac:dyDescent="0.25">
      <c r="A902" s="1"/>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x14ac:dyDescent="0.25">
      <c r="A903" s="1"/>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x14ac:dyDescent="0.25">
      <c r="A904" s="1"/>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x14ac:dyDescent="0.25">
      <c r="A905" s="1"/>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x14ac:dyDescent="0.25">
      <c r="A906" s="1"/>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x14ac:dyDescent="0.25">
      <c r="A907" s="1"/>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x14ac:dyDescent="0.25">
      <c r="A908" s="1"/>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x14ac:dyDescent="0.25">
      <c r="A909" s="1"/>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x14ac:dyDescent="0.25">
      <c r="A910" s="1"/>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x14ac:dyDescent="0.25">
      <c r="A911" s="1"/>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x14ac:dyDescent="0.25">
      <c r="A912" s="1"/>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x14ac:dyDescent="0.25">
      <c r="A913" s="1"/>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x14ac:dyDescent="0.25">
      <c r="A914" s="1"/>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x14ac:dyDescent="0.25">
      <c r="A915" s="1"/>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x14ac:dyDescent="0.25">
      <c r="A916" s="1"/>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x14ac:dyDescent="0.25">
      <c r="A917" s="1"/>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x14ac:dyDescent="0.25">
      <c r="A918" s="1"/>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x14ac:dyDescent="0.25">
      <c r="A919" s="1"/>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x14ac:dyDescent="0.25">
      <c r="A920" s="1"/>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x14ac:dyDescent="0.25">
      <c r="A921" s="1"/>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x14ac:dyDescent="0.25">
      <c r="A922" s="1"/>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x14ac:dyDescent="0.25">
      <c r="A923" s="1"/>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x14ac:dyDescent="0.25">
      <c r="A924" s="1"/>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x14ac:dyDescent="0.25">
      <c r="A925" s="1"/>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x14ac:dyDescent="0.25">
      <c r="A926" s="1"/>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x14ac:dyDescent="0.25">
      <c r="A927" s="1"/>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x14ac:dyDescent="0.25">
      <c r="A928" s="1"/>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x14ac:dyDescent="0.25">
      <c r="A929" s="1"/>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x14ac:dyDescent="0.25">
      <c r="A930" s="1"/>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x14ac:dyDescent="0.25">
      <c r="A931" s="1"/>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x14ac:dyDescent="0.25">
      <c r="A932" s="1"/>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x14ac:dyDescent="0.25">
      <c r="A933" s="1"/>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x14ac:dyDescent="0.25">
      <c r="A934" s="1"/>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x14ac:dyDescent="0.25">
      <c r="A935" s="1"/>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x14ac:dyDescent="0.25">
      <c r="A936" s="1"/>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x14ac:dyDescent="0.25">
      <c r="A937" s="1"/>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x14ac:dyDescent="0.25">
      <c r="A938" s="1"/>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x14ac:dyDescent="0.25">
      <c r="A939" s="1"/>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x14ac:dyDescent="0.25">
      <c r="A940" s="1"/>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x14ac:dyDescent="0.25">
      <c r="A941" s="1"/>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x14ac:dyDescent="0.25">
      <c r="A942" s="1"/>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x14ac:dyDescent="0.25">
      <c r="A943" s="1"/>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x14ac:dyDescent="0.25">
      <c r="A944" s="1"/>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x14ac:dyDescent="0.25">
      <c r="A945" s="1"/>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x14ac:dyDescent="0.25">
      <c r="A946" s="1"/>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x14ac:dyDescent="0.25">
      <c r="A947" s="1"/>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x14ac:dyDescent="0.25">
      <c r="A948" s="1"/>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x14ac:dyDescent="0.25">
      <c r="A949" s="1"/>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x14ac:dyDescent="0.25">
      <c r="A950" s="1"/>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x14ac:dyDescent="0.25">
      <c r="A951" s="1"/>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x14ac:dyDescent="0.25">
      <c r="A952" s="1"/>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x14ac:dyDescent="0.25">
      <c r="A953" s="1"/>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x14ac:dyDescent="0.25">
      <c r="A954" s="1"/>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x14ac:dyDescent="0.25">
      <c r="A955" s="1"/>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x14ac:dyDescent="0.25">
      <c r="A956" s="1"/>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x14ac:dyDescent="0.25">
      <c r="A957" s="1"/>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x14ac:dyDescent="0.25">
      <c r="A958" s="1"/>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x14ac:dyDescent="0.25">
      <c r="A959" s="1"/>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x14ac:dyDescent="0.25">
      <c r="A960" s="1"/>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x14ac:dyDescent="0.25">
      <c r="A961" s="1"/>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x14ac:dyDescent="0.25">
      <c r="A962" s="1"/>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x14ac:dyDescent="0.25">
      <c r="A963" s="1"/>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x14ac:dyDescent="0.25">
      <c r="A964" s="1"/>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x14ac:dyDescent="0.25">
      <c r="A965" s="1"/>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x14ac:dyDescent="0.25">
      <c r="A966" s="1"/>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x14ac:dyDescent="0.25">
      <c r="A967" s="1"/>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x14ac:dyDescent="0.25">
      <c r="A968" s="1"/>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x14ac:dyDescent="0.25">
      <c r="A969" s="1"/>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x14ac:dyDescent="0.25">
      <c r="A970" s="1"/>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x14ac:dyDescent="0.25">
      <c r="A971" s="1"/>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x14ac:dyDescent="0.25">
      <c r="A972" s="1"/>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x14ac:dyDescent="0.25">
      <c r="A973" s="1"/>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x14ac:dyDescent="0.25">
      <c r="A974" s="1"/>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x14ac:dyDescent="0.25">
      <c r="A975" s="1"/>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x14ac:dyDescent="0.25">
      <c r="A976" s="1"/>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x14ac:dyDescent="0.25">
      <c r="A977" s="1"/>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x14ac:dyDescent="0.25">
      <c r="A978" s="1"/>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x14ac:dyDescent="0.25">
      <c r="A979" s="1"/>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x14ac:dyDescent="0.25">
      <c r="A980" s="1"/>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x14ac:dyDescent="0.25">
      <c r="A981" s="1"/>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x14ac:dyDescent="0.25">
      <c r="A982" s="1"/>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x14ac:dyDescent="0.25">
      <c r="A983" s="1"/>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x14ac:dyDescent="0.25">
      <c r="A984" s="1"/>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x14ac:dyDescent="0.25">
      <c r="A985" s="1"/>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x14ac:dyDescent="0.25">
      <c r="A986" s="1"/>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x14ac:dyDescent="0.25">
      <c r="A987" s="1"/>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x14ac:dyDescent="0.25">
      <c r="A988" s="1"/>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x14ac:dyDescent="0.25">
      <c r="A989" s="1"/>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x14ac:dyDescent="0.25">
      <c r="A990" s="1"/>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x14ac:dyDescent="0.25">
      <c r="A991" s="1"/>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x14ac:dyDescent="0.25">
      <c r="A992" s="1"/>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x14ac:dyDescent="0.25">
      <c r="A993" s="1"/>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x14ac:dyDescent="0.25">
      <c r="A994" s="1"/>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x14ac:dyDescent="0.25">
      <c r="A995" s="1"/>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x14ac:dyDescent="0.25">
      <c r="A996" s="1"/>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x14ac:dyDescent="0.25">
      <c r="A997" s="1"/>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x14ac:dyDescent="0.25">
      <c r="A998" s="1"/>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x14ac:dyDescent="0.25">
      <c r="A999" s="1"/>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x14ac:dyDescent="0.25">
      <c r="A1000" s="1"/>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hyperlinks>
    <hyperlink ref="A71" location="10. PivotTables!A1" display="NOTE: If you find you are making a lot of SUMIF formulas, you might find that a PivotTable is a better solution. See the PivotTable worksheet for more information." xr:uid="{00000000-0004-0000-0000-000000000000}"/>
    <hyperlink ref="A87" r:id="rId1" xr:uid="{00000000-0004-0000-0000-000001000000}"/>
    <hyperlink ref="A88" r:id="rId2" xr:uid="{00000000-0004-0000-0000-000002000000}"/>
    <hyperlink ref="A89" r:id="rId3" xr:uid="{00000000-0004-0000-0000-000003000000}"/>
    <hyperlink ref="A90" r:id="rId4" xr:uid="{00000000-0004-0000-0000-000004000000}"/>
  </hyperlinks>
  <pageMargins left="0.7" right="0.7" top="0.75" bottom="0.75" header="0" footer="0"/>
  <pageSetup orientation="portrait"/>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showGridLines="0" topLeftCell="B1" zoomScale="74" workbookViewId="0">
      <selection activeCell="F18" sqref="F18"/>
    </sheetView>
  </sheetViews>
  <sheetFormatPr defaultColWidth="14.42578125" defaultRowHeight="15" customHeight="1" x14ac:dyDescent="0.25"/>
  <cols>
    <col min="1" max="1" width="12.7109375" customWidth="1"/>
    <col min="2" max="2" width="82.85546875" customWidth="1"/>
    <col min="3" max="26" width="8.85546875" customWidth="1"/>
  </cols>
  <sheetData>
    <row r="1" spans="1:26" ht="60" customHeight="1" x14ac:dyDescent="0.25">
      <c r="A1" s="1" t="s">
        <v>68</v>
      </c>
      <c r="B1" s="3"/>
      <c r="C1" s="3"/>
      <c r="D1" s="3"/>
      <c r="E1" s="3"/>
      <c r="F1" s="3"/>
      <c r="G1" s="3"/>
      <c r="H1" s="3"/>
      <c r="I1" s="3"/>
      <c r="J1" s="3"/>
      <c r="K1" s="3"/>
      <c r="L1" s="3"/>
      <c r="M1" s="3"/>
      <c r="N1" s="3"/>
      <c r="O1" s="3"/>
      <c r="P1" s="3"/>
      <c r="Q1" s="3"/>
      <c r="R1" s="3"/>
      <c r="S1" s="3"/>
      <c r="T1" s="3"/>
      <c r="U1" s="3"/>
      <c r="V1" s="3"/>
      <c r="W1" s="3"/>
      <c r="X1" s="3"/>
      <c r="Y1" s="3"/>
      <c r="Z1" s="3"/>
    </row>
    <row r="2" spans="1:26" ht="15" customHeight="1" x14ac:dyDescent="0.25">
      <c r="A2" s="1" t="s">
        <v>69</v>
      </c>
      <c r="B2" s="3"/>
      <c r="C2" s="3"/>
      <c r="D2" s="3"/>
      <c r="E2" s="3"/>
      <c r="F2" s="3"/>
      <c r="G2" s="3"/>
      <c r="H2" s="3"/>
      <c r="I2" s="3"/>
      <c r="J2" s="3"/>
      <c r="K2" s="3"/>
      <c r="L2" s="3"/>
      <c r="M2" s="3"/>
      <c r="N2" s="3"/>
      <c r="O2" s="3"/>
      <c r="P2" s="3"/>
      <c r="Q2" s="3"/>
      <c r="R2" s="3"/>
      <c r="S2" s="3"/>
      <c r="T2" s="3"/>
      <c r="U2" s="3"/>
      <c r="V2" s="3"/>
      <c r="W2" s="3"/>
      <c r="X2" s="3"/>
      <c r="Y2" s="3"/>
      <c r="Z2" s="3"/>
    </row>
    <row r="3" spans="1:26" ht="15" customHeight="1" x14ac:dyDescent="0.25">
      <c r="A3" s="1" t="s">
        <v>70</v>
      </c>
      <c r="B3" s="3"/>
      <c r="C3" s="5" t="s">
        <v>71</v>
      </c>
      <c r="D3" s="5" t="s">
        <v>72</v>
      </c>
      <c r="E3" s="5" t="s">
        <v>73</v>
      </c>
      <c r="F3" s="5" t="s">
        <v>72</v>
      </c>
      <c r="G3" s="5" t="s">
        <v>73</v>
      </c>
      <c r="H3" s="3"/>
      <c r="I3" s="3"/>
      <c r="J3" s="3"/>
      <c r="K3" s="3"/>
      <c r="L3" s="3"/>
      <c r="M3" s="3"/>
      <c r="N3" s="3"/>
      <c r="O3" s="3"/>
      <c r="P3" s="3"/>
      <c r="Q3" s="3"/>
      <c r="R3" s="3"/>
      <c r="S3" s="3"/>
      <c r="T3" s="3"/>
      <c r="U3" s="3"/>
      <c r="V3" s="3"/>
      <c r="W3" s="3"/>
      <c r="X3" s="3"/>
      <c r="Y3" s="3"/>
      <c r="Z3" s="3"/>
    </row>
    <row r="4" spans="1:26" ht="15" customHeight="1" x14ac:dyDescent="0.25">
      <c r="A4" s="1" t="s">
        <v>74</v>
      </c>
      <c r="B4" s="3"/>
      <c r="C4" s="6">
        <v>50</v>
      </c>
      <c r="D4" s="6">
        <v>50</v>
      </c>
      <c r="E4" s="9">
        <f>SUM(C4:D4)</f>
        <v>100</v>
      </c>
      <c r="F4" s="6">
        <v>75</v>
      </c>
      <c r="G4" s="6">
        <f>SUM(E4:F4)</f>
        <v>175</v>
      </c>
      <c r="H4" s="3"/>
      <c r="I4" s="3"/>
      <c r="J4" s="3"/>
      <c r="K4" s="3"/>
      <c r="L4" s="3"/>
      <c r="M4" s="3"/>
      <c r="N4" s="3"/>
      <c r="O4" s="3"/>
      <c r="P4" s="3"/>
      <c r="Q4" s="3"/>
      <c r="R4" s="3"/>
      <c r="S4" s="3"/>
      <c r="T4" s="3"/>
      <c r="U4" s="3"/>
      <c r="V4" s="3"/>
      <c r="W4" s="3"/>
      <c r="X4" s="3"/>
      <c r="Y4" s="3"/>
      <c r="Z4" s="3"/>
    </row>
    <row r="5" spans="1:26" ht="15" customHeight="1" x14ac:dyDescent="0.25">
      <c r="A5" s="1" t="s">
        <v>75</v>
      </c>
      <c r="B5" s="3"/>
      <c r="C5" s="6">
        <v>50</v>
      </c>
      <c r="D5" s="6">
        <v>60</v>
      </c>
      <c r="E5" s="9">
        <f t="shared" ref="E5:E7" si="0">SUM(C5:D5)</f>
        <v>110</v>
      </c>
      <c r="F5" s="6">
        <v>75</v>
      </c>
      <c r="G5" s="6">
        <f t="shared" ref="G5:G7" si="1">SUM(E5:F5)</f>
        <v>185</v>
      </c>
      <c r="H5" s="3"/>
      <c r="I5" s="3"/>
      <c r="J5" s="7"/>
      <c r="K5" s="7"/>
      <c r="L5" s="7"/>
      <c r="M5" s="7"/>
      <c r="N5" s="7"/>
      <c r="O5" s="7"/>
      <c r="P5" s="7"/>
      <c r="Q5" s="7"/>
      <c r="R5" s="7"/>
      <c r="S5" s="7"/>
      <c r="T5" s="7"/>
      <c r="U5" s="7"/>
      <c r="V5" s="7"/>
      <c r="W5" s="7"/>
      <c r="X5" s="7"/>
      <c r="Y5" s="7"/>
      <c r="Z5" s="7"/>
    </row>
    <row r="6" spans="1:26" ht="15" customHeight="1" x14ac:dyDescent="0.25">
      <c r="A6" s="1" t="s">
        <v>76</v>
      </c>
      <c r="B6" s="3"/>
      <c r="C6" s="6">
        <v>50</v>
      </c>
      <c r="D6" s="6">
        <v>70</v>
      </c>
      <c r="E6" s="9">
        <f t="shared" si="0"/>
        <v>120</v>
      </c>
      <c r="F6" s="6">
        <v>75</v>
      </c>
      <c r="G6" s="6">
        <f t="shared" si="1"/>
        <v>195</v>
      </c>
      <c r="H6" s="3"/>
      <c r="I6" s="3"/>
      <c r="J6" s="7"/>
      <c r="K6" s="7"/>
      <c r="L6" s="7"/>
      <c r="M6" s="7"/>
      <c r="N6" s="7"/>
      <c r="O6" s="7"/>
      <c r="P6" s="7"/>
      <c r="Q6" s="7"/>
      <c r="R6" s="7"/>
      <c r="S6" s="7"/>
      <c r="T6" s="7"/>
      <c r="U6" s="7"/>
      <c r="V6" s="7"/>
      <c r="W6" s="7"/>
      <c r="X6" s="7"/>
      <c r="Y6" s="7"/>
      <c r="Z6" s="7"/>
    </row>
    <row r="7" spans="1:26" ht="15" customHeight="1" x14ac:dyDescent="0.25">
      <c r="A7" s="1" t="s">
        <v>77</v>
      </c>
      <c r="B7" s="3"/>
      <c r="C7" s="6">
        <v>50</v>
      </c>
      <c r="D7" s="6">
        <v>80</v>
      </c>
      <c r="E7" s="9">
        <f t="shared" si="0"/>
        <v>130</v>
      </c>
      <c r="F7" s="6">
        <v>75</v>
      </c>
      <c r="G7" s="6">
        <f t="shared" si="1"/>
        <v>205</v>
      </c>
      <c r="H7" s="3"/>
      <c r="I7" s="3"/>
      <c r="J7" s="7"/>
      <c r="K7" s="7"/>
      <c r="L7" s="7"/>
      <c r="M7" s="7"/>
      <c r="N7" s="7"/>
      <c r="O7" s="7"/>
      <c r="P7" s="7"/>
      <c r="Q7" s="7"/>
      <c r="R7" s="7"/>
      <c r="S7" s="7"/>
      <c r="T7" s="7"/>
      <c r="U7" s="7"/>
      <c r="V7" s="7"/>
      <c r="W7" s="7"/>
      <c r="X7" s="7"/>
      <c r="Y7" s="7"/>
      <c r="Z7" s="7"/>
    </row>
    <row r="8" spans="1:26" ht="15" customHeight="1" x14ac:dyDescent="0.25">
      <c r="A8" s="1" t="s">
        <v>78</v>
      </c>
      <c r="B8" s="3"/>
      <c r="C8" s="3"/>
      <c r="D8" s="3"/>
      <c r="E8" s="3"/>
      <c r="F8" s="3"/>
      <c r="G8" s="3"/>
      <c r="H8" s="3"/>
      <c r="I8" s="3"/>
      <c r="J8" s="7"/>
      <c r="K8" s="7"/>
      <c r="L8" s="7"/>
      <c r="M8" s="7"/>
      <c r="N8" s="7"/>
      <c r="O8" s="7"/>
      <c r="P8" s="7"/>
      <c r="Q8" s="7"/>
      <c r="R8" s="7"/>
      <c r="S8" s="7"/>
      <c r="T8" s="7"/>
      <c r="U8" s="7"/>
      <c r="V8" s="7"/>
      <c r="W8" s="7"/>
      <c r="X8" s="7"/>
      <c r="Y8" s="7"/>
      <c r="Z8" s="7"/>
    </row>
    <row r="9" spans="1:26" ht="15" customHeight="1" x14ac:dyDescent="0.25">
      <c r="A9" s="1" t="s">
        <v>79</v>
      </c>
      <c r="B9" s="3"/>
      <c r="C9" s="3"/>
      <c r="D9" s="3"/>
      <c r="E9" s="3"/>
      <c r="F9" s="3"/>
      <c r="G9" s="3"/>
      <c r="H9" s="3"/>
      <c r="I9" s="3"/>
      <c r="J9" s="7"/>
      <c r="K9" s="7"/>
      <c r="L9" s="7"/>
      <c r="M9" s="7"/>
      <c r="N9" s="7"/>
      <c r="O9" s="7"/>
      <c r="P9" s="7"/>
      <c r="Q9" s="7"/>
      <c r="R9" s="7"/>
      <c r="S9" s="7"/>
      <c r="T9" s="7"/>
      <c r="U9" s="7"/>
      <c r="V9" s="7"/>
      <c r="W9" s="7"/>
      <c r="X9" s="7"/>
      <c r="Y9" s="7"/>
      <c r="Z9" s="7"/>
    </row>
    <row r="10" spans="1:26" ht="15" customHeight="1" x14ac:dyDescent="0.25">
      <c r="A10" s="1"/>
      <c r="B10" s="3"/>
      <c r="C10" s="5" t="s">
        <v>71</v>
      </c>
      <c r="D10" s="5" t="s">
        <v>72</v>
      </c>
      <c r="E10" s="5" t="s">
        <v>73</v>
      </c>
      <c r="F10" s="5" t="s">
        <v>72</v>
      </c>
      <c r="G10" s="5" t="s">
        <v>73</v>
      </c>
      <c r="H10" s="3"/>
      <c r="I10" s="3"/>
      <c r="J10" s="7"/>
      <c r="K10" s="7"/>
      <c r="L10" s="7"/>
      <c r="M10" s="7"/>
      <c r="N10" s="7"/>
      <c r="O10" s="7"/>
      <c r="P10" s="7"/>
      <c r="Q10" s="7"/>
      <c r="R10" s="7"/>
      <c r="S10" s="7"/>
      <c r="T10" s="7"/>
      <c r="U10" s="7"/>
      <c r="V10" s="7"/>
      <c r="W10" s="7"/>
      <c r="X10" s="7"/>
      <c r="Y10" s="7"/>
      <c r="Z10" s="7"/>
    </row>
    <row r="11" spans="1:26" ht="15" customHeight="1" x14ac:dyDescent="0.25">
      <c r="A11" s="1"/>
      <c r="B11" s="3"/>
      <c r="C11" s="6">
        <v>50</v>
      </c>
      <c r="D11" s="6">
        <v>50</v>
      </c>
      <c r="E11" s="6">
        <f t="shared" ref="E11:E14" si="2">SUM(C11:D11)</f>
        <v>100</v>
      </c>
      <c r="F11" s="6">
        <v>75</v>
      </c>
      <c r="G11" s="6">
        <f t="shared" ref="G11:G14" si="3">SUM(E11:F11)</f>
        <v>175</v>
      </c>
      <c r="H11" s="3"/>
      <c r="I11" s="3"/>
      <c r="J11" s="7"/>
      <c r="K11" s="7"/>
      <c r="L11" s="7"/>
      <c r="M11" s="7"/>
      <c r="N11" s="7"/>
      <c r="O11" s="7"/>
      <c r="P11" s="7"/>
      <c r="Q11" s="7"/>
      <c r="R11" s="7"/>
      <c r="S11" s="7"/>
      <c r="T11" s="7"/>
      <c r="U11" s="7"/>
      <c r="V11" s="7"/>
      <c r="W11" s="7"/>
      <c r="X11" s="7"/>
      <c r="Y11" s="7"/>
      <c r="Z11" s="7"/>
    </row>
    <row r="12" spans="1:26" ht="15" customHeight="1" x14ac:dyDescent="0.25">
      <c r="A12" s="1"/>
      <c r="B12" s="3"/>
      <c r="C12" s="6">
        <v>50</v>
      </c>
      <c r="D12" s="6">
        <v>60</v>
      </c>
      <c r="E12" s="6">
        <f t="shared" si="2"/>
        <v>110</v>
      </c>
      <c r="F12" s="6">
        <v>75</v>
      </c>
      <c r="G12" s="6">
        <f t="shared" si="3"/>
        <v>185</v>
      </c>
      <c r="H12" s="3"/>
      <c r="I12" s="3"/>
      <c r="J12" s="7"/>
      <c r="K12" s="7"/>
      <c r="L12" s="7"/>
      <c r="M12" s="7"/>
      <c r="N12" s="7"/>
      <c r="O12" s="7"/>
      <c r="P12" s="7"/>
      <c r="Q12" s="7"/>
      <c r="R12" s="7"/>
      <c r="S12" s="7"/>
      <c r="T12" s="7"/>
      <c r="U12" s="7"/>
      <c r="V12" s="7"/>
      <c r="W12" s="7"/>
      <c r="X12" s="7"/>
      <c r="Y12" s="7"/>
      <c r="Z12" s="7"/>
    </row>
    <row r="13" spans="1:26" ht="15" customHeight="1" x14ac:dyDescent="0.25">
      <c r="A13" s="1"/>
      <c r="B13" s="3"/>
      <c r="C13" s="6">
        <v>50</v>
      </c>
      <c r="D13" s="6">
        <v>70</v>
      </c>
      <c r="E13" s="6">
        <f t="shared" si="2"/>
        <v>120</v>
      </c>
      <c r="F13" s="6">
        <v>75</v>
      </c>
      <c r="G13" s="6">
        <f t="shared" si="3"/>
        <v>195</v>
      </c>
      <c r="H13" s="3"/>
      <c r="I13" s="3"/>
      <c r="J13" s="7"/>
      <c r="K13" s="7"/>
      <c r="L13" s="7"/>
      <c r="M13" s="7"/>
      <c r="N13" s="7"/>
      <c r="O13" s="7"/>
      <c r="P13" s="7"/>
      <c r="Q13" s="7"/>
      <c r="R13" s="7"/>
      <c r="S13" s="7"/>
      <c r="T13" s="7"/>
      <c r="U13" s="7"/>
      <c r="V13" s="7"/>
      <c r="W13" s="7"/>
      <c r="X13" s="7"/>
      <c r="Y13" s="7"/>
      <c r="Z13" s="7"/>
    </row>
    <row r="14" spans="1:26" ht="15" customHeight="1" x14ac:dyDescent="0.25">
      <c r="A14" s="1"/>
      <c r="B14" s="3"/>
      <c r="C14" s="13">
        <v>50</v>
      </c>
      <c r="D14" s="13">
        <v>80</v>
      </c>
      <c r="E14" s="13">
        <f t="shared" si="2"/>
        <v>130</v>
      </c>
      <c r="F14" s="13">
        <v>75</v>
      </c>
      <c r="G14" s="13">
        <f t="shared" si="3"/>
        <v>205</v>
      </c>
      <c r="H14" s="3"/>
      <c r="I14" s="3"/>
      <c r="J14" s="7"/>
      <c r="K14" s="7"/>
      <c r="L14" s="7"/>
      <c r="M14" s="7"/>
      <c r="N14" s="7"/>
      <c r="O14" s="7"/>
      <c r="P14" s="7"/>
      <c r="Q14" s="7"/>
      <c r="R14" s="7"/>
      <c r="S14" s="7"/>
      <c r="T14" s="7"/>
      <c r="U14" s="7"/>
      <c r="V14" s="7"/>
      <c r="W14" s="7"/>
      <c r="X14" s="7"/>
      <c r="Y14" s="7"/>
      <c r="Z14" s="7"/>
    </row>
    <row r="15" spans="1:26" ht="15" customHeight="1" x14ac:dyDescent="0.25">
      <c r="A15" s="1"/>
      <c r="B15" s="3"/>
      <c r="C15" s="9">
        <f>SUM(C11:C14)</f>
        <v>200</v>
      </c>
      <c r="D15" s="6">
        <v>260</v>
      </c>
      <c r="E15" s="9">
        <f t="shared" ref="E15" si="4">SUM(E11:E14)</f>
        <v>460</v>
      </c>
      <c r="F15" s="6">
        <v>261</v>
      </c>
      <c r="G15" s="9">
        <f t="shared" ref="G15" si="5">SUM(G11:G14)</f>
        <v>760</v>
      </c>
      <c r="H15" s="3"/>
      <c r="I15" s="3"/>
      <c r="J15" s="7"/>
      <c r="K15" s="7"/>
      <c r="L15" s="7"/>
      <c r="M15" s="7"/>
      <c r="N15" s="7"/>
      <c r="O15" s="7"/>
      <c r="P15" s="7"/>
      <c r="Q15" s="7"/>
      <c r="R15" s="7"/>
      <c r="S15" s="7"/>
      <c r="T15" s="7"/>
      <c r="U15" s="7"/>
      <c r="V15" s="7"/>
      <c r="W15" s="7"/>
      <c r="X15" s="7"/>
      <c r="Y15" s="7"/>
      <c r="Z15" s="7"/>
    </row>
    <row r="16" spans="1:26" ht="15" customHeight="1" x14ac:dyDescent="0.25">
      <c r="A16" s="1"/>
      <c r="B16" s="3"/>
      <c r="C16" s="7"/>
      <c r="D16" s="7"/>
      <c r="E16" s="7"/>
      <c r="F16" s="7"/>
      <c r="G16" s="7"/>
      <c r="H16" s="3"/>
      <c r="I16" s="3"/>
      <c r="J16" s="7"/>
      <c r="K16" s="7"/>
      <c r="L16" s="7"/>
      <c r="M16" s="7"/>
      <c r="N16" s="7"/>
      <c r="O16" s="7"/>
      <c r="P16" s="7"/>
      <c r="Q16" s="7"/>
      <c r="R16" s="7"/>
      <c r="S16" s="7"/>
      <c r="T16" s="7"/>
      <c r="U16" s="7"/>
      <c r="V16" s="7"/>
      <c r="W16" s="7"/>
      <c r="X16" s="7"/>
      <c r="Y16" s="7"/>
      <c r="Z16" s="7"/>
    </row>
    <row r="17" spans="1:26" ht="15" customHeight="1" x14ac:dyDescent="0.25">
      <c r="A17" s="1"/>
      <c r="B17" s="3"/>
      <c r="C17" s="7"/>
      <c r="D17" s="7"/>
      <c r="E17" s="7"/>
      <c r="F17" s="7"/>
      <c r="G17" s="7"/>
      <c r="H17" s="3"/>
      <c r="I17" s="3"/>
      <c r="J17" s="7"/>
      <c r="K17" s="7"/>
      <c r="L17" s="7"/>
      <c r="M17" s="7"/>
      <c r="N17" s="7"/>
      <c r="O17" s="7"/>
      <c r="P17" s="7"/>
      <c r="Q17" s="7"/>
      <c r="R17" s="7"/>
      <c r="S17" s="7"/>
      <c r="T17" s="7"/>
      <c r="U17" s="7"/>
      <c r="V17" s="7"/>
      <c r="W17" s="7"/>
      <c r="X17" s="7"/>
      <c r="Y17" s="7"/>
      <c r="Z17" s="7"/>
    </row>
    <row r="18" spans="1:26" ht="15" customHeight="1" x14ac:dyDescent="0.25">
      <c r="A18" s="1"/>
      <c r="B18" s="3"/>
      <c r="C18" s="3"/>
      <c r="D18" s="3"/>
      <c r="E18" s="3"/>
      <c r="F18" s="3"/>
      <c r="G18" s="3"/>
      <c r="H18" s="3"/>
      <c r="I18" s="3"/>
      <c r="J18" s="7"/>
      <c r="K18" s="7"/>
      <c r="L18" s="7"/>
      <c r="M18" s="7"/>
      <c r="N18" s="7"/>
      <c r="O18" s="7"/>
      <c r="P18" s="7"/>
      <c r="Q18" s="7"/>
      <c r="R18" s="7"/>
      <c r="S18" s="7"/>
      <c r="T18" s="7"/>
      <c r="U18" s="7"/>
      <c r="V18" s="7"/>
      <c r="W18" s="7"/>
      <c r="X18" s="7"/>
      <c r="Y18" s="7"/>
      <c r="Z18" s="7"/>
    </row>
    <row r="19" spans="1:26" ht="15" customHeight="1" x14ac:dyDescent="0.25">
      <c r="A19" s="1"/>
      <c r="B19" s="3"/>
      <c r="C19" s="3"/>
      <c r="D19" s="3"/>
      <c r="E19" s="3"/>
      <c r="F19" s="3"/>
      <c r="G19" s="3"/>
      <c r="H19" s="3"/>
      <c r="I19" s="3"/>
      <c r="J19" s="7"/>
      <c r="K19" s="7"/>
      <c r="L19" s="7"/>
      <c r="M19" s="7"/>
      <c r="N19" s="7"/>
      <c r="O19" s="7"/>
      <c r="P19" s="7"/>
      <c r="Q19" s="7"/>
      <c r="R19" s="7"/>
      <c r="S19" s="7"/>
      <c r="T19" s="7"/>
      <c r="U19" s="7"/>
      <c r="V19" s="7"/>
      <c r="W19" s="7"/>
      <c r="X19" s="7"/>
      <c r="Y19" s="7"/>
      <c r="Z19" s="7"/>
    </row>
    <row r="20" spans="1:26" ht="15" customHeight="1" x14ac:dyDescent="0.25">
      <c r="A20" s="1"/>
      <c r="B20" s="3"/>
      <c r="C20" s="3"/>
      <c r="D20" s="3"/>
      <c r="E20" s="3"/>
      <c r="F20" s="3"/>
      <c r="G20" s="3"/>
      <c r="H20" s="3"/>
      <c r="I20" s="3"/>
      <c r="J20" s="7"/>
      <c r="K20" s="7"/>
      <c r="L20" s="7"/>
      <c r="M20" s="7"/>
      <c r="N20" s="7"/>
      <c r="O20" s="7"/>
      <c r="P20" s="7"/>
      <c r="Q20" s="7"/>
      <c r="R20" s="7"/>
      <c r="S20" s="7"/>
      <c r="T20" s="7"/>
      <c r="U20" s="7"/>
      <c r="V20" s="7"/>
      <c r="W20" s="7"/>
      <c r="X20" s="7"/>
      <c r="Y20" s="7"/>
      <c r="Z20" s="7"/>
    </row>
    <row r="21" spans="1:26" ht="15" customHeight="1" x14ac:dyDescent="0.25">
      <c r="A21" s="1"/>
      <c r="B21" s="3"/>
      <c r="C21" s="3"/>
      <c r="D21" s="3"/>
      <c r="E21" s="3"/>
      <c r="F21" s="3"/>
      <c r="G21" s="3"/>
      <c r="H21" s="3"/>
      <c r="I21" s="3"/>
      <c r="J21" s="7"/>
      <c r="K21" s="7"/>
      <c r="L21" s="7"/>
      <c r="M21" s="7"/>
      <c r="N21" s="7"/>
      <c r="O21" s="7"/>
      <c r="P21" s="7"/>
      <c r="Q21" s="7"/>
      <c r="R21" s="7"/>
      <c r="S21" s="7"/>
      <c r="T21" s="7"/>
      <c r="U21" s="7"/>
      <c r="V21" s="7"/>
      <c r="W21" s="7"/>
      <c r="X21" s="7"/>
      <c r="Y21" s="7"/>
      <c r="Z21" s="7"/>
    </row>
    <row r="22" spans="1:26" ht="15" customHeight="1" x14ac:dyDescent="0.25">
      <c r="A22" s="1"/>
      <c r="B22" s="3"/>
      <c r="C22" s="7"/>
      <c r="D22" s="7"/>
      <c r="E22" s="7"/>
      <c r="F22" s="7"/>
      <c r="G22" s="7"/>
      <c r="H22" s="7"/>
      <c r="I22" s="7"/>
      <c r="J22" s="7"/>
      <c r="K22" s="7"/>
      <c r="L22" s="7"/>
      <c r="M22" s="7"/>
      <c r="N22" s="7"/>
      <c r="O22" s="7"/>
      <c r="P22" s="7"/>
      <c r="Q22" s="7"/>
      <c r="R22" s="7"/>
      <c r="S22" s="7"/>
      <c r="T22" s="7"/>
      <c r="U22" s="7"/>
      <c r="V22" s="7"/>
      <c r="W22" s="7"/>
      <c r="X22" s="7"/>
      <c r="Y22" s="7"/>
      <c r="Z22" s="7"/>
    </row>
    <row r="23" spans="1:26" ht="15" customHeight="1" x14ac:dyDescent="0.25">
      <c r="A23" s="1"/>
      <c r="B23" s="3"/>
      <c r="C23" s="7"/>
      <c r="D23" s="7"/>
      <c r="E23" s="7"/>
      <c r="F23" s="7"/>
      <c r="G23" s="7"/>
      <c r="H23" s="7"/>
      <c r="I23" s="7"/>
      <c r="J23" s="7"/>
      <c r="K23" s="7"/>
      <c r="L23" s="7"/>
      <c r="M23" s="7"/>
      <c r="N23" s="7"/>
      <c r="O23" s="7"/>
      <c r="P23" s="7"/>
      <c r="Q23" s="7"/>
      <c r="R23" s="7"/>
      <c r="S23" s="7"/>
      <c r="T23" s="7"/>
      <c r="U23" s="7"/>
      <c r="V23" s="7"/>
      <c r="W23" s="7"/>
      <c r="X23" s="7"/>
      <c r="Y23" s="7"/>
      <c r="Z23" s="7"/>
    </row>
    <row r="24" spans="1:26" ht="15" customHeight="1" x14ac:dyDescent="0.25">
      <c r="A24" s="1"/>
      <c r="B24" s="3"/>
      <c r="C24" s="7"/>
      <c r="D24" s="7"/>
      <c r="E24" s="7"/>
      <c r="F24" s="7"/>
      <c r="G24" s="7"/>
      <c r="H24" s="7"/>
      <c r="I24" s="7"/>
      <c r="J24" s="7"/>
      <c r="K24" s="7"/>
      <c r="L24" s="7"/>
      <c r="M24" s="7"/>
      <c r="N24" s="7"/>
      <c r="O24" s="7"/>
      <c r="P24" s="7"/>
      <c r="Q24" s="7"/>
      <c r="R24" s="7"/>
      <c r="S24" s="7"/>
      <c r="T24" s="7"/>
      <c r="U24" s="7"/>
      <c r="V24" s="7"/>
      <c r="W24" s="7"/>
      <c r="X24" s="7"/>
      <c r="Y24" s="7"/>
      <c r="Z24" s="7"/>
    </row>
    <row r="25" spans="1:26" ht="15.75" customHeight="1" x14ac:dyDescent="0.25">
      <c r="A25" s="1"/>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x14ac:dyDescent="0.25">
      <c r="A26" s="1"/>
      <c r="B26" s="3"/>
      <c r="C26" s="3"/>
      <c r="D26" s="3"/>
      <c r="E26" s="3"/>
      <c r="F26" s="3"/>
      <c r="G26" s="3"/>
      <c r="H26" s="3"/>
      <c r="I26" s="3"/>
      <c r="J26" s="3"/>
      <c r="K26" s="3"/>
      <c r="L26" s="3"/>
      <c r="M26" s="3"/>
      <c r="N26" s="3"/>
      <c r="O26" s="3"/>
      <c r="P26" s="3"/>
      <c r="Q26" s="3"/>
      <c r="R26" s="3"/>
      <c r="S26" s="3"/>
      <c r="T26" s="3"/>
      <c r="U26" s="3"/>
      <c r="V26" s="3"/>
      <c r="W26" s="3"/>
      <c r="X26" s="3"/>
      <c r="Y26" s="3"/>
      <c r="Z26" s="3"/>
    </row>
    <row r="27" spans="1:26" ht="15" customHeight="1" x14ac:dyDescent="0.25">
      <c r="A27" s="1" t="s">
        <v>80</v>
      </c>
      <c r="B27" s="3"/>
      <c r="C27" s="3"/>
      <c r="D27" s="3"/>
      <c r="E27" s="3"/>
      <c r="F27" s="3"/>
      <c r="G27" s="3"/>
      <c r="H27" s="3"/>
      <c r="I27" s="3"/>
      <c r="J27" s="3"/>
      <c r="K27" s="3"/>
      <c r="L27" s="3"/>
      <c r="M27" s="3"/>
      <c r="N27" s="3"/>
      <c r="O27" s="3"/>
      <c r="P27" s="3"/>
      <c r="Q27" s="3"/>
      <c r="R27" s="3"/>
      <c r="S27" s="3"/>
      <c r="T27" s="3"/>
      <c r="U27" s="3"/>
      <c r="V27" s="3"/>
      <c r="W27" s="3"/>
      <c r="X27" s="3"/>
      <c r="Y27" s="3"/>
      <c r="Z27" s="3"/>
    </row>
    <row r="28" spans="1:26" ht="15" customHeight="1" x14ac:dyDescent="0.25">
      <c r="A28" s="1" t="s">
        <v>81</v>
      </c>
      <c r="B28" s="3"/>
      <c r="C28" s="3"/>
      <c r="D28" s="3"/>
      <c r="E28" s="3"/>
      <c r="F28" s="3"/>
      <c r="G28" s="3"/>
      <c r="H28" s="3"/>
      <c r="I28" s="3"/>
      <c r="J28" s="3"/>
      <c r="K28" s="3"/>
      <c r="L28" s="3"/>
      <c r="M28" s="3"/>
      <c r="N28" s="3"/>
      <c r="O28" s="3"/>
      <c r="P28" s="3"/>
      <c r="Q28" s="3"/>
      <c r="R28" s="3"/>
      <c r="S28" s="3"/>
      <c r="T28" s="3"/>
      <c r="U28" s="3"/>
      <c r="V28" s="3"/>
      <c r="W28" s="3"/>
      <c r="X28" s="3"/>
      <c r="Y28" s="3"/>
      <c r="Z28" s="3"/>
    </row>
    <row r="29" spans="1:26" ht="15" customHeight="1" x14ac:dyDescent="0.25">
      <c r="A29" s="1" t="s">
        <v>82</v>
      </c>
      <c r="B29" s="3"/>
      <c r="C29" s="3"/>
      <c r="D29" s="3"/>
      <c r="E29" s="3"/>
      <c r="F29" s="3"/>
      <c r="G29" s="3"/>
      <c r="H29" s="3"/>
      <c r="I29" s="3"/>
      <c r="J29" s="3"/>
      <c r="K29" s="3"/>
      <c r="L29" s="3"/>
      <c r="M29" s="3"/>
      <c r="N29" s="3"/>
      <c r="O29" s="3"/>
      <c r="P29" s="3"/>
      <c r="Q29" s="3"/>
      <c r="R29" s="3"/>
      <c r="S29" s="3"/>
      <c r="T29" s="3"/>
      <c r="U29" s="3"/>
      <c r="V29" s="3"/>
      <c r="W29" s="3"/>
      <c r="X29" s="3"/>
      <c r="Y29" s="3"/>
      <c r="Z29" s="3"/>
    </row>
    <row r="30" spans="1:26" ht="15" customHeight="1" x14ac:dyDescent="0.25">
      <c r="A30" s="1" t="s">
        <v>83</v>
      </c>
      <c r="B30" s="3"/>
      <c r="C30" s="3"/>
      <c r="D30" s="3"/>
      <c r="E30" s="3"/>
      <c r="F30" s="3"/>
      <c r="G30" s="3"/>
      <c r="H30" s="3"/>
      <c r="I30" s="3"/>
      <c r="J30" s="3"/>
      <c r="K30" s="3"/>
      <c r="L30" s="3"/>
      <c r="M30" s="3"/>
      <c r="N30" s="3"/>
      <c r="O30" s="3"/>
      <c r="P30" s="3"/>
      <c r="Q30" s="3"/>
      <c r="R30" s="3"/>
      <c r="S30" s="3"/>
      <c r="T30" s="3"/>
      <c r="U30" s="3"/>
      <c r="V30" s="3"/>
      <c r="W30" s="3"/>
      <c r="X30" s="3"/>
      <c r="Y30" s="3"/>
      <c r="Z30" s="3"/>
    </row>
    <row r="31" spans="1:26" ht="15" customHeight="1" x14ac:dyDescent="0.25">
      <c r="A31" s="1" t="s">
        <v>84</v>
      </c>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x14ac:dyDescent="0.25">
      <c r="A32" s="1"/>
      <c r="B32" s="3"/>
      <c r="C32" s="3"/>
      <c r="D32" s="3"/>
      <c r="E32" s="3"/>
      <c r="F32" s="3"/>
      <c r="G32" s="3"/>
      <c r="H32" s="3"/>
      <c r="I32" s="3"/>
      <c r="J32" s="3"/>
      <c r="K32" s="3"/>
      <c r="L32" s="3"/>
      <c r="M32" s="3"/>
      <c r="N32" s="3"/>
      <c r="O32" s="3"/>
      <c r="P32" s="3"/>
      <c r="Q32" s="3"/>
      <c r="R32" s="3"/>
      <c r="S32" s="3"/>
      <c r="T32" s="3"/>
      <c r="U32" s="3"/>
      <c r="V32" s="3"/>
      <c r="W32" s="3"/>
      <c r="X32" s="3"/>
      <c r="Y32" s="3"/>
      <c r="Z32" s="3"/>
    </row>
    <row r="33" spans="1:26" ht="15" customHeight="1" x14ac:dyDescent="0.25">
      <c r="A33" s="1"/>
      <c r="B33" s="3"/>
      <c r="C33" s="5" t="s">
        <v>85</v>
      </c>
      <c r="D33" s="5" t="s">
        <v>86</v>
      </c>
      <c r="E33" s="5" t="s">
        <v>87</v>
      </c>
      <c r="F33" s="5" t="s">
        <v>88</v>
      </c>
      <c r="G33" s="3"/>
      <c r="H33" s="3"/>
      <c r="I33" s="3"/>
      <c r="J33" s="3"/>
      <c r="K33" s="3"/>
      <c r="L33" s="3"/>
      <c r="M33" s="3"/>
      <c r="N33" s="3"/>
      <c r="O33" s="3"/>
      <c r="P33" s="3"/>
      <c r="Q33" s="3"/>
      <c r="R33" s="3"/>
      <c r="S33" s="3"/>
      <c r="T33" s="3"/>
      <c r="U33" s="3"/>
      <c r="V33" s="3"/>
      <c r="W33" s="3"/>
      <c r="X33" s="3"/>
      <c r="Y33" s="3"/>
      <c r="Z33" s="3"/>
    </row>
    <row r="34" spans="1:26" ht="15" customHeight="1" x14ac:dyDescent="0.25">
      <c r="A34" s="1"/>
      <c r="B34" s="3"/>
      <c r="C34" s="14" t="s">
        <v>89</v>
      </c>
      <c r="D34" s="14" t="s">
        <v>3</v>
      </c>
      <c r="E34" s="6" t="s">
        <v>90</v>
      </c>
      <c r="F34" s="6">
        <v>100</v>
      </c>
      <c r="G34" s="3"/>
      <c r="H34" s="3"/>
      <c r="I34" s="3"/>
      <c r="J34" s="3"/>
      <c r="K34" s="3"/>
      <c r="L34" s="3"/>
      <c r="M34" s="3"/>
      <c r="N34" s="3"/>
      <c r="O34" s="3"/>
      <c r="P34" s="3"/>
      <c r="Q34" s="3"/>
      <c r="R34" s="3"/>
      <c r="S34" s="3"/>
      <c r="T34" s="3"/>
      <c r="U34" s="3"/>
      <c r="V34" s="3"/>
      <c r="W34" s="3"/>
      <c r="X34" s="3"/>
      <c r="Y34" s="3"/>
      <c r="Z34" s="3"/>
    </row>
    <row r="35" spans="1:26" ht="15" customHeight="1" x14ac:dyDescent="0.25">
      <c r="A35" s="1"/>
      <c r="B35" s="3"/>
      <c r="C35" s="6"/>
      <c r="D35" s="6"/>
      <c r="E35" s="6" t="s">
        <v>91</v>
      </c>
      <c r="F35" s="6">
        <v>200</v>
      </c>
      <c r="G35" s="3"/>
      <c r="H35" s="3"/>
      <c r="I35" s="3"/>
      <c r="J35" s="3"/>
      <c r="K35" s="3"/>
      <c r="L35" s="3"/>
      <c r="M35" s="3"/>
      <c r="N35" s="3"/>
      <c r="O35" s="3"/>
      <c r="P35" s="3"/>
      <c r="Q35" s="3"/>
      <c r="R35" s="3"/>
      <c r="S35" s="3"/>
      <c r="T35" s="3"/>
      <c r="U35" s="3"/>
      <c r="V35" s="3"/>
      <c r="W35" s="3"/>
      <c r="X35" s="3"/>
      <c r="Y35" s="3"/>
      <c r="Z35" s="3"/>
    </row>
    <row r="36" spans="1:26" ht="15" customHeight="1" x14ac:dyDescent="0.25">
      <c r="A36" s="1"/>
      <c r="B36" s="3"/>
      <c r="C36" s="6"/>
      <c r="D36" s="6"/>
      <c r="E36" s="6" t="s">
        <v>92</v>
      </c>
      <c r="F36" s="6">
        <v>50</v>
      </c>
      <c r="G36" s="3"/>
      <c r="H36" s="3"/>
      <c r="I36" s="3"/>
      <c r="J36" s="3"/>
      <c r="K36" s="3"/>
      <c r="L36" s="3"/>
      <c r="M36" s="3"/>
      <c r="N36" s="3"/>
      <c r="O36" s="3"/>
      <c r="P36" s="3"/>
      <c r="Q36" s="3"/>
      <c r="R36" s="3"/>
      <c r="S36" s="3"/>
      <c r="T36" s="3"/>
      <c r="U36" s="3"/>
      <c r="V36" s="3"/>
      <c r="W36" s="3"/>
      <c r="X36" s="3"/>
      <c r="Y36" s="3"/>
      <c r="Z36" s="3"/>
    </row>
    <row r="37" spans="1:26" ht="15" customHeight="1" x14ac:dyDescent="0.25">
      <c r="A37" s="1"/>
      <c r="B37" s="3"/>
      <c r="C37" s="6"/>
      <c r="D37" s="6"/>
      <c r="E37" s="6" t="s">
        <v>93</v>
      </c>
      <c r="F37" s="6">
        <v>100</v>
      </c>
      <c r="G37" s="3"/>
      <c r="H37" s="3"/>
      <c r="I37" s="3"/>
      <c r="J37" s="3"/>
      <c r="K37" s="3"/>
      <c r="L37" s="3"/>
      <c r="M37" s="3"/>
      <c r="N37" s="3"/>
      <c r="O37" s="3"/>
      <c r="P37" s="3"/>
      <c r="Q37" s="3"/>
      <c r="R37" s="3"/>
      <c r="S37" s="3"/>
      <c r="T37" s="3"/>
      <c r="U37" s="3"/>
      <c r="V37" s="3"/>
      <c r="W37" s="3"/>
      <c r="X37" s="3"/>
      <c r="Y37" s="3"/>
      <c r="Z37" s="3"/>
    </row>
    <row r="38" spans="1:26" ht="15" customHeight="1" x14ac:dyDescent="0.25">
      <c r="A38" s="1"/>
      <c r="B38" s="3"/>
      <c r="C38" s="3"/>
      <c r="D38" s="3"/>
      <c r="E38" s="3"/>
      <c r="F38" s="3"/>
      <c r="G38" s="3"/>
      <c r="H38" s="3"/>
      <c r="I38" s="3"/>
      <c r="J38" s="3"/>
      <c r="K38" s="3"/>
      <c r="L38" s="3"/>
      <c r="M38" s="3"/>
      <c r="N38" s="3"/>
      <c r="O38" s="3"/>
      <c r="P38" s="3"/>
      <c r="Q38" s="3"/>
      <c r="R38" s="3"/>
      <c r="S38" s="3"/>
      <c r="T38" s="3"/>
      <c r="U38" s="3"/>
      <c r="V38" s="3"/>
      <c r="W38" s="3"/>
      <c r="X38" s="3"/>
      <c r="Y38" s="3"/>
      <c r="Z38" s="3"/>
    </row>
    <row r="39" spans="1:26" ht="15" customHeight="1" x14ac:dyDescent="0.25">
      <c r="A39" s="1"/>
      <c r="B39" s="3"/>
      <c r="C39" s="3"/>
      <c r="D39" s="3"/>
      <c r="E39" s="3"/>
      <c r="F39" s="3"/>
      <c r="G39" s="3"/>
      <c r="H39" s="3"/>
      <c r="I39" s="3"/>
      <c r="J39" s="3"/>
      <c r="K39" s="3"/>
      <c r="L39" s="3"/>
      <c r="M39" s="3"/>
      <c r="N39" s="3"/>
      <c r="O39" s="3"/>
      <c r="P39" s="3"/>
      <c r="Q39" s="3"/>
      <c r="R39" s="3"/>
      <c r="S39" s="3"/>
      <c r="T39" s="3"/>
      <c r="U39" s="3"/>
      <c r="V39" s="3"/>
      <c r="W39" s="3"/>
      <c r="X39" s="3"/>
      <c r="Y39" s="3"/>
      <c r="Z39" s="3"/>
    </row>
    <row r="40" spans="1:26" ht="15" customHeight="1" x14ac:dyDescent="0.25">
      <c r="A40" s="1"/>
      <c r="B40" s="3"/>
      <c r="C40" s="3"/>
      <c r="D40" s="3"/>
      <c r="E40" s="3"/>
      <c r="F40" s="3"/>
      <c r="G40" s="3"/>
      <c r="H40" s="3"/>
      <c r="I40" s="3"/>
      <c r="J40" s="3"/>
      <c r="K40" s="3"/>
      <c r="L40" s="3"/>
      <c r="M40" s="3"/>
      <c r="N40" s="3"/>
      <c r="O40" s="3"/>
      <c r="P40" s="3"/>
      <c r="Q40" s="3"/>
      <c r="R40" s="3"/>
      <c r="S40" s="3"/>
      <c r="T40" s="3"/>
      <c r="U40" s="3"/>
      <c r="V40" s="3"/>
      <c r="W40" s="3"/>
      <c r="X40" s="3"/>
      <c r="Y40" s="3"/>
      <c r="Z40" s="3"/>
    </row>
    <row r="41" spans="1:26" ht="15" customHeight="1" x14ac:dyDescent="0.25">
      <c r="A41" s="1"/>
      <c r="B41" s="3"/>
      <c r="C41" s="3"/>
      <c r="D41" s="3"/>
      <c r="E41" s="3"/>
      <c r="F41" s="3"/>
      <c r="G41" s="3"/>
      <c r="H41" s="3"/>
      <c r="I41" s="3"/>
      <c r="J41" s="3"/>
      <c r="K41" s="3"/>
      <c r="L41" s="3"/>
      <c r="M41" s="3"/>
      <c r="N41" s="3"/>
      <c r="O41" s="3"/>
      <c r="P41" s="3"/>
      <c r="Q41" s="3"/>
      <c r="R41" s="3"/>
      <c r="S41" s="3"/>
      <c r="T41" s="3"/>
      <c r="U41" s="3"/>
      <c r="V41" s="3"/>
      <c r="W41" s="3"/>
      <c r="X41" s="3"/>
      <c r="Y41" s="3"/>
      <c r="Z41" s="3"/>
    </row>
    <row r="42" spans="1:26" ht="15" customHeight="1" x14ac:dyDescent="0.25">
      <c r="A42" s="1"/>
      <c r="B42" s="3"/>
      <c r="C42" s="3"/>
      <c r="D42" s="3"/>
      <c r="E42" s="3"/>
      <c r="F42" s="3"/>
      <c r="G42" s="3"/>
      <c r="H42" s="3"/>
      <c r="I42" s="3"/>
      <c r="J42" s="3"/>
      <c r="K42" s="3"/>
      <c r="L42" s="3"/>
      <c r="M42" s="3"/>
      <c r="N42" s="3"/>
      <c r="O42" s="3"/>
      <c r="P42" s="3"/>
      <c r="Q42" s="3"/>
      <c r="R42" s="3"/>
      <c r="S42" s="3"/>
      <c r="T42" s="3"/>
      <c r="U42" s="3"/>
      <c r="V42" s="3"/>
      <c r="W42" s="3"/>
      <c r="X42" s="3"/>
      <c r="Y42" s="3"/>
      <c r="Z42" s="3"/>
    </row>
    <row r="43" spans="1:26" ht="15" customHeight="1" x14ac:dyDescent="0.25">
      <c r="A43" s="1"/>
      <c r="B43" s="3"/>
      <c r="C43" s="3"/>
      <c r="D43" s="3"/>
      <c r="E43" s="3"/>
      <c r="F43" s="3"/>
      <c r="G43" s="3"/>
      <c r="H43" s="3"/>
      <c r="I43" s="3"/>
      <c r="J43" s="3"/>
      <c r="K43" s="3"/>
      <c r="L43" s="3"/>
      <c r="M43" s="3"/>
      <c r="N43" s="3"/>
      <c r="O43" s="3"/>
      <c r="P43" s="3"/>
      <c r="Q43" s="3"/>
      <c r="R43" s="3"/>
      <c r="S43" s="3"/>
      <c r="T43" s="3"/>
      <c r="U43" s="3"/>
      <c r="V43" s="3"/>
      <c r="W43" s="3"/>
      <c r="X43" s="3"/>
      <c r="Y43" s="3"/>
      <c r="Z43" s="3"/>
    </row>
    <row r="44" spans="1:26" ht="15" customHeight="1" x14ac:dyDescent="0.25">
      <c r="A44" s="1"/>
      <c r="B44" s="3"/>
      <c r="C44" s="3"/>
      <c r="D44" s="3"/>
      <c r="E44" s="3"/>
      <c r="F44" s="3"/>
      <c r="G44" s="3"/>
      <c r="H44" s="3"/>
      <c r="I44" s="3"/>
      <c r="J44" s="3"/>
      <c r="K44" s="3"/>
      <c r="L44" s="3"/>
      <c r="M44" s="3"/>
      <c r="N44" s="3"/>
      <c r="O44" s="3"/>
      <c r="P44" s="3"/>
      <c r="Q44" s="3"/>
      <c r="R44" s="3"/>
      <c r="S44" s="3"/>
      <c r="T44" s="3"/>
      <c r="U44" s="3"/>
      <c r="V44" s="3"/>
      <c r="W44" s="3"/>
      <c r="X44" s="3"/>
      <c r="Y44" s="3"/>
      <c r="Z44" s="3"/>
    </row>
    <row r="45" spans="1:26" ht="15" customHeight="1" x14ac:dyDescent="0.25">
      <c r="A45" s="1"/>
      <c r="B45" s="3"/>
      <c r="C45" s="3"/>
      <c r="D45" s="3"/>
      <c r="E45" s="3"/>
      <c r="F45" s="3"/>
      <c r="G45" s="3"/>
      <c r="H45" s="3"/>
      <c r="I45" s="3"/>
      <c r="J45" s="3"/>
      <c r="K45" s="3"/>
      <c r="L45" s="3"/>
      <c r="M45" s="3"/>
      <c r="N45" s="3"/>
      <c r="O45" s="3"/>
      <c r="P45" s="3"/>
      <c r="Q45" s="3"/>
      <c r="R45" s="3"/>
      <c r="S45" s="3"/>
      <c r="T45" s="3"/>
      <c r="U45" s="3"/>
      <c r="V45" s="3"/>
      <c r="W45" s="3"/>
      <c r="X45" s="3"/>
      <c r="Y45" s="3"/>
      <c r="Z45" s="3"/>
    </row>
    <row r="46" spans="1:26" ht="15" customHeight="1" x14ac:dyDescent="0.25">
      <c r="A46" s="1"/>
      <c r="B46" s="3"/>
      <c r="C46" s="5"/>
      <c r="D46" s="5" t="s">
        <v>94</v>
      </c>
      <c r="E46" s="5" t="s">
        <v>478</v>
      </c>
      <c r="F46" s="5" t="s">
        <v>479</v>
      </c>
      <c r="G46" s="3"/>
      <c r="H46" s="3"/>
      <c r="I46" s="3"/>
      <c r="J46" s="3"/>
      <c r="K46" s="3"/>
      <c r="L46" s="3"/>
      <c r="M46" s="3"/>
      <c r="N46" s="3"/>
      <c r="O46" s="3"/>
      <c r="P46" s="3"/>
      <c r="Q46" s="3"/>
      <c r="R46" s="3"/>
      <c r="S46" s="3"/>
      <c r="T46" s="3"/>
      <c r="U46" s="3"/>
      <c r="V46" s="3"/>
      <c r="W46" s="3"/>
      <c r="X46" s="3"/>
      <c r="Y46" s="3"/>
      <c r="Z46" s="3"/>
    </row>
    <row r="47" spans="1:26" ht="15" customHeight="1" thickTop="1" thickBot="1" x14ac:dyDescent="0.3">
      <c r="A47" s="1"/>
      <c r="B47" s="3"/>
      <c r="C47" s="14" t="s">
        <v>95</v>
      </c>
      <c r="D47" s="6">
        <v>35</v>
      </c>
      <c r="E47" s="6">
        <v>44</v>
      </c>
      <c r="F47" s="6">
        <v>79</v>
      </c>
      <c r="G47" s="3"/>
      <c r="H47" s="10" t="s">
        <v>96</v>
      </c>
      <c r="I47" s="3"/>
      <c r="J47" s="3"/>
      <c r="K47" s="3"/>
      <c r="L47" s="3"/>
      <c r="M47" s="3"/>
      <c r="N47" s="3"/>
      <c r="O47" s="3"/>
      <c r="P47" s="3"/>
      <c r="Q47" s="3"/>
      <c r="R47" s="3"/>
      <c r="S47" s="3"/>
      <c r="T47" s="3"/>
      <c r="U47" s="3"/>
      <c r="V47" s="3"/>
      <c r="W47" s="3"/>
      <c r="X47" s="3"/>
      <c r="Y47" s="3"/>
      <c r="Z47" s="3"/>
    </row>
    <row r="48" spans="1:26" ht="15" customHeight="1" thickTop="1" thickBot="1" x14ac:dyDescent="0.3">
      <c r="A48" s="1"/>
      <c r="B48" s="3"/>
      <c r="C48" s="14" t="s">
        <v>480</v>
      </c>
      <c r="D48" s="6">
        <v>74</v>
      </c>
      <c r="E48" s="6">
        <v>64</v>
      </c>
      <c r="F48" s="6">
        <v>56</v>
      </c>
      <c r="G48" s="3"/>
      <c r="H48" s="10" t="s">
        <v>474</v>
      </c>
      <c r="I48" s="3"/>
      <c r="J48" s="3"/>
      <c r="K48" s="3"/>
      <c r="L48" s="3"/>
      <c r="M48" s="3"/>
      <c r="N48" s="3"/>
      <c r="O48" s="3"/>
      <c r="P48" s="3"/>
      <c r="Q48" s="3"/>
      <c r="R48" s="3"/>
      <c r="S48" s="3"/>
      <c r="T48" s="3"/>
      <c r="U48" s="3"/>
      <c r="V48" s="3"/>
      <c r="W48" s="3"/>
      <c r="X48" s="3"/>
      <c r="Y48" s="3"/>
      <c r="Z48" s="3"/>
    </row>
    <row r="49" spans="1:26" ht="15" customHeight="1" thickTop="1" thickBot="1" x14ac:dyDescent="0.3">
      <c r="A49" s="1"/>
      <c r="B49" s="3"/>
      <c r="C49" s="14" t="s">
        <v>481</v>
      </c>
      <c r="D49" s="6">
        <v>82</v>
      </c>
      <c r="E49" s="6">
        <v>50</v>
      </c>
      <c r="F49" s="6">
        <v>83</v>
      </c>
      <c r="G49" s="3"/>
      <c r="H49" s="10" t="s">
        <v>475</v>
      </c>
      <c r="I49" s="3"/>
      <c r="J49" s="3"/>
      <c r="K49" s="3"/>
      <c r="L49" s="3"/>
      <c r="M49" s="3"/>
      <c r="N49" s="3"/>
      <c r="O49" s="3"/>
      <c r="P49" s="3"/>
      <c r="Q49" s="3"/>
      <c r="R49" s="3"/>
      <c r="S49" s="3"/>
      <c r="T49" s="3"/>
      <c r="U49" s="3"/>
      <c r="V49" s="3"/>
      <c r="W49" s="3"/>
      <c r="X49" s="3"/>
      <c r="Y49" s="3"/>
      <c r="Z49" s="3"/>
    </row>
    <row r="50" spans="1:26" ht="15" customHeight="1" thickTop="1" thickBot="1" x14ac:dyDescent="0.3">
      <c r="A50" s="1"/>
      <c r="B50" s="3"/>
      <c r="C50" s="14" t="s">
        <v>482</v>
      </c>
      <c r="D50" s="6">
        <v>90</v>
      </c>
      <c r="E50" s="6">
        <v>22</v>
      </c>
      <c r="F50" s="6">
        <v>89</v>
      </c>
      <c r="G50" s="3"/>
      <c r="H50" s="10" t="s">
        <v>476</v>
      </c>
      <c r="I50" s="3"/>
      <c r="J50" s="3"/>
      <c r="K50" s="3"/>
      <c r="L50" s="3"/>
      <c r="M50" s="3"/>
      <c r="N50" s="3"/>
      <c r="O50" s="3"/>
      <c r="P50" s="3"/>
      <c r="Q50" s="3"/>
      <c r="R50" s="3"/>
      <c r="S50" s="3"/>
      <c r="T50" s="3"/>
      <c r="U50" s="3"/>
      <c r="V50" s="3"/>
      <c r="W50" s="3"/>
      <c r="X50" s="3"/>
      <c r="Y50" s="3"/>
      <c r="Z50" s="3"/>
    </row>
    <row r="51" spans="1:26" ht="15" customHeight="1" thickTop="1" x14ac:dyDescent="0.25">
      <c r="A51" s="1"/>
      <c r="B51" s="3"/>
      <c r="C51" s="3"/>
      <c r="D51" s="3"/>
      <c r="E51" s="3"/>
      <c r="F51" s="3"/>
      <c r="G51" s="3"/>
      <c r="H51" s="3"/>
      <c r="I51" s="3"/>
      <c r="J51" s="3"/>
      <c r="K51" s="3"/>
      <c r="L51" s="3"/>
      <c r="M51" s="3"/>
      <c r="N51" s="3"/>
      <c r="O51" s="3"/>
      <c r="P51" s="3"/>
      <c r="Q51" s="3"/>
      <c r="R51" s="3"/>
      <c r="S51" s="3"/>
      <c r="T51" s="3"/>
      <c r="U51" s="3"/>
      <c r="V51" s="3"/>
      <c r="W51" s="3"/>
      <c r="X51" s="3"/>
      <c r="Y51" s="3"/>
      <c r="Z51" s="3"/>
    </row>
    <row r="52" spans="1:26" ht="15" customHeight="1" x14ac:dyDescent="0.25">
      <c r="A52" s="1"/>
      <c r="B52" s="3"/>
      <c r="C52" s="3"/>
      <c r="D52" s="3"/>
      <c r="E52" s="3"/>
      <c r="F52" s="3"/>
      <c r="G52" s="3"/>
      <c r="H52" s="3"/>
      <c r="I52" s="3"/>
      <c r="J52" s="3"/>
      <c r="K52" s="3"/>
      <c r="L52" s="3"/>
      <c r="M52" s="3"/>
      <c r="N52" s="3"/>
      <c r="O52" s="3"/>
      <c r="P52" s="3"/>
      <c r="Q52" s="3"/>
      <c r="R52" s="3"/>
      <c r="S52" s="3"/>
      <c r="T52" s="3"/>
      <c r="U52" s="3"/>
      <c r="V52" s="3"/>
      <c r="W52" s="3"/>
      <c r="X52" s="3"/>
      <c r="Y52" s="3"/>
      <c r="Z52" s="3"/>
    </row>
    <row r="53" spans="1:26" ht="15" customHeight="1" x14ac:dyDescent="0.25">
      <c r="A53" s="1"/>
      <c r="B53" s="3"/>
      <c r="C53" s="3"/>
      <c r="D53" s="3"/>
      <c r="E53" s="3"/>
      <c r="F53" s="3"/>
      <c r="G53" s="3"/>
      <c r="H53" s="3"/>
      <c r="I53" s="3"/>
      <c r="J53" s="3"/>
      <c r="K53" s="3"/>
      <c r="L53" s="3"/>
      <c r="M53" s="3"/>
      <c r="N53" s="3"/>
      <c r="O53" s="3"/>
      <c r="P53" s="3"/>
      <c r="Q53" s="3"/>
      <c r="R53" s="3"/>
      <c r="S53" s="3"/>
      <c r="T53" s="3"/>
      <c r="U53" s="3"/>
      <c r="V53" s="3"/>
      <c r="W53" s="3"/>
      <c r="X53" s="3"/>
      <c r="Y53" s="3"/>
      <c r="Z53" s="3"/>
    </row>
    <row r="54" spans="1:26" ht="15" customHeight="1" x14ac:dyDescent="0.25">
      <c r="A54" s="1"/>
      <c r="B54" s="3"/>
      <c r="C54" s="3"/>
      <c r="D54" s="3"/>
      <c r="E54" s="3"/>
      <c r="F54" s="3"/>
      <c r="G54" s="3"/>
      <c r="H54" s="3"/>
      <c r="I54" s="3"/>
      <c r="J54" s="3"/>
      <c r="K54" s="3"/>
      <c r="L54" s="3"/>
      <c r="M54" s="3"/>
      <c r="N54" s="3"/>
      <c r="O54" s="3"/>
      <c r="P54" s="3"/>
      <c r="Q54" s="3"/>
      <c r="R54" s="3"/>
      <c r="S54" s="3"/>
      <c r="T54" s="3"/>
      <c r="U54" s="3"/>
      <c r="V54" s="3"/>
      <c r="W54" s="3"/>
      <c r="X54" s="3"/>
      <c r="Y54" s="3"/>
      <c r="Z54" s="3"/>
    </row>
    <row r="55" spans="1:26" ht="15" customHeight="1" x14ac:dyDescent="0.25">
      <c r="A55" s="1"/>
      <c r="B55" s="3"/>
      <c r="C55" s="3"/>
      <c r="D55" s="3"/>
      <c r="E55" s="3"/>
      <c r="F55" s="3"/>
      <c r="G55" s="3"/>
      <c r="H55" s="3"/>
      <c r="I55" s="3"/>
      <c r="J55" s="3"/>
      <c r="K55" s="3"/>
      <c r="L55" s="3"/>
      <c r="M55" s="3"/>
      <c r="N55" s="3"/>
      <c r="O55" s="3"/>
      <c r="P55" s="3"/>
      <c r="Q55" s="3"/>
      <c r="R55" s="3"/>
      <c r="S55" s="3"/>
      <c r="T55" s="3"/>
      <c r="U55" s="3"/>
      <c r="V55" s="3"/>
      <c r="W55" s="3"/>
      <c r="X55" s="3"/>
      <c r="Y55" s="3"/>
      <c r="Z55" s="3"/>
    </row>
    <row r="56" spans="1:26" ht="15" customHeight="1" x14ac:dyDescent="0.25">
      <c r="A56" s="1"/>
      <c r="B56" s="3"/>
      <c r="C56" s="3"/>
      <c r="D56" s="3"/>
      <c r="E56" s="3"/>
      <c r="F56" s="3"/>
      <c r="G56" s="3"/>
      <c r="H56" s="3"/>
      <c r="I56" s="3"/>
      <c r="J56" s="3"/>
      <c r="K56" s="3"/>
      <c r="L56" s="3"/>
      <c r="M56" s="3"/>
      <c r="N56" s="3"/>
      <c r="O56" s="3"/>
      <c r="P56" s="3"/>
      <c r="Q56" s="3"/>
      <c r="R56" s="3"/>
      <c r="S56" s="3"/>
      <c r="T56" s="3"/>
      <c r="U56" s="3"/>
      <c r="V56" s="3"/>
      <c r="W56" s="3"/>
      <c r="X56" s="3"/>
      <c r="Y56" s="3"/>
      <c r="Z56" s="3"/>
    </row>
    <row r="57" spans="1:26" ht="15" customHeight="1" x14ac:dyDescent="0.25">
      <c r="A57" s="1"/>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x14ac:dyDescent="0.25">
      <c r="A58" s="1"/>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x14ac:dyDescent="0.25">
      <c r="A59" s="1"/>
      <c r="B59" s="3"/>
      <c r="C59" s="3"/>
      <c r="D59" s="3"/>
      <c r="E59" s="3"/>
      <c r="F59" s="3"/>
      <c r="G59" s="3"/>
      <c r="H59" s="3"/>
      <c r="I59" s="3"/>
      <c r="J59" s="3"/>
      <c r="K59" s="3"/>
      <c r="L59" s="3"/>
      <c r="M59" s="3"/>
      <c r="N59" s="3"/>
      <c r="O59" s="3"/>
      <c r="P59" s="3"/>
      <c r="Q59" s="3"/>
      <c r="R59" s="3"/>
      <c r="S59" s="3"/>
      <c r="T59" s="3"/>
      <c r="U59" s="3"/>
      <c r="V59" s="3"/>
      <c r="W59" s="3"/>
      <c r="X59" s="3"/>
      <c r="Y59" s="3"/>
      <c r="Z59" s="3"/>
    </row>
    <row r="60" spans="1:26" ht="15" customHeight="1" x14ac:dyDescent="0.25">
      <c r="A60" s="1"/>
      <c r="B60" s="3"/>
      <c r="C60" s="5" t="s">
        <v>97</v>
      </c>
      <c r="D60" s="5"/>
      <c r="E60" s="5"/>
      <c r="F60" s="5"/>
      <c r="G60" s="5"/>
      <c r="H60" s="5"/>
      <c r="I60" s="3"/>
      <c r="J60" s="3"/>
      <c r="K60" s="3"/>
      <c r="L60" s="3"/>
      <c r="M60" s="3"/>
      <c r="N60" s="3"/>
      <c r="O60" s="3"/>
      <c r="P60" s="3"/>
      <c r="Q60" s="3"/>
      <c r="R60" s="3"/>
      <c r="S60" s="3"/>
      <c r="T60" s="3"/>
      <c r="U60" s="3"/>
      <c r="V60" s="3"/>
      <c r="W60" s="3"/>
      <c r="X60" s="3"/>
      <c r="Y60" s="3"/>
      <c r="Z60" s="3"/>
    </row>
    <row r="61" spans="1:26" ht="15" customHeight="1" x14ac:dyDescent="0.25">
      <c r="A61" s="1"/>
      <c r="B61" s="3"/>
      <c r="C61" s="14">
        <v>15</v>
      </c>
      <c r="D61" s="14">
        <v>30</v>
      </c>
      <c r="E61" s="14">
        <v>45</v>
      </c>
      <c r="F61" s="14">
        <v>60</v>
      </c>
      <c r="G61" s="14">
        <v>75</v>
      </c>
      <c r="H61" s="14">
        <v>90</v>
      </c>
      <c r="I61" s="3"/>
      <c r="J61" s="3"/>
      <c r="K61" s="3"/>
      <c r="L61" s="3"/>
      <c r="M61" s="3"/>
      <c r="N61" s="3"/>
      <c r="O61" s="3"/>
      <c r="P61" s="3"/>
      <c r="Q61" s="3"/>
      <c r="R61" s="3"/>
      <c r="S61" s="3"/>
      <c r="T61" s="3"/>
      <c r="U61" s="3"/>
      <c r="V61" s="3"/>
      <c r="W61" s="3"/>
      <c r="X61" s="3"/>
      <c r="Y61" s="3"/>
      <c r="Z61" s="3"/>
    </row>
    <row r="62" spans="1:26" ht="15.75" customHeight="1" x14ac:dyDescent="0.25">
      <c r="A62" s="1"/>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x14ac:dyDescent="0.25">
      <c r="A63" s="1"/>
      <c r="B63" s="3"/>
      <c r="C63" s="3"/>
      <c r="D63" s="3"/>
      <c r="E63" s="3"/>
      <c r="F63" s="3"/>
      <c r="G63" s="3"/>
      <c r="H63" s="3"/>
      <c r="I63" s="3"/>
      <c r="J63" s="3"/>
      <c r="K63" s="3"/>
      <c r="L63" s="3"/>
      <c r="M63" s="3"/>
      <c r="N63" s="3"/>
      <c r="O63" s="3"/>
      <c r="P63" s="3"/>
      <c r="Q63" s="3"/>
      <c r="R63" s="3"/>
      <c r="S63" s="3"/>
      <c r="T63" s="3"/>
      <c r="U63" s="3"/>
      <c r="V63" s="3"/>
      <c r="W63" s="3"/>
      <c r="X63" s="3"/>
      <c r="Y63" s="3"/>
      <c r="Z63" s="3"/>
    </row>
    <row r="64" spans="1:26" ht="15" customHeight="1" x14ac:dyDescent="0.25">
      <c r="A64" s="1" t="s">
        <v>62</v>
      </c>
      <c r="B64" s="3"/>
      <c r="C64" s="3"/>
      <c r="D64" s="3"/>
      <c r="E64" s="3"/>
      <c r="F64" s="3"/>
      <c r="G64" s="3"/>
      <c r="H64" s="3"/>
      <c r="I64" s="3"/>
      <c r="J64" s="3"/>
      <c r="K64" s="3"/>
      <c r="L64" s="3"/>
      <c r="M64" s="3"/>
      <c r="N64" s="3"/>
      <c r="O64" s="3"/>
      <c r="P64" s="3"/>
      <c r="Q64" s="3"/>
      <c r="R64" s="3"/>
      <c r="S64" s="3"/>
      <c r="T64" s="3"/>
      <c r="U64" s="3"/>
      <c r="V64" s="3"/>
      <c r="W64" s="3"/>
      <c r="X64" s="3"/>
      <c r="Y64" s="3"/>
      <c r="Z64" s="3"/>
    </row>
    <row r="65" spans="1:26" ht="15" customHeight="1" x14ac:dyDescent="0.25">
      <c r="A65" s="11" t="s">
        <v>98</v>
      </c>
      <c r="B65" s="3"/>
      <c r="C65" s="3"/>
      <c r="D65" s="3"/>
      <c r="E65" s="3"/>
      <c r="F65" s="3"/>
      <c r="G65" s="3"/>
      <c r="H65" s="3"/>
      <c r="I65" s="3"/>
      <c r="J65" s="3"/>
      <c r="K65" s="3"/>
      <c r="L65" s="3"/>
      <c r="M65" s="3"/>
      <c r="N65" s="3"/>
      <c r="O65" s="3"/>
      <c r="P65" s="3"/>
      <c r="Q65" s="3"/>
      <c r="R65" s="3"/>
      <c r="S65" s="3"/>
      <c r="T65" s="3"/>
      <c r="U65" s="3"/>
      <c r="V65" s="3"/>
      <c r="W65" s="3"/>
      <c r="X65" s="3"/>
      <c r="Y65" s="3"/>
      <c r="Z65" s="3"/>
    </row>
    <row r="66" spans="1:26" ht="15" customHeight="1" x14ac:dyDescent="0.25">
      <c r="A66" s="11" t="s">
        <v>99</v>
      </c>
      <c r="B66" s="3"/>
      <c r="C66" s="3"/>
      <c r="D66" s="3"/>
      <c r="E66" s="3"/>
      <c r="F66" s="3"/>
      <c r="G66" s="3"/>
      <c r="H66" s="3"/>
      <c r="I66" s="3"/>
      <c r="J66" s="3"/>
      <c r="K66" s="3"/>
      <c r="L66" s="3"/>
      <c r="M66" s="3"/>
      <c r="N66" s="3"/>
      <c r="O66" s="3"/>
      <c r="P66" s="3"/>
      <c r="Q66" s="3"/>
      <c r="R66" s="3"/>
      <c r="S66" s="3"/>
      <c r="T66" s="3"/>
      <c r="U66" s="3"/>
      <c r="V66" s="3"/>
      <c r="W66" s="3"/>
      <c r="X66" s="3"/>
      <c r="Y66" s="3"/>
      <c r="Z66" s="3"/>
    </row>
    <row r="67" spans="1:26" ht="15" customHeight="1" x14ac:dyDescent="0.25">
      <c r="A67" s="1" t="s">
        <v>67</v>
      </c>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x14ac:dyDescent="0.25">
      <c r="A68" s="1"/>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x14ac:dyDescent="0.25">
      <c r="A69" s="1"/>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x14ac:dyDescent="0.25">
      <c r="A70" s="1"/>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x14ac:dyDescent="0.25">
      <c r="A71" s="1"/>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x14ac:dyDescent="0.25">
      <c r="A72" s="1"/>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x14ac:dyDescent="0.25">
      <c r="A73" s="1"/>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x14ac:dyDescent="0.25">
      <c r="A74" s="1"/>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x14ac:dyDescent="0.25">
      <c r="A75" s="1"/>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x14ac:dyDescent="0.25">
      <c r="A76" s="1"/>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x14ac:dyDescent="0.25">
      <c r="A77" s="1"/>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x14ac:dyDescent="0.25">
      <c r="A78" s="1"/>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x14ac:dyDescent="0.25">
      <c r="A79" s="1"/>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x14ac:dyDescent="0.25">
      <c r="A80" s="1"/>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x14ac:dyDescent="0.25">
      <c r="A81" s="1"/>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x14ac:dyDescent="0.25">
      <c r="A82" s="1"/>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x14ac:dyDescent="0.25">
      <c r="A83" s="1"/>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x14ac:dyDescent="0.25">
      <c r="A84" s="1"/>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x14ac:dyDescent="0.25">
      <c r="A85" s="1"/>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x14ac:dyDescent="0.25">
      <c r="A86" s="1"/>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x14ac:dyDescent="0.25">
      <c r="A87" s="1"/>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x14ac:dyDescent="0.25">
      <c r="A88" s="1"/>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x14ac:dyDescent="0.25">
      <c r="A89" s="1"/>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x14ac:dyDescent="0.25">
      <c r="A90" s="1"/>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x14ac:dyDescent="0.25">
      <c r="A91" s="1"/>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x14ac:dyDescent="0.25">
      <c r="A92" s="1"/>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x14ac:dyDescent="0.25">
      <c r="A93" s="1"/>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x14ac:dyDescent="0.25">
      <c r="A94" s="1"/>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x14ac:dyDescent="0.25">
      <c r="A95" s="1"/>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x14ac:dyDescent="0.25">
      <c r="A96" s="1"/>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x14ac:dyDescent="0.25">
      <c r="A97" s="1"/>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x14ac:dyDescent="0.25">
      <c r="A98" s="1"/>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x14ac:dyDescent="0.25">
      <c r="A99" s="1"/>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x14ac:dyDescent="0.25">
      <c r="A100" s="1"/>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x14ac:dyDescent="0.25">
      <c r="A101" s="1"/>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x14ac:dyDescent="0.25">
      <c r="A102" s="1"/>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x14ac:dyDescent="0.25">
      <c r="A103" s="1"/>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x14ac:dyDescent="0.25">
      <c r="A104" s="1"/>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x14ac:dyDescent="0.25">
      <c r="A105" s="1"/>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x14ac:dyDescent="0.25">
      <c r="A106" s="1"/>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x14ac:dyDescent="0.25">
      <c r="A107" s="1"/>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x14ac:dyDescent="0.25">
      <c r="A108" s="1"/>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x14ac:dyDescent="0.25">
      <c r="A109" s="1"/>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x14ac:dyDescent="0.25">
      <c r="A110" s="1"/>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x14ac:dyDescent="0.25">
      <c r="A111" s="1"/>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x14ac:dyDescent="0.25">
      <c r="A112" s="1"/>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x14ac:dyDescent="0.25">
      <c r="A113" s="1"/>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x14ac:dyDescent="0.25">
      <c r="A114" s="1"/>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x14ac:dyDescent="0.25">
      <c r="A115" s="1"/>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x14ac:dyDescent="0.25">
      <c r="A116" s="1"/>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x14ac:dyDescent="0.25">
      <c r="A117" s="1"/>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x14ac:dyDescent="0.25">
      <c r="A118" s="1"/>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x14ac:dyDescent="0.25">
      <c r="A119" s="1"/>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x14ac:dyDescent="0.25">
      <c r="A120" s="1"/>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x14ac:dyDescent="0.25">
      <c r="A121" s="1"/>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x14ac:dyDescent="0.25">
      <c r="A122" s="1"/>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x14ac:dyDescent="0.25">
      <c r="A123" s="1"/>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x14ac:dyDescent="0.25">
      <c r="A124" s="1"/>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x14ac:dyDescent="0.25">
      <c r="A125" s="1"/>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x14ac:dyDescent="0.25">
      <c r="A126" s="1"/>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x14ac:dyDescent="0.25">
      <c r="A127" s="1"/>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x14ac:dyDescent="0.25">
      <c r="A128" s="1"/>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x14ac:dyDescent="0.25">
      <c r="A129" s="1"/>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x14ac:dyDescent="0.25">
      <c r="A130" s="1"/>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x14ac:dyDescent="0.25">
      <c r="A131" s="1"/>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x14ac:dyDescent="0.25">
      <c r="A132" s="1"/>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x14ac:dyDescent="0.25">
      <c r="A133" s="1"/>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x14ac:dyDescent="0.25">
      <c r="A134" s="1"/>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x14ac:dyDescent="0.25">
      <c r="A135" s="1"/>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x14ac:dyDescent="0.25">
      <c r="A136" s="1"/>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x14ac:dyDescent="0.25">
      <c r="A137" s="1"/>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x14ac:dyDescent="0.25">
      <c r="A138" s="1"/>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x14ac:dyDescent="0.25">
      <c r="A139" s="1"/>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x14ac:dyDescent="0.25">
      <c r="A140" s="1"/>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x14ac:dyDescent="0.25">
      <c r="A141" s="1"/>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x14ac:dyDescent="0.25">
      <c r="A142" s="1"/>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x14ac:dyDescent="0.25">
      <c r="A143" s="1"/>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x14ac:dyDescent="0.25">
      <c r="A144" s="1"/>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x14ac:dyDescent="0.25">
      <c r="A145" s="1"/>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x14ac:dyDescent="0.25">
      <c r="A146" s="1"/>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x14ac:dyDescent="0.25">
      <c r="A147" s="1"/>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x14ac:dyDescent="0.25">
      <c r="A148" s="1"/>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x14ac:dyDescent="0.25">
      <c r="A149" s="1"/>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x14ac:dyDescent="0.25">
      <c r="A150" s="1"/>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x14ac:dyDescent="0.25">
      <c r="A151" s="1"/>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x14ac:dyDescent="0.25">
      <c r="A152" s="1"/>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x14ac:dyDescent="0.25">
      <c r="A153" s="1"/>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x14ac:dyDescent="0.25">
      <c r="A154" s="1"/>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x14ac:dyDescent="0.25">
      <c r="A155" s="1"/>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x14ac:dyDescent="0.25">
      <c r="A156" s="1"/>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x14ac:dyDescent="0.25">
      <c r="A157" s="1"/>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x14ac:dyDescent="0.25">
      <c r="A158" s="1"/>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x14ac:dyDescent="0.25">
      <c r="A159" s="1"/>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x14ac:dyDescent="0.25">
      <c r="A160" s="1"/>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x14ac:dyDescent="0.25">
      <c r="A161" s="1"/>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x14ac:dyDescent="0.25">
      <c r="A162" s="1"/>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x14ac:dyDescent="0.25">
      <c r="A163" s="1"/>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x14ac:dyDescent="0.25">
      <c r="A164" s="1"/>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x14ac:dyDescent="0.25">
      <c r="A165" s="1"/>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x14ac:dyDescent="0.25">
      <c r="A166" s="1"/>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x14ac:dyDescent="0.25">
      <c r="A167" s="1"/>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x14ac:dyDescent="0.25">
      <c r="A168" s="1"/>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x14ac:dyDescent="0.25">
      <c r="A169" s="1"/>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x14ac:dyDescent="0.25">
      <c r="A170" s="1"/>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x14ac:dyDescent="0.25">
      <c r="A171" s="1"/>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x14ac:dyDescent="0.25">
      <c r="A172" s="1"/>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x14ac:dyDescent="0.25">
      <c r="A173" s="1"/>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x14ac:dyDescent="0.25">
      <c r="A174" s="1"/>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x14ac:dyDescent="0.25">
      <c r="A175" s="1"/>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x14ac:dyDescent="0.25">
      <c r="A176" s="1"/>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x14ac:dyDescent="0.25">
      <c r="A177" s="1"/>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x14ac:dyDescent="0.25">
      <c r="A178" s="1"/>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x14ac:dyDescent="0.25">
      <c r="A179" s="1"/>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x14ac:dyDescent="0.25">
      <c r="A180" s="1"/>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x14ac:dyDescent="0.25">
      <c r="A181" s="1"/>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x14ac:dyDescent="0.25">
      <c r="A182" s="1"/>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x14ac:dyDescent="0.25">
      <c r="A183" s="1"/>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x14ac:dyDescent="0.25">
      <c r="A184" s="1"/>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x14ac:dyDescent="0.25">
      <c r="A185" s="1"/>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x14ac:dyDescent="0.25">
      <c r="A186" s="1"/>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x14ac:dyDescent="0.25">
      <c r="A187" s="1"/>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x14ac:dyDescent="0.25">
      <c r="A188" s="1"/>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x14ac:dyDescent="0.25">
      <c r="A189" s="1"/>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x14ac:dyDescent="0.25">
      <c r="A190" s="1"/>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x14ac:dyDescent="0.25">
      <c r="A191" s="1"/>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x14ac:dyDescent="0.25">
      <c r="A192" s="1"/>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x14ac:dyDescent="0.25">
      <c r="A193" s="1"/>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x14ac:dyDescent="0.25">
      <c r="A194" s="1"/>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x14ac:dyDescent="0.25">
      <c r="A195" s="1"/>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x14ac:dyDescent="0.25">
      <c r="A196" s="1"/>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x14ac:dyDescent="0.25">
      <c r="A197" s="1"/>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x14ac:dyDescent="0.25">
      <c r="A198" s="1"/>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x14ac:dyDescent="0.25">
      <c r="A199" s="1"/>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x14ac:dyDescent="0.25">
      <c r="A200" s="1"/>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x14ac:dyDescent="0.25">
      <c r="A201" s="1"/>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x14ac:dyDescent="0.25">
      <c r="A202" s="1"/>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x14ac:dyDescent="0.25">
      <c r="A203" s="1"/>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x14ac:dyDescent="0.25">
      <c r="A204" s="1"/>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x14ac:dyDescent="0.25">
      <c r="A205" s="1"/>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x14ac:dyDescent="0.25">
      <c r="A206" s="1"/>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x14ac:dyDescent="0.25">
      <c r="A207" s="1"/>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x14ac:dyDescent="0.25">
      <c r="A208" s="1"/>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x14ac:dyDescent="0.25">
      <c r="A209" s="1"/>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x14ac:dyDescent="0.25">
      <c r="A210" s="1"/>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x14ac:dyDescent="0.25">
      <c r="A211" s="1"/>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x14ac:dyDescent="0.25">
      <c r="A212" s="1"/>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x14ac:dyDescent="0.25">
      <c r="A213" s="1"/>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x14ac:dyDescent="0.25">
      <c r="A214" s="1"/>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x14ac:dyDescent="0.25">
      <c r="A215" s="1"/>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x14ac:dyDescent="0.25">
      <c r="A216" s="1"/>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x14ac:dyDescent="0.25">
      <c r="A217" s="1"/>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x14ac:dyDescent="0.25">
      <c r="A218" s="1"/>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x14ac:dyDescent="0.25">
      <c r="A219" s="1"/>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x14ac:dyDescent="0.25">
      <c r="A220" s="1"/>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x14ac:dyDescent="0.25">
      <c r="A221" s="1"/>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x14ac:dyDescent="0.25">
      <c r="A222" s="1"/>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x14ac:dyDescent="0.25">
      <c r="A223" s="1"/>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x14ac:dyDescent="0.25">
      <c r="A224" s="1"/>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x14ac:dyDescent="0.25">
      <c r="A225" s="1"/>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x14ac:dyDescent="0.25">
      <c r="A226" s="1"/>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x14ac:dyDescent="0.25">
      <c r="A227" s="1"/>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x14ac:dyDescent="0.25">
      <c r="A228" s="1"/>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x14ac:dyDescent="0.25">
      <c r="A229" s="1"/>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x14ac:dyDescent="0.25">
      <c r="A230" s="1"/>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x14ac:dyDescent="0.25">
      <c r="A231" s="1"/>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x14ac:dyDescent="0.25">
      <c r="A232" s="1"/>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x14ac:dyDescent="0.25">
      <c r="A233" s="1"/>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x14ac:dyDescent="0.25">
      <c r="A234" s="1"/>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x14ac:dyDescent="0.25">
      <c r="A235" s="1"/>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x14ac:dyDescent="0.25">
      <c r="A236" s="1"/>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x14ac:dyDescent="0.25">
      <c r="A237" s="1"/>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x14ac:dyDescent="0.25">
      <c r="A238" s="1"/>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x14ac:dyDescent="0.25">
      <c r="A239" s="1"/>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x14ac:dyDescent="0.25">
      <c r="A240" s="1"/>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x14ac:dyDescent="0.25">
      <c r="A241" s="1"/>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x14ac:dyDescent="0.25">
      <c r="A242" s="1"/>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x14ac:dyDescent="0.25">
      <c r="A243" s="1"/>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x14ac:dyDescent="0.25">
      <c r="A244" s="1"/>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x14ac:dyDescent="0.25">
      <c r="A245" s="1"/>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x14ac:dyDescent="0.25">
      <c r="A246" s="1"/>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x14ac:dyDescent="0.25">
      <c r="A247" s="1"/>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x14ac:dyDescent="0.25">
      <c r="A248" s="1"/>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x14ac:dyDescent="0.25">
      <c r="A249" s="1"/>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x14ac:dyDescent="0.25">
      <c r="A250" s="1"/>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x14ac:dyDescent="0.25">
      <c r="A251" s="1"/>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x14ac:dyDescent="0.25">
      <c r="A252" s="1"/>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x14ac:dyDescent="0.25">
      <c r="A253" s="1"/>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x14ac:dyDescent="0.25">
      <c r="A254" s="1"/>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x14ac:dyDescent="0.25">
      <c r="A255" s="1"/>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x14ac:dyDescent="0.25">
      <c r="A256" s="1"/>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x14ac:dyDescent="0.25">
      <c r="A257" s="1"/>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x14ac:dyDescent="0.25">
      <c r="A258" s="1"/>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x14ac:dyDescent="0.25">
      <c r="A259" s="1"/>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x14ac:dyDescent="0.25">
      <c r="A260" s="1"/>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x14ac:dyDescent="0.25">
      <c r="A261" s="1"/>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x14ac:dyDescent="0.25">
      <c r="A262" s="1"/>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x14ac:dyDescent="0.25">
      <c r="A263" s="1"/>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x14ac:dyDescent="0.25">
      <c r="A264" s="1"/>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x14ac:dyDescent="0.25">
      <c r="A265" s="1"/>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x14ac:dyDescent="0.25">
      <c r="A266" s="1"/>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x14ac:dyDescent="0.25">
      <c r="A267" s="1"/>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x14ac:dyDescent="0.25">
      <c r="A268" s="1"/>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x14ac:dyDescent="0.25">
      <c r="A269" s="1"/>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x14ac:dyDescent="0.25">
      <c r="A270" s="1"/>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x14ac:dyDescent="0.25">
      <c r="A271" s="1"/>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x14ac:dyDescent="0.25">
      <c r="A272" s="1"/>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x14ac:dyDescent="0.25">
      <c r="A273" s="1"/>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x14ac:dyDescent="0.25">
      <c r="A274" s="1"/>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x14ac:dyDescent="0.25">
      <c r="A275" s="1"/>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x14ac:dyDescent="0.25">
      <c r="A276" s="1"/>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x14ac:dyDescent="0.25">
      <c r="A277" s="1"/>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x14ac:dyDescent="0.25">
      <c r="A278" s="1"/>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x14ac:dyDescent="0.25">
      <c r="A279" s="1"/>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x14ac:dyDescent="0.25">
      <c r="A280" s="1"/>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x14ac:dyDescent="0.25">
      <c r="A281" s="1"/>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x14ac:dyDescent="0.25">
      <c r="A282" s="1"/>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x14ac:dyDescent="0.25">
      <c r="A283" s="1"/>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x14ac:dyDescent="0.25">
      <c r="A284" s="1"/>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x14ac:dyDescent="0.25">
      <c r="A285" s="1"/>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x14ac:dyDescent="0.25">
      <c r="A286" s="1"/>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x14ac:dyDescent="0.25">
      <c r="A287" s="1"/>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x14ac:dyDescent="0.25">
      <c r="A288" s="1"/>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x14ac:dyDescent="0.25">
      <c r="A289" s="1"/>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x14ac:dyDescent="0.25">
      <c r="A290" s="1"/>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x14ac:dyDescent="0.25">
      <c r="A291" s="1"/>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x14ac:dyDescent="0.25">
      <c r="A292" s="1"/>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x14ac:dyDescent="0.25">
      <c r="A293" s="1"/>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x14ac:dyDescent="0.25">
      <c r="A294" s="1"/>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x14ac:dyDescent="0.25">
      <c r="A295" s="1"/>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x14ac:dyDescent="0.25">
      <c r="A296" s="1"/>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x14ac:dyDescent="0.25">
      <c r="A297" s="1"/>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x14ac:dyDescent="0.25">
      <c r="A298" s="1"/>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x14ac:dyDescent="0.25">
      <c r="A299" s="1"/>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x14ac:dyDescent="0.25">
      <c r="A300" s="1"/>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x14ac:dyDescent="0.25">
      <c r="A301" s="1"/>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x14ac:dyDescent="0.25">
      <c r="A302" s="1"/>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x14ac:dyDescent="0.25">
      <c r="A303" s="1"/>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x14ac:dyDescent="0.25">
      <c r="A304" s="1"/>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x14ac:dyDescent="0.25">
      <c r="A305" s="1"/>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x14ac:dyDescent="0.25">
      <c r="A306" s="1"/>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x14ac:dyDescent="0.25">
      <c r="A307" s="1"/>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x14ac:dyDescent="0.25">
      <c r="A308" s="1"/>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x14ac:dyDescent="0.25">
      <c r="A309" s="1"/>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x14ac:dyDescent="0.25">
      <c r="A310" s="1"/>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x14ac:dyDescent="0.25">
      <c r="A311" s="1"/>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x14ac:dyDescent="0.25">
      <c r="A312" s="1"/>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x14ac:dyDescent="0.25">
      <c r="A313" s="1"/>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x14ac:dyDescent="0.25">
      <c r="A314" s="1"/>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x14ac:dyDescent="0.25">
      <c r="A315" s="1"/>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x14ac:dyDescent="0.25">
      <c r="A316" s="1"/>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x14ac:dyDescent="0.25">
      <c r="A317" s="1"/>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x14ac:dyDescent="0.25">
      <c r="A318" s="1"/>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x14ac:dyDescent="0.25">
      <c r="A319" s="1"/>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x14ac:dyDescent="0.25">
      <c r="A320" s="1"/>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x14ac:dyDescent="0.25">
      <c r="A321" s="1"/>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x14ac:dyDescent="0.25">
      <c r="A322" s="1"/>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x14ac:dyDescent="0.25">
      <c r="A323" s="1"/>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x14ac:dyDescent="0.25">
      <c r="A324" s="1"/>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x14ac:dyDescent="0.25">
      <c r="A325" s="1"/>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x14ac:dyDescent="0.25">
      <c r="A326" s="1"/>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x14ac:dyDescent="0.25">
      <c r="A327" s="1"/>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x14ac:dyDescent="0.25">
      <c r="A328" s="1"/>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x14ac:dyDescent="0.25">
      <c r="A329" s="1"/>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x14ac:dyDescent="0.25">
      <c r="A330" s="1"/>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x14ac:dyDescent="0.25">
      <c r="A331" s="1"/>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x14ac:dyDescent="0.25">
      <c r="A332" s="1"/>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x14ac:dyDescent="0.25">
      <c r="A333" s="1"/>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x14ac:dyDescent="0.25">
      <c r="A334" s="1"/>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x14ac:dyDescent="0.25">
      <c r="A335" s="1"/>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x14ac:dyDescent="0.25">
      <c r="A336" s="1"/>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x14ac:dyDescent="0.25">
      <c r="A337" s="1"/>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x14ac:dyDescent="0.25">
      <c r="A338" s="1"/>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x14ac:dyDescent="0.25">
      <c r="A339" s="1"/>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x14ac:dyDescent="0.25">
      <c r="A340" s="1"/>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x14ac:dyDescent="0.25">
      <c r="A341" s="1"/>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x14ac:dyDescent="0.25">
      <c r="A342" s="1"/>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x14ac:dyDescent="0.25">
      <c r="A343" s="1"/>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x14ac:dyDescent="0.25">
      <c r="A344" s="1"/>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x14ac:dyDescent="0.25">
      <c r="A345" s="1"/>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x14ac:dyDescent="0.25">
      <c r="A346" s="1"/>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x14ac:dyDescent="0.25">
      <c r="A347" s="1"/>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x14ac:dyDescent="0.25">
      <c r="A348" s="1"/>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x14ac:dyDescent="0.25">
      <c r="A349" s="1"/>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x14ac:dyDescent="0.25">
      <c r="A350" s="1"/>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x14ac:dyDescent="0.25">
      <c r="A351" s="1"/>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x14ac:dyDescent="0.25">
      <c r="A352" s="1"/>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x14ac:dyDescent="0.25">
      <c r="A353" s="1"/>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x14ac:dyDescent="0.25">
      <c r="A354" s="1"/>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x14ac:dyDescent="0.25">
      <c r="A355" s="1"/>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x14ac:dyDescent="0.25">
      <c r="A356" s="1"/>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x14ac:dyDescent="0.25">
      <c r="A357" s="1"/>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x14ac:dyDescent="0.25">
      <c r="A358" s="1"/>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x14ac:dyDescent="0.25">
      <c r="A359" s="1"/>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x14ac:dyDescent="0.25">
      <c r="A360" s="1"/>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x14ac:dyDescent="0.25">
      <c r="A361" s="1"/>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x14ac:dyDescent="0.25">
      <c r="A362" s="1"/>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x14ac:dyDescent="0.25">
      <c r="A363" s="1"/>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x14ac:dyDescent="0.25">
      <c r="A364" s="1"/>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x14ac:dyDescent="0.25">
      <c r="A365" s="1"/>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x14ac:dyDescent="0.25">
      <c r="A366" s="1"/>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x14ac:dyDescent="0.25">
      <c r="A367" s="1"/>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x14ac:dyDescent="0.25">
      <c r="A368" s="1"/>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x14ac:dyDescent="0.25">
      <c r="A369" s="1"/>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x14ac:dyDescent="0.25">
      <c r="A370" s="1"/>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x14ac:dyDescent="0.25">
      <c r="A371" s="1"/>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x14ac:dyDescent="0.25">
      <c r="A372" s="1"/>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x14ac:dyDescent="0.25">
      <c r="A373" s="1"/>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x14ac:dyDescent="0.25">
      <c r="A374" s="1"/>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x14ac:dyDescent="0.25">
      <c r="A375" s="1"/>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x14ac:dyDescent="0.25">
      <c r="A376" s="1"/>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x14ac:dyDescent="0.25">
      <c r="A377" s="1"/>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x14ac:dyDescent="0.25">
      <c r="A378" s="1"/>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x14ac:dyDescent="0.25">
      <c r="A379" s="1"/>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x14ac:dyDescent="0.25">
      <c r="A380" s="1"/>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x14ac:dyDescent="0.25">
      <c r="A381" s="1"/>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x14ac:dyDescent="0.25">
      <c r="A382" s="1"/>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x14ac:dyDescent="0.25">
      <c r="A383" s="1"/>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x14ac:dyDescent="0.25">
      <c r="A384" s="1"/>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x14ac:dyDescent="0.25">
      <c r="A385" s="1"/>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x14ac:dyDescent="0.25">
      <c r="A386" s="1"/>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x14ac:dyDescent="0.25">
      <c r="A387" s="1"/>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x14ac:dyDescent="0.25">
      <c r="A388" s="1"/>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x14ac:dyDescent="0.25">
      <c r="A389" s="1"/>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x14ac:dyDescent="0.25">
      <c r="A390" s="1"/>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x14ac:dyDescent="0.25">
      <c r="A391" s="1"/>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x14ac:dyDescent="0.25">
      <c r="A392" s="1"/>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x14ac:dyDescent="0.25">
      <c r="A393" s="1"/>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x14ac:dyDescent="0.25">
      <c r="A394" s="1"/>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x14ac:dyDescent="0.25">
      <c r="A395" s="1"/>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x14ac:dyDescent="0.25">
      <c r="A396" s="1"/>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x14ac:dyDescent="0.25">
      <c r="A397" s="1"/>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x14ac:dyDescent="0.25">
      <c r="A398" s="1"/>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x14ac:dyDescent="0.25">
      <c r="A399" s="1"/>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x14ac:dyDescent="0.25">
      <c r="A400" s="1"/>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x14ac:dyDescent="0.25">
      <c r="A401" s="1"/>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x14ac:dyDescent="0.25">
      <c r="A402" s="1"/>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x14ac:dyDescent="0.25">
      <c r="A403" s="1"/>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x14ac:dyDescent="0.25">
      <c r="A404" s="1"/>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x14ac:dyDescent="0.25">
      <c r="A405" s="1"/>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x14ac:dyDescent="0.25">
      <c r="A406" s="1"/>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x14ac:dyDescent="0.25">
      <c r="A407" s="1"/>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x14ac:dyDescent="0.25">
      <c r="A408" s="1"/>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x14ac:dyDescent="0.25">
      <c r="A409" s="1"/>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x14ac:dyDescent="0.25">
      <c r="A410" s="1"/>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x14ac:dyDescent="0.25">
      <c r="A411" s="1"/>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x14ac:dyDescent="0.25">
      <c r="A412" s="1"/>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x14ac:dyDescent="0.25">
      <c r="A413" s="1"/>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x14ac:dyDescent="0.25">
      <c r="A414" s="1"/>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x14ac:dyDescent="0.25">
      <c r="A415" s="1"/>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x14ac:dyDescent="0.25">
      <c r="A416" s="1"/>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x14ac:dyDescent="0.25">
      <c r="A417" s="1"/>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x14ac:dyDescent="0.25">
      <c r="A418" s="1"/>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x14ac:dyDescent="0.25">
      <c r="A419" s="1"/>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x14ac:dyDescent="0.25">
      <c r="A420" s="1"/>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x14ac:dyDescent="0.25">
      <c r="A421" s="1"/>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x14ac:dyDescent="0.25">
      <c r="A422" s="1"/>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x14ac:dyDescent="0.25">
      <c r="A423" s="1"/>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x14ac:dyDescent="0.25">
      <c r="A424" s="1"/>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x14ac:dyDescent="0.25">
      <c r="A425" s="1"/>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x14ac:dyDescent="0.25">
      <c r="A426" s="1"/>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x14ac:dyDescent="0.25">
      <c r="A427" s="1"/>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x14ac:dyDescent="0.25">
      <c r="A428" s="1"/>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x14ac:dyDescent="0.25">
      <c r="A429" s="1"/>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x14ac:dyDescent="0.25">
      <c r="A430" s="1"/>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x14ac:dyDescent="0.25">
      <c r="A431" s="1"/>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x14ac:dyDescent="0.25">
      <c r="A432" s="1"/>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x14ac:dyDescent="0.25">
      <c r="A433" s="1"/>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x14ac:dyDescent="0.25">
      <c r="A434" s="1"/>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x14ac:dyDescent="0.25">
      <c r="A435" s="1"/>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x14ac:dyDescent="0.25">
      <c r="A436" s="1"/>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x14ac:dyDescent="0.25">
      <c r="A437" s="1"/>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x14ac:dyDescent="0.25">
      <c r="A438" s="1"/>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x14ac:dyDescent="0.25">
      <c r="A439" s="1"/>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x14ac:dyDescent="0.25">
      <c r="A440" s="1"/>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x14ac:dyDescent="0.25">
      <c r="A441" s="1"/>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x14ac:dyDescent="0.25">
      <c r="A442" s="1"/>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x14ac:dyDescent="0.25">
      <c r="A443" s="1"/>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x14ac:dyDescent="0.25">
      <c r="A444" s="1"/>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x14ac:dyDescent="0.25">
      <c r="A445" s="1"/>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x14ac:dyDescent="0.25">
      <c r="A446" s="1"/>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x14ac:dyDescent="0.25">
      <c r="A447" s="1"/>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x14ac:dyDescent="0.25">
      <c r="A448" s="1"/>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x14ac:dyDescent="0.25">
      <c r="A449" s="1"/>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x14ac:dyDescent="0.25">
      <c r="A450" s="1"/>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x14ac:dyDescent="0.25">
      <c r="A451" s="1"/>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x14ac:dyDescent="0.25">
      <c r="A452" s="1"/>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x14ac:dyDescent="0.25">
      <c r="A453" s="1"/>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x14ac:dyDescent="0.25">
      <c r="A454" s="1"/>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x14ac:dyDescent="0.25">
      <c r="A455" s="1"/>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x14ac:dyDescent="0.25">
      <c r="A456" s="1"/>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x14ac:dyDescent="0.25">
      <c r="A457" s="1"/>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x14ac:dyDescent="0.25">
      <c r="A458" s="1"/>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x14ac:dyDescent="0.25">
      <c r="A459" s="1"/>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x14ac:dyDescent="0.25">
      <c r="A460" s="1"/>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x14ac:dyDescent="0.25">
      <c r="A461" s="1"/>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x14ac:dyDescent="0.25">
      <c r="A462" s="1"/>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x14ac:dyDescent="0.25">
      <c r="A463" s="1"/>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x14ac:dyDescent="0.25">
      <c r="A464" s="1"/>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x14ac:dyDescent="0.25">
      <c r="A465" s="1"/>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x14ac:dyDescent="0.25">
      <c r="A466" s="1"/>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x14ac:dyDescent="0.25">
      <c r="A467" s="1"/>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x14ac:dyDescent="0.25">
      <c r="A468" s="1"/>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x14ac:dyDescent="0.25">
      <c r="A469" s="1"/>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x14ac:dyDescent="0.25">
      <c r="A470" s="1"/>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x14ac:dyDescent="0.25">
      <c r="A471" s="1"/>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x14ac:dyDescent="0.25">
      <c r="A472" s="1"/>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x14ac:dyDescent="0.25">
      <c r="A473" s="1"/>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x14ac:dyDescent="0.25">
      <c r="A474" s="1"/>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x14ac:dyDescent="0.25">
      <c r="A475" s="1"/>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x14ac:dyDescent="0.25">
      <c r="A476" s="1"/>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x14ac:dyDescent="0.25">
      <c r="A477" s="1"/>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x14ac:dyDescent="0.25">
      <c r="A478" s="1"/>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x14ac:dyDescent="0.25">
      <c r="A479" s="1"/>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x14ac:dyDescent="0.25">
      <c r="A480" s="1"/>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x14ac:dyDescent="0.25">
      <c r="A481" s="1"/>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x14ac:dyDescent="0.25">
      <c r="A482" s="1"/>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x14ac:dyDescent="0.25">
      <c r="A483" s="1"/>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x14ac:dyDescent="0.25">
      <c r="A484" s="1"/>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x14ac:dyDescent="0.25">
      <c r="A485" s="1"/>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x14ac:dyDescent="0.25">
      <c r="A486" s="1"/>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x14ac:dyDescent="0.25">
      <c r="A487" s="1"/>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x14ac:dyDescent="0.25">
      <c r="A488" s="1"/>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x14ac:dyDescent="0.25">
      <c r="A489" s="1"/>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x14ac:dyDescent="0.25">
      <c r="A490" s="1"/>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x14ac:dyDescent="0.25">
      <c r="A491" s="1"/>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x14ac:dyDescent="0.25">
      <c r="A492" s="1"/>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x14ac:dyDescent="0.25">
      <c r="A493" s="1"/>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x14ac:dyDescent="0.25">
      <c r="A494" s="1"/>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x14ac:dyDescent="0.25">
      <c r="A495" s="1"/>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x14ac:dyDescent="0.25">
      <c r="A496" s="1"/>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x14ac:dyDescent="0.25">
      <c r="A497" s="1"/>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x14ac:dyDescent="0.25">
      <c r="A498" s="1"/>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x14ac:dyDescent="0.25">
      <c r="A499" s="1"/>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x14ac:dyDescent="0.25">
      <c r="A500" s="1"/>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x14ac:dyDescent="0.25">
      <c r="A501" s="1"/>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x14ac:dyDescent="0.25">
      <c r="A502" s="1"/>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x14ac:dyDescent="0.25">
      <c r="A503" s="1"/>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x14ac:dyDescent="0.25">
      <c r="A504" s="1"/>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x14ac:dyDescent="0.25">
      <c r="A505" s="1"/>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x14ac:dyDescent="0.25">
      <c r="A506" s="1"/>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x14ac:dyDescent="0.25">
      <c r="A507" s="1"/>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x14ac:dyDescent="0.25">
      <c r="A508" s="1"/>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x14ac:dyDescent="0.25">
      <c r="A509" s="1"/>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x14ac:dyDescent="0.25">
      <c r="A510" s="1"/>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x14ac:dyDescent="0.25">
      <c r="A511" s="1"/>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x14ac:dyDescent="0.25">
      <c r="A512" s="1"/>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x14ac:dyDescent="0.25">
      <c r="A513" s="1"/>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x14ac:dyDescent="0.25">
      <c r="A514" s="1"/>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x14ac:dyDescent="0.25">
      <c r="A515" s="1"/>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x14ac:dyDescent="0.25">
      <c r="A516" s="1"/>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x14ac:dyDescent="0.25">
      <c r="A517" s="1"/>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x14ac:dyDescent="0.25">
      <c r="A518" s="1"/>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x14ac:dyDescent="0.25">
      <c r="A519" s="1"/>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x14ac:dyDescent="0.25">
      <c r="A520" s="1"/>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x14ac:dyDescent="0.25">
      <c r="A521" s="1"/>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x14ac:dyDescent="0.25">
      <c r="A522" s="1"/>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x14ac:dyDescent="0.25">
      <c r="A523" s="1"/>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x14ac:dyDescent="0.25">
      <c r="A524" s="1"/>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x14ac:dyDescent="0.25">
      <c r="A525" s="1"/>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x14ac:dyDescent="0.25">
      <c r="A526" s="1"/>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x14ac:dyDescent="0.25">
      <c r="A527" s="1"/>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x14ac:dyDescent="0.25">
      <c r="A528" s="1"/>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x14ac:dyDescent="0.25">
      <c r="A529" s="1"/>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x14ac:dyDescent="0.25">
      <c r="A530" s="1"/>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x14ac:dyDescent="0.25">
      <c r="A531" s="1"/>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x14ac:dyDescent="0.25">
      <c r="A532" s="1"/>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x14ac:dyDescent="0.25">
      <c r="A533" s="1"/>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x14ac:dyDescent="0.25">
      <c r="A534" s="1"/>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x14ac:dyDescent="0.25">
      <c r="A535" s="1"/>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x14ac:dyDescent="0.25">
      <c r="A536" s="1"/>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x14ac:dyDescent="0.25">
      <c r="A537" s="1"/>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x14ac:dyDescent="0.25">
      <c r="A538" s="1"/>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x14ac:dyDescent="0.25">
      <c r="A539" s="1"/>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x14ac:dyDescent="0.25">
      <c r="A540" s="1"/>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x14ac:dyDescent="0.25">
      <c r="A541" s="1"/>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x14ac:dyDescent="0.25">
      <c r="A542" s="1"/>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x14ac:dyDescent="0.25">
      <c r="A543" s="1"/>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x14ac:dyDescent="0.25">
      <c r="A544" s="1"/>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x14ac:dyDescent="0.25">
      <c r="A545" s="1"/>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x14ac:dyDescent="0.25">
      <c r="A546" s="1"/>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x14ac:dyDescent="0.25">
      <c r="A547" s="1"/>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x14ac:dyDescent="0.25">
      <c r="A548" s="1"/>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x14ac:dyDescent="0.25">
      <c r="A549" s="1"/>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x14ac:dyDescent="0.25">
      <c r="A550" s="1"/>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x14ac:dyDescent="0.25">
      <c r="A551" s="1"/>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x14ac:dyDescent="0.25">
      <c r="A552" s="1"/>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x14ac:dyDescent="0.25">
      <c r="A553" s="1"/>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x14ac:dyDescent="0.25">
      <c r="A554" s="1"/>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x14ac:dyDescent="0.25">
      <c r="A555" s="1"/>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x14ac:dyDescent="0.25">
      <c r="A556" s="1"/>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x14ac:dyDescent="0.25">
      <c r="A557" s="1"/>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x14ac:dyDescent="0.25">
      <c r="A558" s="1"/>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x14ac:dyDescent="0.25">
      <c r="A559" s="1"/>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x14ac:dyDescent="0.25">
      <c r="A560" s="1"/>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x14ac:dyDescent="0.25">
      <c r="A561" s="1"/>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x14ac:dyDescent="0.25">
      <c r="A562" s="1"/>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x14ac:dyDescent="0.25">
      <c r="A563" s="1"/>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x14ac:dyDescent="0.25">
      <c r="A564" s="1"/>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x14ac:dyDescent="0.25">
      <c r="A565" s="1"/>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x14ac:dyDescent="0.25">
      <c r="A566" s="1"/>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x14ac:dyDescent="0.25">
      <c r="A567" s="1"/>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x14ac:dyDescent="0.25">
      <c r="A568" s="1"/>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x14ac:dyDescent="0.25">
      <c r="A569" s="1"/>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x14ac:dyDescent="0.25">
      <c r="A570" s="1"/>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x14ac:dyDescent="0.25">
      <c r="A571" s="1"/>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x14ac:dyDescent="0.25">
      <c r="A572" s="1"/>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x14ac:dyDescent="0.25">
      <c r="A573" s="1"/>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x14ac:dyDescent="0.25">
      <c r="A574" s="1"/>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x14ac:dyDescent="0.25">
      <c r="A575" s="1"/>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x14ac:dyDescent="0.25">
      <c r="A576" s="1"/>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x14ac:dyDescent="0.25">
      <c r="A577" s="1"/>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x14ac:dyDescent="0.25">
      <c r="A578" s="1"/>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x14ac:dyDescent="0.25">
      <c r="A579" s="1"/>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x14ac:dyDescent="0.25">
      <c r="A580" s="1"/>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x14ac:dyDescent="0.25">
      <c r="A581" s="1"/>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x14ac:dyDescent="0.25">
      <c r="A582" s="1"/>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x14ac:dyDescent="0.25">
      <c r="A583" s="1"/>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x14ac:dyDescent="0.25">
      <c r="A584" s="1"/>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x14ac:dyDescent="0.25">
      <c r="A585" s="1"/>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x14ac:dyDescent="0.25">
      <c r="A586" s="1"/>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x14ac:dyDescent="0.25">
      <c r="A587" s="1"/>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x14ac:dyDescent="0.25">
      <c r="A588" s="1"/>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x14ac:dyDescent="0.25">
      <c r="A589" s="1"/>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x14ac:dyDescent="0.25">
      <c r="A590" s="1"/>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x14ac:dyDescent="0.25">
      <c r="A591" s="1"/>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x14ac:dyDescent="0.25">
      <c r="A592" s="1"/>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x14ac:dyDescent="0.25">
      <c r="A593" s="1"/>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x14ac:dyDescent="0.25">
      <c r="A594" s="1"/>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x14ac:dyDescent="0.25">
      <c r="A595" s="1"/>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x14ac:dyDescent="0.25">
      <c r="A596" s="1"/>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x14ac:dyDescent="0.25">
      <c r="A597" s="1"/>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x14ac:dyDescent="0.25">
      <c r="A598" s="1"/>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x14ac:dyDescent="0.25">
      <c r="A599" s="1"/>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x14ac:dyDescent="0.25">
      <c r="A600" s="1"/>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x14ac:dyDescent="0.25">
      <c r="A601" s="1"/>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x14ac:dyDescent="0.25">
      <c r="A602" s="1"/>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x14ac:dyDescent="0.25">
      <c r="A603" s="1"/>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x14ac:dyDescent="0.25">
      <c r="A604" s="1"/>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x14ac:dyDescent="0.25">
      <c r="A605" s="1"/>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x14ac:dyDescent="0.25">
      <c r="A606" s="1"/>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x14ac:dyDescent="0.25">
      <c r="A607" s="1"/>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x14ac:dyDescent="0.25">
      <c r="A608" s="1"/>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x14ac:dyDescent="0.25">
      <c r="A609" s="1"/>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x14ac:dyDescent="0.25">
      <c r="A610" s="1"/>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x14ac:dyDescent="0.25">
      <c r="A611" s="1"/>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x14ac:dyDescent="0.25">
      <c r="A612" s="1"/>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x14ac:dyDescent="0.25">
      <c r="A613" s="1"/>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x14ac:dyDescent="0.25">
      <c r="A614" s="1"/>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x14ac:dyDescent="0.25">
      <c r="A615" s="1"/>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x14ac:dyDescent="0.25">
      <c r="A616" s="1"/>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x14ac:dyDescent="0.25">
      <c r="A617" s="1"/>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x14ac:dyDescent="0.25">
      <c r="A618" s="1"/>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x14ac:dyDescent="0.25">
      <c r="A619" s="1"/>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x14ac:dyDescent="0.25">
      <c r="A620" s="1"/>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x14ac:dyDescent="0.25">
      <c r="A621" s="1"/>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x14ac:dyDescent="0.25">
      <c r="A622" s="1"/>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x14ac:dyDescent="0.25">
      <c r="A623" s="1"/>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x14ac:dyDescent="0.25">
      <c r="A624" s="1"/>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x14ac:dyDescent="0.25">
      <c r="A625" s="1"/>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x14ac:dyDescent="0.25">
      <c r="A626" s="1"/>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x14ac:dyDescent="0.25">
      <c r="A627" s="1"/>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x14ac:dyDescent="0.25">
      <c r="A628" s="1"/>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x14ac:dyDescent="0.25">
      <c r="A629" s="1"/>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x14ac:dyDescent="0.25">
      <c r="A630" s="1"/>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x14ac:dyDescent="0.25">
      <c r="A631" s="1"/>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x14ac:dyDescent="0.25">
      <c r="A632" s="1"/>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x14ac:dyDescent="0.25">
      <c r="A633" s="1"/>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x14ac:dyDescent="0.25">
      <c r="A634" s="1"/>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x14ac:dyDescent="0.25">
      <c r="A635" s="1"/>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x14ac:dyDescent="0.25">
      <c r="A636" s="1"/>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x14ac:dyDescent="0.25">
      <c r="A637" s="1"/>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x14ac:dyDescent="0.25">
      <c r="A638" s="1"/>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x14ac:dyDescent="0.25">
      <c r="A639" s="1"/>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x14ac:dyDescent="0.25">
      <c r="A640" s="1"/>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x14ac:dyDescent="0.25">
      <c r="A641" s="1"/>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x14ac:dyDescent="0.25">
      <c r="A642" s="1"/>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x14ac:dyDescent="0.25">
      <c r="A643" s="1"/>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x14ac:dyDescent="0.25">
      <c r="A644" s="1"/>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x14ac:dyDescent="0.25">
      <c r="A645" s="1"/>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x14ac:dyDescent="0.25">
      <c r="A646" s="1"/>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x14ac:dyDescent="0.25">
      <c r="A647" s="1"/>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x14ac:dyDescent="0.25">
      <c r="A648" s="1"/>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x14ac:dyDescent="0.25">
      <c r="A649" s="1"/>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x14ac:dyDescent="0.25">
      <c r="A650" s="1"/>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x14ac:dyDescent="0.25">
      <c r="A651" s="1"/>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x14ac:dyDescent="0.25">
      <c r="A652" s="1"/>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x14ac:dyDescent="0.25">
      <c r="A653" s="1"/>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x14ac:dyDescent="0.25">
      <c r="A654" s="1"/>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x14ac:dyDescent="0.25">
      <c r="A655" s="1"/>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x14ac:dyDescent="0.25">
      <c r="A656" s="1"/>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x14ac:dyDescent="0.25">
      <c r="A657" s="1"/>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x14ac:dyDescent="0.25">
      <c r="A658" s="1"/>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x14ac:dyDescent="0.25">
      <c r="A659" s="1"/>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x14ac:dyDescent="0.25">
      <c r="A660" s="1"/>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x14ac:dyDescent="0.25">
      <c r="A661" s="1"/>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x14ac:dyDescent="0.25">
      <c r="A662" s="1"/>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x14ac:dyDescent="0.25">
      <c r="A663" s="1"/>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x14ac:dyDescent="0.25">
      <c r="A664" s="1"/>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x14ac:dyDescent="0.25">
      <c r="A665" s="1"/>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x14ac:dyDescent="0.25">
      <c r="A666" s="1"/>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x14ac:dyDescent="0.25">
      <c r="A667" s="1"/>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x14ac:dyDescent="0.25">
      <c r="A668" s="1"/>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x14ac:dyDescent="0.25">
      <c r="A669" s="1"/>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x14ac:dyDescent="0.25">
      <c r="A670" s="1"/>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x14ac:dyDescent="0.25">
      <c r="A671" s="1"/>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x14ac:dyDescent="0.25">
      <c r="A672" s="1"/>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x14ac:dyDescent="0.25">
      <c r="A673" s="1"/>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x14ac:dyDescent="0.25">
      <c r="A674" s="1"/>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x14ac:dyDescent="0.25">
      <c r="A675" s="1"/>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x14ac:dyDescent="0.25">
      <c r="A676" s="1"/>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x14ac:dyDescent="0.25">
      <c r="A677" s="1"/>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x14ac:dyDescent="0.25">
      <c r="A678" s="1"/>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x14ac:dyDescent="0.25">
      <c r="A679" s="1"/>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x14ac:dyDescent="0.25">
      <c r="A680" s="1"/>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x14ac:dyDescent="0.25">
      <c r="A681" s="1"/>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x14ac:dyDescent="0.25">
      <c r="A682" s="1"/>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x14ac:dyDescent="0.25">
      <c r="A683" s="1"/>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x14ac:dyDescent="0.25">
      <c r="A684" s="1"/>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x14ac:dyDescent="0.25">
      <c r="A685" s="1"/>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x14ac:dyDescent="0.25">
      <c r="A686" s="1"/>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x14ac:dyDescent="0.25">
      <c r="A687" s="1"/>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x14ac:dyDescent="0.25">
      <c r="A688" s="1"/>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x14ac:dyDescent="0.25">
      <c r="A689" s="1"/>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x14ac:dyDescent="0.25">
      <c r="A690" s="1"/>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x14ac:dyDescent="0.25">
      <c r="A691" s="1"/>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x14ac:dyDescent="0.25">
      <c r="A692" s="1"/>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x14ac:dyDescent="0.25">
      <c r="A693" s="1"/>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x14ac:dyDescent="0.25">
      <c r="A694" s="1"/>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x14ac:dyDescent="0.25">
      <c r="A695" s="1"/>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x14ac:dyDescent="0.25">
      <c r="A696" s="1"/>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x14ac:dyDescent="0.25">
      <c r="A697" s="1"/>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x14ac:dyDescent="0.25">
      <c r="A698" s="1"/>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x14ac:dyDescent="0.25">
      <c r="A699" s="1"/>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x14ac:dyDescent="0.25">
      <c r="A700" s="1"/>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x14ac:dyDescent="0.25">
      <c r="A701" s="1"/>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x14ac:dyDescent="0.25">
      <c r="A702" s="1"/>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x14ac:dyDescent="0.25">
      <c r="A703" s="1"/>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x14ac:dyDescent="0.25">
      <c r="A704" s="1"/>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x14ac:dyDescent="0.25">
      <c r="A705" s="1"/>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x14ac:dyDescent="0.25">
      <c r="A706" s="1"/>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x14ac:dyDescent="0.25">
      <c r="A707" s="1"/>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x14ac:dyDescent="0.25">
      <c r="A708" s="1"/>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x14ac:dyDescent="0.25">
      <c r="A709" s="1"/>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x14ac:dyDescent="0.25">
      <c r="A710" s="1"/>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x14ac:dyDescent="0.25">
      <c r="A711" s="1"/>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x14ac:dyDescent="0.25">
      <c r="A712" s="1"/>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x14ac:dyDescent="0.25">
      <c r="A713" s="1"/>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x14ac:dyDescent="0.25">
      <c r="A714" s="1"/>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x14ac:dyDescent="0.25">
      <c r="A715" s="1"/>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x14ac:dyDescent="0.25">
      <c r="A716" s="1"/>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x14ac:dyDescent="0.25">
      <c r="A717" s="1"/>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x14ac:dyDescent="0.25">
      <c r="A718" s="1"/>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x14ac:dyDescent="0.25">
      <c r="A719" s="1"/>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x14ac:dyDescent="0.25">
      <c r="A720" s="1"/>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x14ac:dyDescent="0.25">
      <c r="A721" s="1"/>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x14ac:dyDescent="0.25">
      <c r="A722" s="1"/>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x14ac:dyDescent="0.25">
      <c r="A723" s="1"/>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x14ac:dyDescent="0.25">
      <c r="A724" s="1"/>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x14ac:dyDescent="0.25">
      <c r="A725" s="1"/>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x14ac:dyDescent="0.25">
      <c r="A726" s="1"/>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x14ac:dyDescent="0.25">
      <c r="A727" s="1"/>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x14ac:dyDescent="0.25">
      <c r="A728" s="1"/>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x14ac:dyDescent="0.25">
      <c r="A729" s="1"/>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x14ac:dyDescent="0.25">
      <c r="A730" s="1"/>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x14ac:dyDescent="0.25">
      <c r="A731" s="1"/>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x14ac:dyDescent="0.25">
      <c r="A732" s="1"/>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x14ac:dyDescent="0.25">
      <c r="A733" s="1"/>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x14ac:dyDescent="0.25">
      <c r="A734" s="1"/>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x14ac:dyDescent="0.25">
      <c r="A735" s="1"/>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x14ac:dyDescent="0.25">
      <c r="A736" s="1"/>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x14ac:dyDescent="0.25">
      <c r="A737" s="1"/>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x14ac:dyDescent="0.25">
      <c r="A738" s="1"/>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x14ac:dyDescent="0.25">
      <c r="A739" s="1"/>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x14ac:dyDescent="0.25">
      <c r="A740" s="1"/>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x14ac:dyDescent="0.25">
      <c r="A741" s="1"/>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x14ac:dyDescent="0.25">
      <c r="A742" s="1"/>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x14ac:dyDescent="0.25">
      <c r="A743" s="1"/>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x14ac:dyDescent="0.25">
      <c r="A744" s="1"/>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x14ac:dyDescent="0.25">
      <c r="A745" s="1"/>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x14ac:dyDescent="0.25">
      <c r="A746" s="1"/>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x14ac:dyDescent="0.25">
      <c r="A747" s="1"/>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x14ac:dyDescent="0.25">
      <c r="A748" s="1"/>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x14ac:dyDescent="0.25">
      <c r="A749" s="1"/>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x14ac:dyDescent="0.25">
      <c r="A750" s="1"/>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x14ac:dyDescent="0.25">
      <c r="A751" s="1"/>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x14ac:dyDescent="0.25">
      <c r="A752" s="1"/>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x14ac:dyDescent="0.25">
      <c r="A753" s="1"/>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x14ac:dyDescent="0.25">
      <c r="A754" s="1"/>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x14ac:dyDescent="0.25">
      <c r="A755" s="1"/>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x14ac:dyDescent="0.25">
      <c r="A756" s="1"/>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x14ac:dyDescent="0.25">
      <c r="A757" s="1"/>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x14ac:dyDescent="0.25">
      <c r="A758" s="1"/>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x14ac:dyDescent="0.25">
      <c r="A759" s="1"/>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x14ac:dyDescent="0.25">
      <c r="A760" s="1"/>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x14ac:dyDescent="0.25">
      <c r="A761" s="1"/>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x14ac:dyDescent="0.25">
      <c r="A762" s="1"/>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x14ac:dyDescent="0.25">
      <c r="A763" s="1"/>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x14ac:dyDescent="0.25">
      <c r="A764" s="1"/>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x14ac:dyDescent="0.25">
      <c r="A765" s="1"/>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x14ac:dyDescent="0.25">
      <c r="A766" s="1"/>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x14ac:dyDescent="0.25">
      <c r="A767" s="1"/>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x14ac:dyDescent="0.25">
      <c r="A768" s="1"/>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x14ac:dyDescent="0.25">
      <c r="A769" s="1"/>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x14ac:dyDescent="0.25">
      <c r="A770" s="1"/>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x14ac:dyDescent="0.25">
      <c r="A771" s="1"/>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x14ac:dyDescent="0.25">
      <c r="A772" s="1"/>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x14ac:dyDescent="0.25">
      <c r="A773" s="1"/>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x14ac:dyDescent="0.25">
      <c r="A774" s="1"/>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x14ac:dyDescent="0.25">
      <c r="A775" s="1"/>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x14ac:dyDescent="0.25">
      <c r="A776" s="1"/>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x14ac:dyDescent="0.25">
      <c r="A777" s="1"/>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x14ac:dyDescent="0.25">
      <c r="A778" s="1"/>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x14ac:dyDescent="0.25">
      <c r="A779" s="1"/>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x14ac:dyDescent="0.25">
      <c r="A780" s="1"/>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x14ac:dyDescent="0.25">
      <c r="A781" s="1"/>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x14ac:dyDescent="0.25">
      <c r="A782" s="1"/>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x14ac:dyDescent="0.25">
      <c r="A783" s="1"/>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x14ac:dyDescent="0.25">
      <c r="A784" s="1"/>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x14ac:dyDescent="0.25">
      <c r="A785" s="1"/>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x14ac:dyDescent="0.25">
      <c r="A786" s="1"/>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x14ac:dyDescent="0.25">
      <c r="A787" s="1"/>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x14ac:dyDescent="0.25">
      <c r="A788" s="1"/>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x14ac:dyDescent="0.25">
      <c r="A789" s="1"/>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x14ac:dyDescent="0.25">
      <c r="A790" s="1"/>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x14ac:dyDescent="0.25">
      <c r="A791" s="1"/>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x14ac:dyDescent="0.25">
      <c r="A792" s="1"/>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x14ac:dyDescent="0.25">
      <c r="A793" s="1"/>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x14ac:dyDescent="0.25">
      <c r="A794" s="1"/>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x14ac:dyDescent="0.25">
      <c r="A795" s="1"/>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x14ac:dyDescent="0.25">
      <c r="A796" s="1"/>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x14ac:dyDescent="0.25">
      <c r="A797" s="1"/>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x14ac:dyDescent="0.25">
      <c r="A798" s="1"/>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x14ac:dyDescent="0.25">
      <c r="A799" s="1"/>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x14ac:dyDescent="0.25">
      <c r="A800" s="1"/>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x14ac:dyDescent="0.25">
      <c r="A801" s="1"/>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x14ac:dyDescent="0.25">
      <c r="A802" s="1"/>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x14ac:dyDescent="0.25">
      <c r="A803" s="1"/>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x14ac:dyDescent="0.25">
      <c r="A804" s="1"/>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x14ac:dyDescent="0.25">
      <c r="A805" s="1"/>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x14ac:dyDescent="0.25">
      <c r="A806" s="1"/>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x14ac:dyDescent="0.25">
      <c r="A807" s="1"/>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x14ac:dyDescent="0.25">
      <c r="A808" s="1"/>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x14ac:dyDescent="0.25">
      <c r="A809" s="1"/>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x14ac:dyDescent="0.25">
      <c r="A810" s="1"/>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x14ac:dyDescent="0.25">
      <c r="A811" s="1"/>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x14ac:dyDescent="0.25">
      <c r="A812" s="1"/>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x14ac:dyDescent="0.25">
      <c r="A813" s="1"/>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x14ac:dyDescent="0.25">
      <c r="A814" s="1"/>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x14ac:dyDescent="0.25">
      <c r="A815" s="1"/>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x14ac:dyDescent="0.25">
      <c r="A816" s="1"/>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x14ac:dyDescent="0.25">
      <c r="A817" s="1"/>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x14ac:dyDescent="0.25">
      <c r="A818" s="1"/>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x14ac:dyDescent="0.25">
      <c r="A819" s="1"/>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x14ac:dyDescent="0.25">
      <c r="A820" s="1"/>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x14ac:dyDescent="0.25">
      <c r="A821" s="1"/>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x14ac:dyDescent="0.25">
      <c r="A822" s="1"/>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x14ac:dyDescent="0.25">
      <c r="A823" s="1"/>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x14ac:dyDescent="0.25">
      <c r="A824" s="1"/>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x14ac:dyDescent="0.25">
      <c r="A825" s="1"/>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x14ac:dyDescent="0.25">
      <c r="A826" s="1"/>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x14ac:dyDescent="0.25">
      <c r="A827" s="1"/>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x14ac:dyDescent="0.25">
      <c r="A828" s="1"/>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x14ac:dyDescent="0.25">
      <c r="A829" s="1"/>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x14ac:dyDescent="0.25">
      <c r="A830" s="1"/>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x14ac:dyDescent="0.25">
      <c r="A831" s="1"/>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x14ac:dyDescent="0.25">
      <c r="A832" s="1"/>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x14ac:dyDescent="0.25">
      <c r="A833" s="1"/>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x14ac:dyDescent="0.25">
      <c r="A834" s="1"/>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x14ac:dyDescent="0.25">
      <c r="A835" s="1"/>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x14ac:dyDescent="0.25">
      <c r="A836" s="1"/>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x14ac:dyDescent="0.25">
      <c r="A837" s="1"/>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x14ac:dyDescent="0.25">
      <c r="A838" s="1"/>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x14ac:dyDescent="0.25">
      <c r="A839" s="1"/>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x14ac:dyDescent="0.25">
      <c r="A840" s="1"/>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x14ac:dyDescent="0.25">
      <c r="A841" s="1"/>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x14ac:dyDescent="0.25">
      <c r="A842" s="1"/>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x14ac:dyDescent="0.25">
      <c r="A843" s="1"/>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x14ac:dyDescent="0.25">
      <c r="A844" s="1"/>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x14ac:dyDescent="0.25">
      <c r="A845" s="1"/>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x14ac:dyDescent="0.25">
      <c r="A846" s="1"/>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x14ac:dyDescent="0.25">
      <c r="A847" s="1"/>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x14ac:dyDescent="0.25">
      <c r="A848" s="1"/>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x14ac:dyDescent="0.25">
      <c r="A849" s="1"/>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x14ac:dyDescent="0.25">
      <c r="A850" s="1"/>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x14ac:dyDescent="0.25">
      <c r="A851" s="1"/>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x14ac:dyDescent="0.25">
      <c r="A852" s="1"/>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x14ac:dyDescent="0.25">
      <c r="A853" s="1"/>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x14ac:dyDescent="0.25">
      <c r="A854" s="1"/>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x14ac:dyDescent="0.25">
      <c r="A855" s="1"/>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x14ac:dyDescent="0.25">
      <c r="A856" s="1"/>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x14ac:dyDescent="0.25">
      <c r="A857" s="1"/>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x14ac:dyDescent="0.25">
      <c r="A858" s="1"/>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x14ac:dyDescent="0.25">
      <c r="A859" s="1"/>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x14ac:dyDescent="0.25">
      <c r="A860" s="1"/>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x14ac:dyDescent="0.25">
      <c r="A861" s="1"/>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x14ac:dyDescent="0.25">
      <c r="A862" s="1"/>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x14ac:dyDescent="0.25">
      <c r="A863" s="1"/>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x14ac:dyDescent="0.25">
      <c r="A864" s="1"/>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x14ac:dyDescent="0.25">
      <c r="A865" s="1"/>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x14ac:dyDescent="0.25">
      <c r="A866" s="1"/>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x14ac:dyDescent="0.25">
      <c r="A867" s="1"/>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x14ac:dyDescent="0.25">
      <c r="A868" s="1"/>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x14ac:dyDescent="0.25">
      <c r="A869" s="1"/>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x14ac:dyDescent="0.25">
      <c r="A870" s="1"/>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x14ac:dyDescent="0.25">
      <c r="A871" s="1"/>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x14ac:dyDescent="0.25">
      <c r="A872" s="1"/>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x14ac:dyDescent="0.25">
      <c r="A873" s="1"/>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x14ac:dyDescent="0.25">
      <c r="A874" s="1"/>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x14ac:dyDescent="0.25">
      <c r="A875" s="1"/>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x14ac:dyDescent="0.25">
      <c r="A876" s="1"/>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x14ac:dyDescent="0.25">
      <c r="A877" s="1"/>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x14ac:dyDescent="0.25">
      <c r="A878" s="1"/>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x14ac:dyDescent="0.25">
      <c r="A879" s="1"/>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x14ac:dyDescent="0.25">
      <c r="A880" s="1"/>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x14ac:dyDescent="0.25">
      <c r="A881" s="1"/>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x14ac:dyDescent="0.25">
      <c r="A882" s="1"/>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x14ac:dyDescent="0.25">
      <c r="A883" s="1"/>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x14ac:dyDescent="0.25">
      <c r="A884" s="1"/>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x14ac:dyDescent="0.25">
      <c r="A885" s="1"/>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x14ac:dyDescent="0.25">
      <c r="A886" s="1"/>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x14ac:dyDescent="0.25">
      <c r="A887" s="1"/>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x14ac:dyDescent="0.25">
      <c r="A888" s="1"/>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x14ac:dyDescent="0.25">
      <c r="A889" s="1"/>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x14ac:dyDescent="0.25">
      <c r="A890" s="1"/>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x14ac:dyDescent="0.25">
      <c r="A891" s="1"/>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x14ac:dyDescent="0.25">
      <c r="A892" s="1"/>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x14ac:dyDescent="0.25">
      <c r="A893" s="1"/>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x14ac:dyDescent="0.25">
      <c r="A894" s="1"/>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x14ac:dyDescent="0.25">
      <c r="A895" s="1"/>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x14ac:dyDescent="0.25">
      <c r="A896" s="1"/>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x14ac:dyDescent="0.25">
      <c r="A897" s="1"/>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x14ac:dyDescent="0.25">
      <c r="A898" s="1"/>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x14ac:dyDescent="0.25">
      <c r="A899" s="1"/>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x14ac:dyDescent="0.25">
      <c r="A900" s="1"/>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x14ac:dyDescent="0.25">
      <c r="A901" s="1"/>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x14ac:dyDescent="0.25">
      <c r="A902" s="1"/>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x14ac:dyDescent="0.25">
      <c r="A903" s="1"/>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x14ac:dyDescent="0.25">
      <c r="A904" s="1"/>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x14ac:dyDescent="0.25">
      <c r="A905" s="1"/>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x14ac:dyDescent="0.25">
      <c r="A906" s="1"/>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x14ac:dyDescent="0.25">
      <c r="A907" s="1"/>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x14ac:dyDescent="0.25">
      <c r="A908" s="1"/>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x14ac:dyDescent="0.25">
      <c r="A909" s="1"/>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x14ac:dyDescent="0.25">
      <c r="A910" s="1"/>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x14ac:dyDescent="0.25">
      <c r="A911" s="1"/>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x14ac:dyDescent="0.25">
      <c r="A912" s="1"/>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x14ac:dyDescent="0.25">
      <c r="A913" s="1"/>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x14ac:dyDescent="0.25">
      <c r="A914" s="1"/>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x14ac:dyDescent="0.25">
      <c r="A915" s="1"/>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x14ac:dyDescent="0.25">
      <c r="A916" s="1"/>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x14ac:dyDescent="0.25">
      <c r="A917" s="1"/>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x14ac:dyDescent="0.25">
      <c r="A918" s="1"/>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x14ac:dyDescent="0.25">
      <c r="A919" s="1"/>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x14ac:dyDescent="0.25">
      <c r="A920" s="1"/>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x14ac:dyDescent="0.25">
      <c r="A921" s="1"/>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x14ac:dyDescent="0.25">
      <c r="A922" s="1"/>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x14ac:dyDescent="0.25">
      <c r="A923" s="1"/>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x14ac:dyDescent="0.25">
      <c r="A924" s="1"/>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x14ac:dyDescent="0.25">
      <c r="A925" s="1"/>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x14ac:dyDescent="0.25">
      <c r="A926" s="1"/>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x14ac:dyDescent="0.25">
      <c r="A927" s="1"/>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x14ac:dyDescent="0.25">
      <c r="A928" s="1"/>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x14ac:dyDescent="0.25">
      <c r="A929" s="1"/>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x14ac:dyDescent="0.25">
      <c r="A930" s="1"/>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x14ac:dyDescent="0.25">
      <c r="A931" s="1"/>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x14ac:dyDescent="0.25">
      <c r="A932" s="1"/>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x14ac:dyDescent="0.25">
      <c r="A933" s="1"/>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x14ac:dyDescent="0.25">
      <c r="A934" s="1"/>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x14ac:dyDescent="0.25">
      <c r="A935" s="1"/>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x14ac:dyDescent="0.25">
      <c r="A936" s="1"/>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x14ac:dyDescent="0.25">
      <c r="A937" s="1"/>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x14ac:dyDescent="0.25">
      <c r="A938" s="1"/>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x14ac:dyDescent="0.25">
      <c r="A939" s="1"/>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x14ac:dyDescent="0.25">
      <c r="A940" s="1"/>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x14ac:dyDescent="0.25">
      <c r="A941" s="1"/>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x14ac:dyDescent="0.25">
      <c r="A942" s="1"/>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x14ac:dyDescent="0.25">
      <c r="A943" s="1"/>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x14ac:dyDescent="0.25">
      <c r="A944" s="1"/>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x14ac:dyDescent="0.25">
      <c r="A945" s="1"/>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x14ac:dyDescent="0.25">
      <c r="A946" s="1"/>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x14ac:dyDescent="0.25">
      <c r="A947" s="1"/>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x14ac:dyDescent="0.25">
      <c r="A948" s="1"/>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x14ac:dyDescent="0.25">
      <c r="A949" s="1"/>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x14ac:dyDescent="0.25">
      <c r="A950" s="1"/>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x14ac:dyDescent="0.25">
      <c r="A951" s="1"/>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x14ac:dyDescent="0.25">
      <c r="A952" s="1"/>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x14ac:dyDescent="0.25">
      <c r="A953" s="1"/>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x14ac:dyDescent="0.25">
      <c r="A954" s="1"/>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x14ac:dyDescent="0.25">
      <c r="A955" s="1"/>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x14ac:dyDescent="0.25">
      <c r="A956" s="1"/>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x14ac:dyDescent="0.25">
      <c r="A957" s="1"/>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x14ac:dyDescent="0.25">
      <c r="A958" s="1"/>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x14ac:dyDescent="0.25">
      <c r="A959" s="1"/>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x14ac:dyDescent="0.25">
      <c r="A960" s="1"/>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x14ac:dyDescent="0.25">
      <c r="A961" s="1"/>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x14ac:dyDescent="0.25">
      <c r="A962" s="1"/>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x14ac:dyDescent="0.25">
      <c r="A963" s="1"/>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x14ac:dyDescent="0.25">
      <c r="A964" s="1"/>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x14ac:dyDescent="0.25">
      <c r="A965" s="1"/>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x14ac:dyDescent="0.25">
      <c r="A966" s="1"/>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x14ac:dyDescent="0.25">
      <c r="A967" s="1"/>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x14ac:dyDescent="0.25">
      <c r="A968" s="1"/>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x14ac:dyDescent="0.25">
      <c r="A969" s="1"/>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x14ac:dyDescent="0.25">
      <c r="A970" s="1"/>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x14ac:dyDescent="0.25">
      <c r="A971" s="1"/>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x14ac:dyDescent="0.25">
      <c r="A972" s="1"/>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x14ac:dyDescent="0.25">
      <c r="A973" s="1"/>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x14ac:dyDescent="0.25">
      <c r="A974" s="1"/>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x14ac:dyDescent="0.25">
      <c r="A975" s="1"/>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x14ac:dyDescent="0.25">
      <c r="A976" s="1"/>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x14ac:dyDescent="0.25">
      <c r="A977" s="1"/>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x14ac:dyDescent="0.25">
      <c r="A978" s="1"/>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x14ac:dyDescent="0.25">
      <c r="A979" s="1"/>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x14ac:dyDescent="0.25">
      <c r="A980" s="1"/>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x14ac:dyDescent="0.25">
      <c r="A981" s="1"/>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x14ac:dyDescent="0.25">
      <c r="A982" s="1"/>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x14ac:dyDescent="0.25">
      <c r="A983" s="1"/>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x14ac:dyDescent="0.25">
      <c r="A984" s="1"/>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x14ac:dyDescent="0.25">
      <c r="A985" s="1"/>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x14ac:dyDescent="0.25">
      <c r="A986" s="1"/>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x14ac:dyDescent="0.25">
      <c r="A987" s="1"/>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x14ac:dyDescent="0.25">
      <c r="A988" s="1"/>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x14ac:dyDescent="0.25">
      <c r="A989" s="1"/>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x14ac:dyDescent="0.25">
      <c r="A990" s="1"/>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x14ac:dyDescent="0.25">
      <c r="A991" s="1"/>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x14ac:dyDescent="0.25">
      <c r="A992" s="1"/>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x14ac:dyDescent="0.25">
      <c r="A993" s="1"/>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x14ac:dyDescent="0.25">
      <c r="A994" s="1"/>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x14ac:dyDescent="0.25">
      <c r="A995" s="1"/>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x14ac:dyDescent="0.25">
      <c r="A996" s="1"/>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x14ac:dyDescent="0.25">
      <c r="A997" s="1"/>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x14ac:dyDescent="0.25">
      <c r="A998" s="1"/>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x14ac:dyDescent="0.25">
      <c r="A999" s="1"/>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x14ac:dyDescent="0.25">
      <c r="A1000" s="1"/>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honeticPr fontId="17" type="noConversion"/>
  <hyperlinks>
    <hyperlink ref="A65" r:id="rId1" xr:uid="{00000000-0004-0000-0100-000000000000}"/>
    <hyperlink ref="A66" r:id="rId2" xr:uid="{00000000-0004-0000-0100-000001000000}"/>
  </hyperlinks>
  <pageMargins left="0.7" right="0.7" top="0.75" bottom="0.75" header="0" footer="0"/>
  <pageSetup orientation="portrait"/>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showGridLines="0" topLeftCell="A68" zoomScale="70" workbookViewId="0">
      <selection activeCell="H12" sqref="H12"/>
    </sheetView>
  </sheetViews>
  <sheetFormatPr defaultColWidth="14.42578125" defaultRowHeight="15" customHeight="1" x14ac:dyDescent="0.25"/>
  <cols>
    <col min="1" max="1" width="12.7109375" customWidth="1"/>
    <col min="2" max="2" width="82.85546875" customWidth="1"/>
    <col min="3" max="3" width="33.85546875" customWidth="1"/>
    <col min="4" max="4" width="30.28515625" customWidth="1"/>
    <col min="5" max="5" width="9.85546875" customWidth="1"/>
    <col min="6" max="7" width="15.5703125" customWidth="1"/>
    <col min="8" max="8" width="9.85546875" customWidth="1"/>
    <col min="9" max="26" width="8.85546875" customWidth="1"/>
  </cols>
  <sheetData>
    <row r="1" spans="1:26" ht="60" customHeight="1" x14ac:dyDescent="0.25">
      <c r="A1" s="1" t="s">
        <v>100</v>
      </c>
      <c r="B1" s="3"/>
      <c r="F1" s="3"/>
      <c r="G1" s="3"/>
      <c r="I1" s="3"/>
      <c r="J1" s="3"/>
      <c r="K1" s="3"/>
      <c r="L1" s="3"/>
      <c r="M1" s="3"/>
      <c r="N1" s="3"/>
      <c r="O1" s="3"/>
      <c r="P1" s="3"/>
      <c r="Q1" s="3"/>
      <c r="R1" s="3"/>
      <c r="S1" s="3"/>
      <c r="T1" s="3"/>
      <c r="U1" s="3"/>
      <c r="V1" s="3"/>
      <c r="W1" s="3"/>
      <c r="X1" s="3"/>
      <c r="Y1" s="3"/>
      <c r="Z1" s="3"/>
    </row>
    <row r="2" spans="1:26" ht="15" customHeight="1" x14ac:dyDescent="0.25">
      <c r="A2" s="1" t="s">
        <v>101</v>
      </c>
      <c r="B2" s="3"/>
      <c r="F2" s="3"/>
      <c r="G2" s="3"/>
      <c r="I2" s="3"/>
      <c r="J2" s="3"/>
      <c r="K2" s="3"/>
      <c r="L2" s="3"/>
      <c r="M2" s="3"/>
      <c r="N2" s="3"/>
      <c r="O2" s="3"/>
      <c r="P2" s="3"/>
      <c r="Q2" s="3"/>
      <c r="R2" s="3"/>
      <c r="S2" s="3"/>
      <c r="T2" s="3"/>
      <c r="U2" s="3"/>
      <c r="V2" s="3"/>
      <c r="W2" s="3"/>
      <c r="X2" s="3"/>
      <c r="Y2" s="3"/>
      <c r="Z2" s="3"/>
    </row>
    <row r="3" spans="1:26" ht="15" customHeight="1" x14ac:dyDescent="0.25">
      <c r="A3" s="1" t="s">
        <v>102</v>
      </c>
      <c r="B3" s="3"/>
      <c r="F3" s="3"/>
      <c r="G3" s="3"/>
      <c r="I3" s="3"/>
      <c r="J3" s="3"/>
      <c r="K3" s="3"/>
      <c r="L3" s="3"/>
      <c r="M3" s="3"/>
      <c r="N3" s="3"/>
      <c r="O3" s="3"/>
      <c r="P3" s="3"/>
      <c r="Q3" s="3"/>
      <c r="R3" s="3"/>
      <c r="S3" s="3"/>
      <c r="T3" s="3"/>
      <c r="U3" s="3"/>
      <c r="V3" s="3"/>
      <c r="W3" s="3"/>
      <c r="X3" s="3"/>
      <c r="Y3" s="3"/>
      <c r="Z3" s="3"/>
    </row>
    <row r="4" spans="1:26" ht="15" customHeight="1" x14ac:dyDescent="0.25">
      <c r="A4" s="1" t="s">
        <v>103</v>
      </c>
      <c r="B4" s="3"/>
      <c r="C4" s="5" t="s">
        <v>104</v>
      </c>
      <c r="D4" s="5" t="s">
        <v>105</v>
      </c>
      <c r="E4" s="5" t="s">
        <v>106</v>
      </c>
      <c r="F4" s="3"/>
      <c r="G4" s="3"/>
      <c r="I4" s="3"/>
      <c r="J4" s="3"/>
      <c r="K4" s="3"/>
      <c r="L4" s="3"/>
      <c r="M4" s="3"/>
      <c r="N4" s="3"/>
      <c r="O4" s="3"/>
      <c r="P4" s="3"/>
      <c r="Q4" s="3"/>
      <c r="R4" s="3"/>
      <c r="S4" s="3"/>
      <c r="T4" s="3"/>
      <c r="U4" s="3"/>
      <c r="V4" s="3"/>
      <c r="W4" s="3"/>
      <c r="X4" s="3"/>
      <c r="Y4" s="3"/>
      <c r="Z4" s="3"/>
    </row>
    <row r="5" spans="1:26" ht="15" customHeight="1" x14ac:dyDescent="0.25">
      <c r="A5" s="1" t="s">
        <v>107</v>
      </c>
      <c r="B5" s="3"/>
      <c r="C5" s="15" t="s">
        <v>108</v>
      </c>
      <c r="D5" s="16" t="s">
        <v>483</v>
      </c>
      <c r="E5" s="17" t="s">
        <v>109</v>
      </c>
      <c r="F5" s="3"/>
      <c r="G5" s="3"/>
      <c r="I5" s="7"/>
      <c r="J5" s="7"/>
      <c r="K5" s="7"/>
      <c r="L5" s="7"/>
      <c r="M5" s="7"/>
      <c r="N5" s="7"/>
      <c r="O5" s="7"/>
      <c r="P5" s="7"/>
      <c r="Q5" s="7"/>
      <c r="R5" s="7"/>
      <c r="S5" s="7"/>
      <c r="T5" s="7"/>
      <c r="U5" s="7"/>
      <c r="V5" s="7"/>
      <c r="W5" s="7"/>
      <c r="X5" s="7"/>
      <c r="Y5" s="7"/>
      <c r="Z5" s="7"/>
    </row>
    <row r="6" spans="1:26" ht="15" customHeight="1" x14ac:dyDescent="0.25">
      <c r="A6" s="1" t="s">
        <v>110</v>
      </c>
      <c r="B6" s="3"/>
      <c r="C6" s="15" t="s">
        <v>111</v>
      </c>
      <c r="D6" s="56" t="s">
        <v>485</v>
      </c>
      <c r="E6" s="17" t="s">
        <v>486</v>
      </c>
      <c r="F6" s="3"/>
      <c r="G6" s="3"/>
      <c r="I6" s="7"/>
      <c r="J6" s="7"/>
      <c r="K6" s="7"/>
      <c r="L6" s="7"/>
      <c r="M6" s="7"/>
      <c r="N6" s="7"/>
      <c r="O6" s="7"/>
      <c r="P6" s="7"/>
      <c r="Q6" s="7"/>
      <c r="R6" s="7"/>
      <c r="S6" s="7"/>
      <c r="T6" s="7"/>
      <c r="U6" s="7"/>
      <c r="V6" s="7"/>
      <c r="W6" s="7"/>
      <c r="X6" s="7"/>
      <c r="Y6" s="7"/>
      <c r="Z6" s="7"/>
    </row>
    <row r="7" spans="1:26" ht="15" customHeight="1" x14ac:dyDescent="0.25">
      <c r="A7" s="1" t="s">
        <v>79</v>
      </c>
      <c r="B7" s="3"/>
      <c r="C7" s="15" t="s">
        <v>112</v>
      </c>
      <c r="D7" s="56" t="s">
        <v>94</v>
      </c>
      <c r="E7" s="17" t="s">
        <v>488</v>
      </c>
      <c r="F7" s="3"/>
      <c r="G7" s="3"/>
      <c r="I7" s="7"/>
      <c r="J7" s="7"/>
      <c r="K7" s="7"/>
      <c r="L7" s="7"/>
      <c r="M7" s="7"/>
      <c r="N7" s="7"/>
      <c r="O7" s="7"/>
      <c r="P7" s="7"/>
      <c r="Q7" s="7"/>
      <c r="R7" s="7"/>
      <c r="S7" s="7"/>
      <c r="T7" s="7"/>
      <c r="U7" s="7"/>
      <c r="V7" s="7"/>
      <c r="W7" s="7"/>
      <c r="X7" s="7"/>
      <c r="Y7" s="7"/>
      <c r="Z7" s="7"/>
    </row>
    <row r="8" spans="1:26" ht="15" customHeight="1" x14ac:dyDescent="0.25">
      <c r="A8" s="1"/>
      <c r="B8" s="3"/>
      <c r="C8" s="15" t="s">
        <v>113</v>
      </c>
      <c r="D8" s="56" t="s">
        <v>352</v>
      </c>
      <c r="E8" s="17" t="s">
        <v>490</v>
      </c>
      <c r="F8" s="3"/>
      <c r="G8" s="3"/>
      <c r="I8" s="7"/>
      <c r="J8" s="7"/>
      <c r="K8" s="7"/>
      <c r="L8" s="7"/>
      <c r="M8" s="7"/>
      <c r="N8" s="7"/>
      <c r="O8" s="7"/>
      <c r="P8" s="7"/>
      <c r="Q8" s="7"/>
      <c r="R8" s="7"/>
      <c r="S8" s="7"/>
      <c r="T8" s="7"/>
      <c r="U8" s="7"/>
      <c r="V8" s="7"/>
      <c r="W8" s="7"/>
      <c r="X8" s="7"/>
      <c r="Y8" s="7"/>
      <c r="Z8" s="7"/>
    </row>
    <row r="9" spans="1:26" ht="15" customHeight="1" x14ac:dyDescent="0.25">
      <c r="A9" s="1"/>
      <c r="B9" s="3"/>
      <c r="C9" s="18" t="s">
        <v>114</v>
      </c>
      <c r="D9" s="19" t="s">
        <v>497</v>
      </c>
      <c r="E9" s="20" t="s">
        <v>498</v>
      </c>
      <c r="F9" s="3"/>
      <c r="G9" s="3"/>
      <c r="I9" s="7"/>
      <c r="J9" s="7"/>
      <c r="K9" s="7"/>
      <c r="L9" s="7"/>
      <c r="M9" s="7"/>
      <c r="N9" s="7"/>
      <c r="O9" s="7"/>
      <c r="P9" s="7"/>
      <c r="Q9" s="7"/>
      <c r="R9" s="7"/>
      <c r="S9" s="7"/>
      <c r="T9" s="7"/>
      <c r="U9" s="7"/>
      <c r="V9" s="7"/>
      <c r="W9" s="7"/>
      <c r="X9" s="7"/>
      <c r="Y9" s="7"/>
      <c r="Z9" s="7"/>
    </row>
    <row r="10" spans="1:26" ht="15" customHeight="1" x14ac:dyDescent="0.25">
      <c r="A10" s="1"/>
      <c r="B10" s="3"/>
      <c r="F10" s="3"/>
      <c r="G10" s="3"/>
      <c r="I10" s="7"/>
      <c r="J10" s="7"/>
      <c r="K10" s="7"/>
      <c r="L10" s="7"/>
      <c r="M10" s="7"/>
      <c r="N10" s="7"/>
      <c r="O10" s="7"/>
      <c r="P10" s="7"/>
      <c r="Q10" s="7"/>
      <c r="R10" s="7"/>
      <c r="S10" s="7"/>
      <c r="T10" s="7"/>
      <c r="U10" s="7"/>
      <c r="V10" s="7"/>
      <c r="W10" s="7"/>
      <c r="X10" s="7"/>
      <c r="Y10" s="7"/>
      <c r="Z10" s="7"/>
    </row>
    <row r="11" spans="1:26" ht="15" customHeight="1" x14ac:dyDescent="0.25">
      <c r="A11" s="1"/>
      <c r="B11" s="3"/>
      <c r="F11" s="3"/>
      <c r="G11" s="3"/>
      <c r="I11" s="7"/>
      <c r="J11" s="7"/>
      <c r="K11" s="7"/>
      <c r="L11" s="7"/>
      <c r="M11" s="7"/>
      <c r="N11" s="7"/>
      <c r="O11" s="7"/>
      <c r="P11" s="7"/>
      <c r="Q11" s="7"/>
      <c r="R11" s="7"/>
      <c r="S11" s="7"/>
      <c r="T11" s="7"/>
      <c r="U11" s="7"/>
      <c r="V11" s="7"/>
      <c r="W11" s="7"/>
      <c r="X11" s="7"/>
      <c r="Y11" s="7"/>
      <c r="Z11" s="7"/>
    </row>
    <row r="12" spans="1:26" ht="15" customHeight="1" x14ac:dyDescent="0.25">
      <c r="A12" s="1"/>
      <c r="B12" s="3"/>
      <c r="F12" s="3"/>
      <c r="G12" s="3"/>
      <c r="I12" s="7"/>
      <c r="J12" s="7"/>
      <c r="K12" s="7"/>
      <c r="L12" s="7"/>
      <c r="M12" s="7"/>
      <c r="N12" s="7"/>
      <c r="O12" s="7"/>
      <c r="P12" s="7"/>
      <c r="Q12" s="7"/>
      <c r="R12" s="7"/>
      <c r="S12" s="7"/>
      <c r="T12" s="7"/>
      <c r="U12" s="7"/>
      <c r="V12" s="7"/>
      <c r="W12" s="7"/>
      <c r="X12" s="7"/>
      <c r="Y12" s="7"/>
      <c r="Z12" s="7"/>
    </row>
    <row r="13" spans="1:26" ht="15" customHeight="1" x14ac:dyDescent="0.25">
      <c r="A13" s="1"/>
      <c r="B13" s="3"/>
      <c r="F13" s="3"/>
      <c r="G13" s="3"/>
      <c r="I13" s="7"/>
      <c r="J13" s="7"/>
      <c r="K13" s="7"/>
      <c r="L13" s="7"/>
      <c r="M13" s="7"/>
      <c r="N13" s="7"/>
      <c r="O13" s="7"/>
      <c r="P13" s="7"/>
      <c r="Q13" s="7"/>
      <c r="R13" s="7"/>
      <c r="S13" s="7"/>
      <c r="T13" s="7"/>
      <c r="U13" s="7"/>
      <c r="V13" s="7"/>
      <c r="W13" s="7"/>
      <c r="X13" s="7"/>
      <c r="Y13" s="7"/>
      <c r="Z13" s="7"/>
    </row>
    <row r="14" spans="1:26" ht="15" customHeight="1" x14ac:dyDescent="0.25">
      <c r="A14" s="1"/>
      <c r="B14" s="3"/>
      <c r="F14" s="3"/>
      <c r="G14" s="3"/>
      <c r="I14" s="7"/>
      <c r="J14" s="7"/>
      <c r="K14" s="7"/>
      <c r="L14" s="7"/>
      <c r="M14" s="7"/>
      <c r="N14" s="7"/>
      <c r="O14" s="7"/>
      <c r="P14" s="7"/>
      <c r="Q14" s="7"/>
      <c r="R14" s="7"/>
      <c r="S14" s="7"/>
      <c r="T14" s="7"/>
      <c r="U14" s="7"/>
      <c r="V14" s="7"/>
      <c r="W14" s="7"/>
      <c r="X14" s="7"/>
      <c r="Y14" s="7"/>
      <c r="Z14" s="7"/>
    </row>
    <row r="15" spans="1:26" ht="15" customHeight="1" x14ac:dyDescent="0.25">
      <c r="A15" s="1"/>
      <c r="B15" s="3"/>
      <c r="F15" s="3"/>
      <c r="G15" s="3"/>
      <c r="I15" s="7"/>
      <c r="J15" s="7"/>
      <c r="K15" s="7"/>
      <c r="L15" s="7"/>
      <c r="M15" s="7"/>
      <c r="N15" s="7"/>
      <c r="O15" s="7"/>
      <c r="P15" s="7"/>
      <c r="Q15" s="7"/>
      <c r="R15" s="7"/>
      <c r="S15" s="7"/>
      <c r="T15" s="7"/>
      <c r="U15" s="7"/>
      <c r="V15" s="7"/>
      <c r="W15" s="7"/>
      <c r="X15" s="7"/>
      <c r="Y15" s="7"/>
      <c r="Z15" s="7"/>
    </row>
    <row r="16" spans="1:26" ht="15" customHeight="1" x14ac:dyDescent="0.25">
      <c r="A16" s="1"/>
      <c r="B16" s="3"/>
      <c r="F16" s="3"/>
      <c r="G16" s="3"/>
      <c r="I16" s="7"/>
      <c r="J16" s="7"/>
      <c r="K16" s="7"/>
      <c r="L16" s="7"/>
      <c r="M16" s="7"/>
      <c r="N16" s="7"/>
      <c r="O16" s="7"/>
      <c r="P16" s="7"/>
      <c r="Q16" s="7"/>
      <c r="R16" s="7"/>
      <c r="S16" s="7"/>
      <c r="T16" s="7"/>
      <c r="U16" s="7"/>
      <c r="V16" s="7"/>
      <c r="W16" s="7"/>
      <c r="X16" s="7"/>
      <c r="Y16" s="7"/>
      <c r="Z16" s="7"/>
    </row>
    <row r="17" spans="1:26" ht="15" customHeight="1" x14ac:dyDescent="0.25">
      <c r="A17" s="1"/>
      <c r="B17" s="3"/>
      <c r="F17" s="3"/>
      <c r="G17" s="3"/>
      <c r="I17" s="7"/>
      <c r="J17" s="7"/>
      <c r="K17" s="7"/>
      <c r="L17" s="7"/>
      <c r="M17" s="7"/>
      <c r="N17" s="7"/>
      <c r="O17" s="7"/>
      <c r="P17" s="7"/>
      <c r="Q17" s="7"/>
      <c r="R17" s="7"/>
      <c r="S17" s="7"/>
      <c r="T17" s="7"/>
      <c r="U17" s="7"/>
      <c r="V17" s="7"/>
      <c r="W17" s="7"/>
      <c r="X17" s="7"/>
      <c r="Y17" s="7"/>
      <c r="Z17" s="7"/>
    </row>
    <row r="18" spans="1:26" ht="15" customHeight="1" x14ac:dyDescent="0.25">
      <c r="A18" s="1"/>
      <c r="B18" s="3"/>
      <c r="F18" s="3"/>
      <c r="G18" s="3"/>
      <c r="I18" s="7"/>
      <c r="J18" s="7"/>
      <c r="K18" s="7"/>
      <c r="L18" s="7"/>
      <c r="M18" s="7"/>
      <c r="N18" s="7"/>
      <c r="O18" s="7"/>
      <c r="P18" s="7"/>
      <c r="Q18" s="7"/>
      <c r="R18" s="7"/>
      <c r="S18" s="7"/>
      <c r="T18" s="7"/>
      <c r="U18" s="7"/>
      <c r="V18" s="7"/>
      <c r="W18" s="7"/>
      <c r="X18" s="7"/>
      <c r="Y18" s="7"/>
      <c r="Z18" s="7"/>
    </row>
    <row r="19" spans="1:26" ht="15" customHeight="1" x14ac:dyDescent="0.25">
      <c r="A19" s="1"/>
      <c r="B19" s="3"/>
      <c r="F19" s="3"/>
      <c r="G19" s="3"/>
      <c r="I19" s="7"/>
      <c r="J19" s="7"/>
      <c r="K19" s="7"/>
      <c r="L19" s="7"/>
      <c r="M19" s="7"/>
      <c r="N19" s="7"/>
      <c r="O19" s="7"/>
      <c r="P19" s="7"/>
      <c r="Q19" s="7"/>
      <c r="R19" s="7"/>
      <c r="S19" s="7"/>
      <c r="T19" s="7"/>
      <c r="U19" s="7"/>
      <c r="V19" s="7"/>
      <c r="W19" s="7"/>
      <c r="X19" s="7"/>
      <c r="Y19" s="7"/>
      <c r="Z19" s="7"/>
    </row>
    <row r="20" spans="1:26" ht="15" customHeight="1" x14ac:dyDescent="0.25">
      <c r="A20" s="1"/>
      <c r="B20" s="3"/>
      <c r="F20" s="3"/>
      <c r="G20" s="3"/>
      <c r="I20" s="7"/>
      <c r="J20" s="7"/>
      <c r="K20" s="7"/>
      <c r="L20" s="7"/>
      <c r="M20" s="7"/>
      <c r="N20" s="7"/>
      <c r="O20" s="7"/>
      <c r="P20" s="7"/>
      <c r="Q20" s="7"/>
      <c r="R20" s="7"/>
      <c r="S20" s="7"/>
      <c r="T20" s="7"/>
      <c r="U20" s="7"/>
      <c r="V20" s="7"/>
      <c r="W20" s="7"/>
      <c r="X20" s="7"/>
      <c r="Y20" s="7"/>
      <c r="Z20" s="7"/>
    </row>
    <row r="21" spans="1:26" ht="15" customHeight="1" x14ac:dyDescent="0.25">
      <c r="A21" s="1"/>
      <c r="B21" s="3"/>
      <c r="F21" s="3"/>
      <c r="G21" s="3"/>
      <c r="I21" s="7"/>
      <c r="J21" s="7"/>
      <c r="K21" s="7"/>
      <c r="L21" s="7"/>
      <c r="M21" s="7"/>
      <c r="N21" s="7"/>
      <c r="O21" s="7"/>
      <c r="P21" s="7"/>
      <c r="Q21" s="7"/>
      <c r="R21" s="7"/>
      <c r="S21" s="7"/>
      <c r="T21" s="7"/>
      <c r="U21" s="7"/>
      <c r="V21" s="7"/>
      <c r="W21" s="7"/>
      <c r="X21" s="7"/>
      <c r="Y21" s="7"/>
      <c r="Z21" s="7"/>
    </row>
    <row r="22" spans="1:26" ht="15" customHeight="1" x14ac:dyDescent="0.25">
      <c r="A22" s="1"/>
      <c r="B22" s="3"/>
      <c r="C22" s="7"/>
      <c r="D22" s="7"/>
      <c r="E22" s="7"/>
      <c r="F22" s="7"/>
      <c r="G22" s="7"/>
      <c r="H22" s="7"/>
      <c r="I22" s="7"/>
      <c r="J22" s="7"/>
      <c r="K22" s="7"/>
      <c r="L22" s="7"/>
      <c r="M22" s="7"/>
      <c r="N22" s="7"/>
      <c r="O22" s="7"/>
      <c r="P22" s="7"/>
      <c r="Q22" s="7"/>
      <c r="R22" s="7"/>
      <c r="S22" s="7"/>
      <c r="T22" s="7"/>
      <c r="U22" s="7"/>
      <c r="V22" s="7"/>
      <c r="W22" s="7"/>
      <c r="X22" s="7"/>
      <c r="Y22" s="7"/>
      <c r="Z22" s="7"/>
    </row>
    <row r="23" spans="1:26" ht="15" customHeight="1" x14ac:dyDescent="0.25">
      <c r="A23" s="1"/>
      <c r="B23" s="3"/>
      <c r="C23" s="7"/>
      <c r="D23" s="7"/>
      <c r="E23" s="7"/>
      <c r="F23" s="7"/>
      <c r="G23" s="7"/>
      <c r="H23" s="7"/>
      <c r="I23" s="7"/>
      <c r="J23" s="7"/>
      <c r="K23" s="7"/>
      <c r="L23" s="7"/>
      <c r="M23" s="7"/>
      <c r="N23" s="7"/>
      <c r="O23" s="7"/>
      <c r="P23" s="7"/>
      <c r="Q23" s="7"/>
      <c r="R23" s="7"/>
      <c r="S23" s="7"/>
      <c r="T23" s="7"/>
      <c r="U23" s="7"/>
      <c r="V23" s="7"/>
      <c r="W23" s="7"/>
      <c r="X23" s="7"/>
      <c r="Y23" s="7"/>
      <c r="Z23" s="7"/>
    </row>
    <row r="24" spans="1:26" ht="15" customHeight="1" x14ac:dyDescent="0.25">
      <c r="A24" s="1"/>
      <c r="B24" s="3"/>
      <c r="C24" s="7"/>
      <c r="D24" s="7"/>
      <c r="E24" s="7"/>
      <c r="F24" s="7"/>
      <c r="G24" s="7"/>
      <c r="H24" s="7"/>
      <c r="I24" s="7"/>
      <c r="J24" s="7"/>
      <c r="K24" s="7"/>
      <c r="L24" s="7"/>
      <c r="M24" s="7"/>
      <c r="N24" s="7"/>
      <c r="O24" s="7"/>
      <c r="P24" s="7"/>
      <c r="Q24" s="7"/>
      <c r="R24" s="7"/>
      <c r="S24" s="7"/>
      <c r="T24" s="7"/>
      <c r="U24" s="7"/>
      <c r="V24" s="7"/>
      <c r="W24" s="7"/>
      <c r="X24" s="7"/>
      <c r="Y24" s="7"/>
      <c r="Z24" s="7"/>
    </row>
    <row r="25" spans="1:26" ht="15.75" customHeight="1" x14ac:dyDescent="0.25">
      <c r="A25" s="1"/>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x14ac:dyDescent="0.25">
      <c r="A26" s="1"/>
      <c r="B26" s="3"/>
      <c r="C26" s="3"/>
      <c r="D26" s="3"/>
      <c r="E26" s="3"/>
      <c r="F26" s="3"/>
      <c r="G26" s="3"/>
      <c r="H26" s="3"/>
      <c r="I26" s="3"/>
      <c r="J26" s="3"/>
      <c r="K26" s="3"/>
      <c r="L26" s="3"/>
      <c r="M26" s="3"/>
      <c r="N26" s="3"/>
      <c r="O26" s="3"/>
      <c r="P26" s="3"/>
      <c r="Q26" s="3"/>
      <c r="R26" s="3"/>
      <c r="S26" s="3"/>
      <c r="T26" s="3"/>
      <c r="U26" s="3"/>
      <c r="V26" s="3"/>
      <c r="W26" s="3"/>
      <c r="X26" s="3"/>
      <c r="Y26" s="3"/>
      <c r="Z26" s="3"/>
    </row>
    <row r="27" spans="1:26" ht="15" customHeight="1" x14ac:dyDescent="0.25">
      <c r="A27" s="1" t="s">
        <v>115</v>
      </c>
      <c r="B27" s="3"/>
      <c r="C27" s="3"/>
      <c r="D27" s="3"/>
      <c r="E27" s="3"/>
      <c r="F27" s="3"/>
      <c r="G27" s="3"/>
      <c r="H27" s="3"/>
      <c r="I27" s="3"/>
      <c r="J27" s="3"/>
      <c r="K27" s="3"/>
      <c r="L27" s="3"/>
      <c r="M27" s="3"/>
      <c r="N27" s="3"/>
      <c r="O27" s="3"/>
      <c r="P27" s="3"/>
      <c r="Q27" s="3"/>
      <c r="R27" s="3"/>
      <c r="S27" s="3"/>
      <c r="T27" s="3"/>
      <c r="U27" s="3"/>
      <c r="V27" s="3"/>
      <c r="W27" s="3"/>
      <c r="X27" s="3"/>
      <c r="Y27" s="3"/>
      <c r="Z27" s="3"/>
    </row>
    <row r="28" spans="1:26" ht="15" customHeight="1" x14ac:dyDescent="0.25">
      <c r="A28" s="1" t="s">
        <v>116</v>
      </c>
      <c r="B28" s="3"/>
      <c r="C28" s="3"/>
      <c r="D28" s="3"/>
      <c r="E28" s="3"/>
      <c r="F28" s="3"/>
      <c r="G28" s="3"/>
      <c r="H28" s="3"/>
      <c r="I28" s="3"/>
      <c r="J28" s="3"/>
      <c r="K28" s="3"/>
      <c r="L28" s="3"/>
      <c r="M28" s="3"/>
      <c r="N28" s="3"/>
      <c r="O28" s="3"/>
      <c r="P28" s="3"/>
      <c r="Q28" s="3"/>
      <c r="R28" s="3"/>
      <c r="S28" s="3"/>
      <c r="T28" s="3"/>
      <c r="U28" s="3"/>
      <c r="V28" s="3"/>
      <c r="W28" s="3"/>
      <c r="X28" s="3"/>
      <c r="Y28" s="3"/>
      <c r="Z28" s="3"/>
    </row>
    <row r="29" spans="1:26" ht="15" customHeight="1" x14ac:dyDescent="0.25">
      <c r="A29" s="1" t="s">
        <v>117</v>
      </c>
      <c r="B29" s="3"/>
      <c r="C29" s="3"/>
      <c r="D29" s="3"/>
      <c r="E29" s="3"/>
      <c r="F29" s="3"/>
      <c r="G29" s="3"/>
      <c r="H29" s="3"/>
      <c r="I29" s="3"/>
      <c r="J29" s="3"/>
      <c r="K29" s="3"/>
      <c r="L29" s="3"/>
      <c r="M29" s="3"/>
      <c r="N29" s="3"/>
      <c r="O29" s="3"/>
      <c r="P29" s="3"/>
      <c r="Q29" s="3"/>
      <c r="R29" s="3"/>
      <c r="S29" s="3"/>
      <c r="T29" s="3"/>
      <c r="U29" s="3"/>
      <c r="V29" s="3"/>
      <c r="W29" s="3"/>
      <c r="X29" s="3"/>
      <c r="Y29" s="3"/>
      <c r="Z29" s="3"/>
    </row>
    <row r="30" spans="1:26" ht="15" customHeight="1" x14ac:dyDescent="0.25">
      <c r="A30" s="1" t="s">
        <v>118</v>
      </c>
      <c r="B30" s="3"/>
      <c r="F30" s="3"/>
      <c r="G30" s="3"/>
      <c r="H30" s="3"/>
      <c r="I30" s="3"/>
      <c r="J30" s="3"/>
      <c r="K30" s="3"/>
      <c r="L30" s="3"/>
      <c r="M30" s="3"/>
      <c r="N30" s="3"/>
      <c r="O30" s="3"/>
      <c r="P30" s="3"/>
      <c r="Q30" s="3"/>
      <c r="R30" s="3"/>
      <c r="S30" s="3"/>
      <c r="T30" s="3"/>
      <c r="U30" s="3"/>
      <c r="V30" s="3"/>
      <c r="W30" s="3"/>
      <c r="X30" s="3"/>
      <c r="Y30" s="3"/>
      <c r="Z30" s="3"/>
    </row>
    <row r="31" spans="1:26" ht="15" customHeight="1" x14ac:dyDescent="0.25">
      <c r="A31" s="1" t="s">
        <v>119</v>
      </c>
      <c r="B31" s="3"/>
      <c r="C31" s="5" t="s">
        <v>120</v>
      </c>
      <c r="D31" s="5" t="s">
        <v>105</v>
      </c>
      <c r="E31" s="5" t="s">
        <v>106</v>
      </c>
      <c r="F31" s="5" t="s">
        <v>121</v>
      </c>
      <c r="G31" s="3"/>
      <c r="H31" s="3"/>
      <c r="I31" s="3"/>
      <c r="J31" s="3"/>
      <c r="K31" s="3"/>
      <c r="L31" s="3"/>
      <c r="M31" s="3"/>
      <c r="N31" s="3"/>
      <c r="O31" s="3"/>
      <c r="P31" s="3"/>
      <c r="Q31" s="3"/>
      <c r="R31" s="3"/>
      <c r="S31" s="3"/>
      <c r="T31" s="3"/>
      <c r="U31" s="3"/>
      <c r="V31" s="3"/>
      <c r="W31" s="3"/>
      <c r="X31" s="3"/>
      <c r="Y31" s="3"/>
      <c r="Z31" s="3"/>
    </row>
    <row r="32" spans="1:26" ht="15" customHeight="1" x14ac:dyDescent="0.25">
      <c r="A32" s="1" t="s">
        <v>122</v>
      </c>
      <c r="B32" s="3"/>
      <c r="C32" s="6" t="s">
        <v>123</v>
      </c>
      <c r="D32" s="6" t="s">
        <v>483</v>
      </c>
      <c r="E32" t="s">
        <v>109</v>
      </c>
      <c r="F32" t="s">
        <v>484</v>
      </c>
      <c r="H32" s="3"/>
      <c r="I32" s="3"/>
      <c r="J32" s="3"/>
      <c r="K32" s="3"/>
      <c r="L32" s="3"/>
      <c r="M32" s="3"/>
      <c r="N32" s="3"/>
      <c r="O32" s="3"/>
      <c r="P32" s="3"/>
      <c r="Q32" s="3"/>
      <c r="R32" s="3"/>
      <c r="S32" s="3"/>
      <c r="T32" s="3"/>
      <c r="U32" s="3"/>
      <c r="V32" s="3"/>
      <c r="W32" s="3"/>
      <c r="X32" s="3"/>
      <c r="Y32" s="3"/>
      <c r="Z32" s="3"/>
    </row>
    <row r="33" spans="1:26" ht="15" customHeight="1" x14ac:dyDescent="0.25">
      <c r="A33" s="1" t="s">
        <v>124</v>
      </c>
      <c r="B33" s="3"/>
      <c r="C33" s="6" t="s">
        <v>125</v>
      </c>
      <c r="D33" s="6" t="s">
        <v>485</v>
      </c>
      <c r="E33" t="s">
        <v>486</v>
      </c>
      <c r="F33" t="s">
        <v>487</v>
      </c>
      <c r="I33" s="3"/>
      <c r="J33" s="3"/>
      <c r="K33" s="3"/>
      <c r="L33" s="3"/>
      <c r="M33" s="3"/>
      <c r="N33" s="3"/>
      <c r="O33" s="3"/>
      <c r="P33" s="3"/>
      <c r="Q33" s="3"/>
      <c r="R33" s="3"/>
      <c r="S33" s="3"/>
      <c r="T33" s="3"/>
      <c r="U33" s="3"/>
      <c r="V33" s="3"/>
      <c r="W33" s="3"/>
      <c r="X33" s="3"/>
      <c r="Y33" s="3"/>
      <c r="Z33" s="3"/>
    </row>
    <row r="34" spans="1:26" ht="15" customHeight="1" x14ac:dyDescent="0.25">
      <c r="A34" s="1" t="s">
        <v>126</v>
      </c>
      <c r="B34" s="3"/>
      <c r="C34" s="6" t="s">
        <v>127</v>
      </c>
      <c r="D34" s="6" t="s">
        <v>94</v>
      </c>
      <c r="E34" t="s">
        <v>488</v>
      </c>
      <c r="F34" t="s">
        <v>489</v>
      </c>
      <c r="I34" s="3"/>
      <c r="J34" s="3"/>
      <c r="K34" s="3"/>
      <c r="L34" s="3"/>
      <c r="M34" s="3"/>
      <c r="N34" s="3"/>
      <c r="O34" s="3"/>
      <c r="P34" s="3"/>
      <c r="Q34" s="3"/>
      <c r="R34" s="3"/>
      <c r="S34" s="3"/>
      <c r="T34" s="3"/>
      <c r="U34" s="3"/>
      <c r="V34" s="3"/>
      <c r="W34" s="3"/>
      <c r="X34" s="3"/>
      <c r="Y34" s="3"/>
      <c r="Z34" s="3"/>
    </row>
    <row r="35" spans="1:26" ht="15" customHeight="1" x14ac:dyDescent="0.25">
      <c r="A35" s="1" t="s">
        <v>128</v>
      </c>
      <c r="B35" s="3"/>
      <c r="C35" s="6" t="s">
        <v>129</v>
      </c>
      <c r="D35" s="6" t="s">
        <v>352</v>
      </c>
      <c r="E35" t="s">
        <v>490</v>
      </c>
      <c r="F35" t="s">
        <v>484</v>
      </c>
      <c r="I35" s="3"/>
      <c r="J35" s="3"/>
      <c r="K35" s="3"/>
      <c r="L35" s="3"/>
      <c r="M35" s="3"/>
      <c r="N35" s="3"/>
      <c r="O35" s="3"/>
      <c r="P35" s="3"/>
      <c r="Q35" s="3"/>
      <c r="R35" s="3"/>
      <c r="S35" s="3"/>
      <c r="T35" s="3"/>
      <c r="U35" s="3"/>
      <c r="V35" s="3"/>
      <c r="W35" s="3"/>
      <c r="X35" s="3"/>
      <c r="Y35" s="3"/>
      <c r="Z35" s="3"/>
    </row>
    <row r="36" spans="1:26" ht="15" customHeight="1" x14ac:dyDescent="0.25">
      <c r="A36" s="1"/>
      <c r="B36" s="3"/>
      <c r="C36" s="6" t="s">
        <v>130</v>
      </c>
      <c r="D36" s="6" t="s">
        <v>491</v>
      </c>
      <c r="E36" t="s">
        <v>492</v>
      </c>
      <c r="F36" t="s">
        <v>489</v>
      </c>
      <c r="I36" s="3"/>
      <c r="J36" s="3"/>
      <c r="K36" s="3"/>
      <c r="L36" s="3"/>
      <c r="M36" s="3"/>
      <c r="N36" s="3"/>
      <c r="O36" s="3"/>
      <c r="P36" s="3"/>
      <c r="Q36" s="3"/>
      <c r="R36" s="3"/>
      <c r="S36" s="3"/>
      <c r="T36" s="3"/>
      <c r="U36" s="3"/>
      <c r="V36" s="3"/>
      <c r="W36" s="3"/>
      <c r="X36" s="3"/>
      <c r="Y36" s="3"/>
      <c r="Z36" s="3"/>
    </row>
    <row r="37" spans="1:26" ht="15" customHeight="1" x14ac:dyDescent="0.25">
      <c r="A37" s="1"/>
      <c r="B37" s="3"/>
      <c r="C37" s="6" t="s">
        <v>131</v>
      </c>
      <c r="D37" s="6" t="s">
        <v>493</v>
      </c>
      <c r="E37" t="s">
        <v>494</v>
      </c>
      <c r="F37" t="s">
        <v>487</v>
      </c>
      <c r="I37" s="3"/>
      <c r="J37" s="3"/>
      <c r="K37" s="3"/>
      <c r="L37" s="3"/>
      <c r="M37" s="3"/>
      <c r="N37" s="3"/>
      <c r="O37" s="3"/>
      <c r="P37" s="3"/>
      <c r="Q37" s="3"/>
      <c r="R37" s="3"/>
      <c r="S37" s="3"/>
      <c r="T37" s="3"/>
      <c r="U37" s="3"/>
      <c r="V37" s="3"/>
      <c r="W37" s="3"/>
      <c r="X37" s="3"/>
      <c r="Y37" s="3"/>
      <c r="Z37" s="3"/>
    </row>
    <row r="38" spans="1:26" ht="15" customHeight="1" x14ac:dyDescent="0.25">
      <c r="A38" s="1"/>
      <c r="B38" s="3"/>
      <c r="C38" s="6" t="s">
        <v>132</v>
      </c>
      <c r="D38" s="6" t="s">
        <v>495</v>
      </c>
      <c r="E38" t="s">
        <v>496</v>
      </c>
      <c r="F38" t="s">
        <v>489</v>
      </c>
      <c r="I38" s="3"/>
      <c r="J38" s="3"/>
      <c r="K38" s="3"/>
      <c r="L38" s="3"/>
      <c r="M38" s="3"/>
      <c r="N38" s="3"/>
      <c r="O38" s="3"/>
      <c r="P38" s="3"/>
      <c r="Q38" s="3"/>
      <c r="R38" s="3"/>
      <c r="S38" s="3"/>
      <c r="T38" s="3"/>
      <c r="U38" s="3"/>
      <c r="V38" s="3"/>
      <c r="W38" s="3"/>
      <c r="X38" s="3"/>
      <c r="Y38" s="3"/>
      <c r="Z38" s="3"/>
    </row>
    <row r="39" spans="1:26" ht="15" customHeight="1" x14ac:dyDescent="0.25">
      <c r="A39" s="1"/>
      <c r="B39" s="3"/>
      <c r="C39" s="13" t="s">
        <v>133</v>
      </c>
      <c r="D39" s="13" t="s">
        <v>497</v>
      </c>
      <c r="E39" s="21" t="s">
        <v>498</v>
      </c>
      <c r="F39" s="21" t="s">
        <v>484</v>
      </c>
      <c r="I39" s="3"/>
      <c r="J39" s="3"/>
      <c r="K39" s="3"/>
      <c r="L39" s="3"/>
      <c r="M39" s="3"/>
      <c r="N39" s="3"/>
      <c r="O39" s="3"/>
      <c r="P39" s="3"/>
      <c r="Q39" s="3"/>
      <c r="R39" s="3"/>
      <c r="S39" s="3"/>
      <c r="T39" s="3"/>
      <c r="U39" s="3"/>
      <c r="V39" s="3"/>
      <c r="W39" s="3"/>
      <c r="X39" s="3"/>
      <c r="Y39" s="3"/>
      <c r="Z39" s="3"/>
    </row>
    <row r="40" spans="1:26" ht="15" customHeight="1" x14ac:dyDescent="0.25">
      <c r="A40" s="1"/>
      <c r="B40" s="3"/>
      <c r="C40" s="22"/>
      <c r="D40" s="22"/>
      <c r="E40" s="22"/>
      <c r="F40" s="22"/>
      <c r="G40" s="3"/>
      <c r="I40" s="3"/>
      <c r="J40" s="3"/>
      <c r="K40" s="3"/>
      <c r="L40" s="3"/>
      <c r="M40" s="3"/>
      <c r="N40" s="3"/>
      <c r="O40" s="3"/>
      <c r="P40" s="3"/>
      <c r="Q40" s="3"/>
      <c r="R40" s="3"/>
      <c r="S40" s="3"/>
      <c r="T40" s="3"/>
      <c r="U40" s="3"/>
      <c r="V40" s="3"/>
      <c r="W40" s="3"/>
      <c r="X40" s="3"/>
      <c r="Y40" s="3"/>
      <c r="Z40" s="3"/>
    </row>
    <row r="41" spans="1:26" ht="15" customHeight="1" x14ac:dyDescent="0.25">
      <c r="A41" s="1"/>
      <c r="B41" s="3"/>
      <c r="F41" s="3"/>
      <c r="G41" s="3"/>
      <c r="I41" s="3"/>
      <c r="J41" s="3"/>
      <c r="K41" s="3"/>
      <c r="L41" s="3"/>
      <c r="M41" s="3"/>
      <c r="N41" s="3"/>
      <c r="O41" s="3"/>
      <c r="P41" s="3"/>
      <c r="Q41" s="3"/>
      <c r="R41" s="3"/>
      <c r="S41" s="3"/>
      <c r="T41" s="3"/>
      <c r="U41" s="3"/>
      <c r="V41" s="3"/>
      <c r="W41" s="3"/>
      <c r="X41" s="3"/>
      <c r="Y41" s="3"/>
      <c r="Z41" s="3"/>
    </row>
    <row r="42" spans="1:26" ht="15" customHeight="1" x14ac:dyDescent="0.25">
      <c r="A42" s="1"/>
      <c r="B42" s="3"/>
      <c r="F42" s="3"/>
      <c r="G42" s="3"/>
      <c r="I42" s="3"/>
      <c r="J42" s="3"/>
      <c r="K42" s="3"/>
      <c r="L42" s="3"/>
      <c r="M42" s="3"/>
      <c r="N42" s="3"/>
      <c r="O42" s="3"/>
      <c r="P42" s="3"/>
      <c r="Q42" s="3"/>
      <c r="R42" s="3"/>
      <c r="S42" s="3"/>
      <c r="T42" s="3"/>
      <c r="U42" s="3"/>
      <c r="V42" s="3"/>
      <c r="W42" s="3"/>
      <c r="X42" s="3"/>
      <c r="Y42" s="3"/>
      <c r="Z42" s="3"/>
    </row>
    <row r="43" spans="1:26" ht="15" customHeight="1" x14ac:dyDescent="0.25">
      <c r="A43" s="1"/>
      <c r="B43" s="3"/>
      <c r="F43" s="3"/>
      <c r="I43" s="3"/>
      <c r="J43" s="3"/>
      <c r="K43" s="3"/>
      <c r="L43" s="3"/>
      <c r="M43" s="3"/>
      <c r="N43" s="3"/>
      <c r="O43" s="3"/>
      <c r="P43" s="3"/>
      <c r="Q43" s="3"/>
      <c r="R43" s="3"/>
      <c r="S43" s="3"/>
      <c r="T43" s="3"/>
      <c r="U43" s="3"/>
      <c r="V43" s="3"/>
      <c r="W43" s="3"/>
      <c r="X43" s="3"/>
      <c r="Y43" s="3"/>
      <c r="Z43" s="3"/>
    </row>
    <row r="44" spans="1:26" ht="15" customHeight="1" x14ac:dyDescent="0.25">
      <c r="A44" s="1"/>
      <c r="B44" s="3"/>
      <c r="F44" s="3"/>
      <c r="I44" s="3"/>
      <c r="J44" s="3"/>
      <c r="K44" s="3"/>
      <c r="L44" s="3"/>
      <c r="M44" s="3"/>
      <c r="N44" s="3"/>
      <c r="O44" s="3"/>
      <c r="P44" s="3"/>
      <c r="Q44" s="3"/>
      <c r="R44" s="3"/>
      <c r="S44" s="3"/>
      <c r="T44" s="3"/>
      <c r="U44" s="3"/>
      <c r="V44" s="3"/>
      <c r="W44" s="3"/>
      <c r="X44" s="3"/>
      <c r="Y44" s="3"/>
      <c r="Z44" s="3"/>
    </row>
    <row r="45" spans="1:26" ht="15" customHeight="1" x14ac:dyDescent="0.25">
      <c r="A45" s="1"/>
      <c r="B45" s="3"/>
      <c r="F45" s="3"/>
      <c r="I45" s="3"/>
      <c r="J45" s="3"/>
      <c r="K45" s="3"/>
      <c r="L45" s="3"/>
      <c r="M45" s="3"/>
      <c r="N45" s="3"/>
      <c r="O45" s="3"/>
      <c r="P45" s="3"/>
      <c r="Q45" s="3"/>
      <c r="R45" s="3"/>
      <c r="S45" s="3"/>
      <c r="T45" s="3"/>
      <c r="U45" s="3"/>
      <c r="V45" s="3"/>
      <c r="W45" s="3"/>
      <c r="X45" s="3"/>
      <c r="Y45" s="3"/>
      <c r="Z45" s="3"/>
    </row>
    <row r="46" spans="1:26" ht="15" customHeight="1" x14ac:dyDescent="0.25">
      <c r="A46" s="1"/>
      <c r="B46" s="3"/>
      <c r="F46" s="3"/>
      <c r="I46" s="3"/>
      <c r="J46" s="3"/>
      <c r="K46" s="3"/>
      <c r="L46" s="3"/>
      <c r="M46" s="3"/>
      <c r="N46" s="3"/>
      <c r="O46" s="3"/>
      <c r="P46" s="3"/>
      <c r="Q46" s="3"/>
      <c r="R46" s="3"/>
      <c r="S46" s="3"/>
      <c r="T46" s="3"/>
      <c r="U46" s="3"/>
      <c r="V46" s="3"/>
      <c r="W46" s="3"/>
      <c r="X46" s="3"/>
      <c r="Y46" s="3"/>
      <c r="Z46" s="3"/>
    </row>
    <row r="47" spans="1:26" ht="15" customHeight="1" x14ac:dyDescent="0.25">
      <c r="A47" s="1"/>
      <c r="B47" s="3"/>
      <c r="F47" s="3"/>
      <c r="I47" s="3"/>
      <c r="J47" s="3"/>
      <c r="K47" s="3"/>
      <c r="L47" s="3"/>
      <c r="M47" s="3"/>
      <c r="N47" s="3"/>
      <c r="O47" s="3"/>
      <c r="P47" s="3"/>
      <c r="Q47" s="3"/>
      <c r="R47" s="3"/>
      <c r="S47" s="3"/>
      <c r="T47" s="3"/>
      <c r="U47" s="3"/>
      <c r="V47" s="3"/>
      <c r="W47" s="3"/>
      <c r="X47" s="3"/>
      <c r="Y47" s="3"/>
      <c r="Z47" s="3"/>
    </row>
    <row r="48" spans="1:26" ht="15" customHeight="1" x14ac:dyDescent="0.25">
      <c r="A48" s="1"/>
      <c r="B48" s="3"/>
      <c r="F48" s="3"/>
      <c r="I48" s="3"/>
      <c r="J48" s="3"/>
      <c r="K48" s="3"/>
      <c r="L48" s="3"/>
      <c r="M48" s="3"/>
      <c r="N48" s="3"/>
      <c r="O48" s="3"/>
      <c r="P48" s="3"/>
      <c r="Q48" s="3"/>
      <c r="R48" s="3"/>
      <c r="S48" s="3"/>
      <c r="T48" s="3"/>
      <c r="U48" s="3"/>
      <c r="V48" s="3"/>
      <c r="W48" s="3"/>
      <c r="X48" s="3"/>
      <c r="Y48" s="3"/>
      <c r="Z48" s="3"/>
    </row>
    <row r="49" spans="1:26" ht="15" customHeight="1" x14ac:dyDescent="0.25">
      <c r="A49" s="1" t="s">
        <v>134</v>
      </c>
      <c r="B49" s="3"/>
      <c r="F49" s="3"/>
      <c r="I49" s="3"/>
      <c r="J49" s="3"/>
      <c r="K49" s="3"/>
      <c r="L49" s="3"/>
      <c r="M49" s="3"/>
      <c r="N49" s="3"/>
      <c r="O49" s="3"/>
      <c r="P49" s="3"/>
      <c r="Q49" s="3"/>
      <c r="R49" s="3"/>
      <c r="S49" s="3"/>
      <c r="T49" s="3"/>
      <c r="U49" s="3"/>
      <c r="V49" s="3"/>
      <c r="W49" s="3"/>
      <c r="X49" s="3"/>
      <c r="Y49" s="3"/>
      <c r="Z49" s="3"/>
    </row>
    <row r="50" spans="1:26" ht="15" customHeight="1" x14ac:dyDescent="0.25">
      <c r="A50" s="1" t="s">
        <v>135</v>
      </c>
      <c r="B50" s="3"/>
      <c r="F50" s="3"/>
      <c r="I50" s="3"/>
      <c r="J50" s="3"/>
      <c r="K50" s="3"/>
      <c r="L50" s="3"/>
      <c r="M50" s="3"/>
      <c r="N50" s="3"/>
      <c r="O50" s="3"/>
      <c r="P50" s="3"/>
      <c r="Q50" s="3"/>
      <c r="R50" s="3"/>
      <c r="S50" s="3"/>
      <c r="T50" s="3"/>
      <c r="U50" s="3"/>
      <c r="V50" s="3"/>
      <c r="W50" s="3"/>
      <c r="X50" s="3"/>
      <c r="Y50" s="3"/>
      <c r="Z50" s="3"/>
    </row>
    <row r="51" spans="1:26" ht="15" customHeight="1" x14ac:dyDescent="0.25">
      <c r="A51" s="1" t="s">
        <v>136</v>
      </c>
      <c r="B51" s="3"/>
      <c r="F51" s="3"/>
      <c r="I51" s="3"/>
      <c r="J51" s="3"/>
      <c r="K51" s="3"/>
      <c r="L51" s="3"/>
      <c r="M51" s="3"/>
      <c r="N51" s="3"/>
      <c r="O51" s="3"/>
      <c r="P51" s="3"/>
      <c r="Q51" s="3"/>
      <c r="R51" s="3"/>
      <c r="S51" s="3"/>
      <c r="T51" s="3"/>
      <c r="U51" s="3"/>
      <c r="V51" s="3"/>
      <c r="W51" s="3"/>
      <c r="X51" s="3"/>
      <c r="Y51" s="3"/>
      <c r="Z51" s="3"/>
    </row>
    <row r="52" spans="1:26" ht="15" customHeight="1" x14ac:dyDescent="0.25">
      <c r="A52" s="1" t="s">
        <v>137</v>
      </c>
      <c r="B52" s="3"/>
      <c r="F52" s="3"/>
      <c r="I52" s="3"/>
      <c r="J52" s="3"/>
      <c r="K52" s="3"/>
      <c r="L52" s="3"/>
      <c r="M52" s="3"/>
      <c r="N52" s="3"/>
      <c r="O52" s="3"/>
      <c r="P52" s="3"/>
      <c r="Q52" s="3"/>
      <c r="R52" s="3"/>
      <c r="S52" s="3"/>
      <c r="T52" s="3"/>
      <c r="U52" s="3"/>
      <c r="V52" s="3"/>
      <c r="W52" s="3"/>
      <c r="X52" s="3"/>
      <c r="Y52" s="3"/>
      <c r="Z52" s="3"/>
    </row>
    <row r="53" spans="1:26" ht="15" customHeight="1" x14ac:dyDescent="0.25">
      <c r="A53" s="1" t="s">
        <v>138</v>
      </c>
      <c r="B53" s="3"/>
      <c r="F53" s="3"/>
      <c r="I53" s="3"/>
      <c r="J53" s="3"/>
      <c r="K53" s="3"/>
      <c r="L53" s="3"/>
      <c r="M53" s="3"/>
      <c r="N53" s="3"/>
      <c r="O53" s="3"/>
      <c r="P53" s="3"/>
      <c r="Q53" s="3"/>
      <c r="R53" s="3"/>
      <c r="S53" s="3"/>
      <c r="T53" s="3"/>
      <c r="U53" s="3"/>
      <c r="V53" s="3"/>
      <c r="W53" s="3"/>
      <c r="X53" s="3"/>
      <c r="Y53" s="3"/>
      <c r="Z53" s="3"/>
    </row>
    <row r="54" spans="1:26" ht="15" customHeight="1" x14ac:dyDescent="0.25">
      <c r="A54" s="1" t="s">
        <v>139</v>
      </c>
      <c r="B54" s="3"/>
      <c r="F54" s="3"/>
      <c r="I54" s="3"/>
      <c r="J54" s="3"/>
      <c r="K54" s="3"/>
      <c r="L54" s="3"/>
      <c r="M54" s="3"/>
      <c r="N54" s="3"/>
      <c r="O54" s="3"/>
      <c r="P54" s="3"/>
      <c r="Q54" s="3"/>
      <c r="R54" s="3"/>
      <c r="S54" s="3"/>
      <c r="T54" s="3"/>
      <c r="U54" s="3"/>
      <c r="V54" s="3"/>
      <c r="W54" s="3"/>
      <c r="X54" s="3"/>
      <c r="Y54" s="3"/>
      <c r="Z54" s="3"/>
    </row>
    <row r="55" spans="1:26" ht="15" customHeight="1" x14ac:dyDescent="0.25">
      <c r="A55" s="1" t="s">
        <v>140</v>
      </c>
      <c r="B55" s="3"/>
      <c r="C55" s="5" t="s">
        <v>141</v>
      </c>
      <c r="D55" s="3"/>
      <c r="E55" s="5" t="s">
        <v>105</v>
      </c>
      <c r="F55" s="5" t="s">
        <v>142</v>
      </c>
      <c r="G55" s="5" t="s">
        <v>143</v>
      </c>
      <c r="H55" s="5" t="s">
        <v>106</v>
      </c>
      <c r="I55" s="3"/>
      <c r="J55" s="3"/>
      <c r="K55" s="3"/>
      <c r="L55" s="3"/>
      <c r="M55" s="3"/>
      <c r="N55" s="3"/>
      <c r="O55" s="3"/>
      <c r="P55" s="3"/>
      <c r="Q55" s="3"/>
      <c r="R55" s="3"/>
      <c r="S55" s="3"/>
      <c r="T55" s="3"/>
      <c r="U55" s="3"/>
      <c r="V55" s="3"/>
      <c r="W55" s="3"/>
      <c r="X55" s="3"/>
      <c r="Y55" s="3"/>
      <c r="Z55" s="3"/>
    </row>
    <row r="56" spans="1:26" ht="15" customHeight="1" x14ac:dyDescent="0.25">
      <c r="A56" s="1" t="s">
        <v>144</v>
      </c>
      <c r="B56" s="3"/>
      <c r="C56" s="6" t="s">
        <v>145</v>
      </c>
      <c r="D56" s="3"/>
      <c r="E56" s="9" t="str">
        <f>LEFT(C56,FIND(" ",C56)-1)</f>
        <v>Yvonne</v>
      </c>
      <c r="F56" s="9" t="str">
        <f>RIGHT(C56,LEN(C56)-FIND(" ",C56))</f>
        <v>Francis McKay</v>
      </c>
      <c r="G56" s="9" t="str">
        <f>LEFT(F56,FIND(" ",F56)-1)</f>
        <v>Francis</v>
      </c>
      <c r="H56" s="9" t="str">
        <f>RIGHT(F56,LEN(F56)-FIND(" ",F56))</f>
        <v>McKay</v>
      </c>
      <c r="I56" s="3"/>
      <c r="J56" s="3"/>
      <c r="K56" s="3"/>
      <c r="L56" s="3"/>
      <c r="M56" s="3"/>
      <c r="N56" s="3"/>
      <c r="O56" s="3"/>
      <c r="P56" s="3"/>
      <c r="Q56" s="3"/>
      <c r="R56" s="3"/>
      <c r="S56" s="3"/>
      <c r="T56" s="3"/>
      <c r="U56" s="3"/>
      <c r="V56" s="3"/>
      <c r="W56" s="3"/>
      <c r="X56" s="3"/>
      <c r="Y56" s="3"/>
      <c r="Z56" s="3"/>
    </row>
    <row r="57" spans="1:26" ht="15" customHeight="1" x14ac:dyDescent="0.25">
      <c r="A57" s="1" t="s">
        <v>146</v>
      </c>
      <c r="B57" s="3"/>
      <c r="F57" s="3"/>
      <c r="I57" s="3"/>
      <c r="J57" s="3"/>
      <c r="K57" s="3"/>
      <c r="L57" s="3"/>
      <c r="M57" s="3"/>
      <c r="N57" s="3"/>
      <c r="O57" s="3"/>
      <c r="P57" s="3"/>
      <c r="Q57" s="3"/>
      <c r="R57" s="3"/>
      <c r="S57" s="3"/>
      <c r="T57" s="3"/>
      <c r="U57" s="3"/>
      <c r="V57" s="3"/>
      <c r="W57" s="3"/>
      <c r="X57" s="3"/>
      <c r="Y57" s="3"/>
      <c r="Z57" s="3"/>
    </row>
    <row r="58" spans="1:26" ht="15" customHeight="1" x14ac:dyDescent="0.25">
      <c r="A58" s="1" t="s">
        <v>147</v>
      </c>
      <c r="B58" s="3"/>
      <c r="F58" s="3"/>
      <c r="I58" s="3"/>
      <c r="J58" s="3"/>
      <c r="K58" s="3"/>
      <c r="L58" s="3"/>
      <c r="M58" s="3"/>
      <c r="N58" s="3"/>
      <c r="O58" s="3"/>
      <c r="P58" s="3"/>
      <c r="Q58" s="3"/>
      <c r="R58" s="3"/>
      <c r="S58" s="3"/>
      <c r="T58" s="3"/>
      <c r="U58" s="3"/>
      <c r="V58" s="3"/>
      <c r="W58" s="3"/>
      <c r="X58" s="3"/>
      <c r="Y58" s="3"/>
      <c r="Z58" s="3"/>
    </row>
    <row r="59" spans="1:26" ht="15" customHeight="1" x14ac:dyDescent="0.25">
      <c r="A59" s="1" t="s">
        <v>148</v>
      </c>
      <c r="B59" s="3"/>
      <c r="C59" s="3"/>
      <c r="F59" s="3"/>
      <c r="I59" s="3"/>
      <c r="J59" s="3"/>
      <c r="K59" s="3"/>
      <c r="L59" s="3"/>
      <c r="M59" s="3"/>
      <c r="N59" s="3"/>
      <c r="O59" s="3"/>
      <c r="P59" s="3"/>
      <c r="Q59" s="3"/>
      <c r="R59" s="3"/>
      <c r="S59" s="3"/>
      <c r="T59" s="3"/>
      <c r="U59" s="3"/>
      <c r="V59" s="3"/>
      <c r="W59" s="3"/>
      <c r="X59" s="3"/>
      <c r="Y59" s="3"/>
      <c r="Z59" s="3"/>
    </row>
    <row r="60" spans="1:26" ht="15" customHeight="1" x14ac:dyDescent="0.25">
      <c r="A60" s="1" t="s">
        <v>149</v>
      </c>
      <c r="B60" s="3"/>
      <c r="C60" s="3"/>
      <c r="F60" s="3"/>
      <c r="I60" s="3"/>
      <c r="J60" s="3"/>
      <c r="K60" s="3"/>
      <c r="L60" s="3"/>
      <c r="M60" s="3"/>
      <c r="N60" s="3"/>
      <c r="O60" s="3"/>
      <c r="P60" s="3"/>
      <c r="Q60" s="3"/>
      <c r="R60" s="3"/>
      <c r="S60" s="3"/>
      <c r="T60" s="3"/>
      <c r="U60" s="3"/>
      <c r="V60" s="3"/>
      <c r="W60" s="3"/>
      <c r="X60" s="3"/>
      <c r="Y60" s="3"/>
      <c r="Z60" s="3"/>
    </row>
    <row r="61" spans="1:26" ht="15" customHeight="1" x14ac:dyDescent="0.25">
      <c r="A61" s="1" t="s">
        <v>150</v>
      </c>
      <c r="B61" s="3"/>
      <c r="F61" s="3"/>
      <c r="I61" s="3"/>
      <c r="J61" s="3"/>
      <c r="K61" s="3"/>
      <c r="L61" s="3"/>
      <c r="M61" s="3"/>
      <c r="N61" s="3"/>
      <c r="O61" s="3"/>
      <c r="P61" s="3"/>
      <c r="Q61" s="3"/>
      <c r="R61" s="3"/>
      <c r="S61" s="3"/>
      <c r="T61" s="3"/>
      <c r="U61" s="3"/>
      <c r="V61" s="3"/>
      <c r="W61" s="3"/>
      <c r="X61" s="3"/>
      <c r="Y61" s="3"/>
      <c r="Z61" s="3"/>
    </row>
    <row r="62" spans="1:26" ht="15" customHeight="1" x14ac:dyDescent="0.25">
      <c r="A62" s="1" t="s">
        <v>151</v>
      </c>
      <c r="B62" s="3"/>
      <c r="C62" s="3"/>
      <c r="F62" s="3"/>
      <c r="I62" s="3"/>
      <c r="J62" s="3"/>
      <c r="K62" s="3"/>
      <c r="L62" s="3"/>
      <c r="M62" s="3"/>
      <c r="N62" s="3"/>
      <c r="O62" s="3"/>
      <c r="P62" s="3"/>
      <c r="Q62" s="3"/>
      <c r="R62" s="3"/>
      <c r="S62" s="3"/>
      <c r="T62" s="3"/>
      <c r="U62" s="3"/>
      <c r="V62" s="3"/>
      <c r="W62" s="3"/>
      <c r="X62" s="3"/>
      <c r="Y62" s="3"/>
      <c r="Z62" s="3"/>
    </row>
    <row r="63" spans="1:26" ht="15" customHeight="1" x14ac:dyDescent="0.25">
      <c r="A63" s="1" t="s">
        <v>152</v>
      </c>
      <c r="B63" s="3"/>
      <c r="C63" s="3"/>
      <c r="F63" s="3"/>
      <c r="I63" s="3"/>
      <c r="J63" s="3"/>
      <c r="K63" s="3"/>
      <c r="L63" s="3"/>
      <c r="M63" s="3"/>
      <c r="N63" s="3"/>
      <c r="O63" s="3"/>
      <c r="P63" s="3"/>
      <c r="Q63" s="3"/>
      <c r="R63" s="3"/>
      <c r="S63" s="3"/>
      <c r="T63" s="3"/>
      <c r="U63" s="3"/>
      <c r="V63" s="3"/>
      <c r="W63" s="3"/>
      <c r="X63" s="3"/>
      <c r="Y63" s="3"/>
      <c r="Z63" s="3"/>
    </row>
    <row r="64" spans="1:26" ht="15" customHeight="1" x14ac:dyDescent="0.25">
      <c r="A64" s="1"/>
      <c r="B64" s="3"/>
      <c r="F64" s="3"/>
      <c r="I64" s="3"/>
      <c r="J64" s="3"/>
      <c r="K64" s="3"/>
      <c r="L64" s="3"/>
      <c r="M64" s="3"/>
      <c r="N64" s="3"/>
      <c r="O64" s="3"/>
      <c r="P64" s="3"/>
      <c r="Q64" s="3"/>
      <c r="R64" s="3"/>
      <c r="S64" s="3"/>
      <c r="T64" s="3"/>
      <c r="U64" s="3"/>
      <c r="V64" s="3"/>
      <c r="W64" s="3"/>
      <c r="X64" s="3"/>
      <c r="Y64" s="3"/>
      <c r="Z64" s="3"/>
    </row>
    <row r="65" spans="1:26" ht="15" customHeight="1" x14ac:dyDescent="0.25">
      <c r="A65" s="1"/>
      <c r="B65" s="3"/>
      <c r="C65" s="3"/>
      <c r="F65" s="3"/>
      <c r="I65" s="3"/>
      <c r="J65" s="3"/>
      <c r="K65" s="3"/>
      <c r="L65" s="3"/>
      <c r="M65" s="3"/>
      <c r="N65" s="3"/>
      <c r="O65" s="3"/>
      <c r="P65" s="3"/>
      <c r="Q65" s="3"/>
      <c r="R65" s="3"/>
      <c r="S65" s="3"/>
      <c r="T65" s="3"/>
      <c r="U65" s="3"/>
      <c r="V65" s="3"/>
      <c r="W65" s="3"/>
      <c r="X65" s="3"/>
      <c r="Y65" s="3"/>
      <c r="Z65" s="3"/>
    </row>
    <row r="66" spans="1:26" ht="15" customHeight="1" x14ac:dyDescent="0.25">
      <c r="A66" s="1"/>
      <c r="B66" s="3"/>
      <c r="C66" s="3"/>
      <c r="F66" s="3"/>
      <c r="I66" s="3"/>
      <c r="J66" s="3"/>
      <c r="K66" s="3"/>
      <c r="L66" s="3"/>
      <c r="M66" s="3"/>
      <c r="N66" s="3"/>
      <c r="O66" s="3"/>
      <c r="P66" s="3"/>
      <c r="Q66" s="3"/>
      <c r="R66" s="3"/>
      <c r="S66" s="3"/>
      <c r="T66" s="3"/>
      <c r="U66" s="3"/>
      <c r="V66" s="3"/>
      <c r="W66" s="3"/>
      <c r="X66" s="3"/>
      <c r="Y66" s="3"/>
      <c r="Z66" s="3"/>
    </row>
    <row r="67" spans="1:26" ht="15" customHeight="1" x14ac:dyDescent="0.25">
      <c r="A67" s="1"/>
      <c r="B67" s="3"/>
      <c r="F67" s="3"/>
      <c r="I67" s="3"/>
      <c r="J67" s="3"/>
      <c r="K67" s="3"/>
      <c r="L67" s="3"/>
      <c r="M67" s="3"/>
      <c r="N67" s="3"/>
      <c r="O67" s="3"/>
      <c r="P67" s="3"/>
      <c r="Q67" s="3"/>
      <c r="R67" s="3"/>
      <c r="S67" s="3"/>
      <c r="T67" s="3"/>
      <c r="U67" s="3"/>
      <c r="V67" s="3"/>
      <c r="W67" s="3"/>
      <c r="X67" s="3"/>
      <c r="Y67" s="3"/>
      <c r="Z67" s="3"/>
    </row>
    <row r="68" spans="1:26" ht="15" customHeight="1" x14ac:dyDescent="0.25">
      <c r="A68" s="1"/>
      <c r="B68" s="3"/>
      <c r="C68" s="3"/>
      <c r="F68" s="3"/>
      <c r="I68" s="3"/>
      <c r="J68" s="3"/>
      <c r="K68" s="3"/>
      <c r="L68" s="3"/>
      <c r="M68" s="3"/>
      <c r="N68" s="3"/>
      <c r="O68" s="3"/>
      <c r="P68" s="3"/>
      <c r="Q68" s="3"/>
      <c r="R68" s="3"/>
      <c r="S68" s="3"/>
      <c r="T68" s="3"/>
      <c r="U68" s="3"/>
      <c r="V68" s="3"/>
      <c r="W68" s="3"/>
      <c r="X68" s="3"/>
      <c r="Y68" s="3"/>
      <c r="Z68" s="3"/>
    </row>
    <row r="69" spans="1:26" ht="15" customHeight="1" x14ac:dyDescent="0.25">
      <c r="A69" s="1"/>
      <c r="B69" s="3"/>
      <c r="C69" s="3"/>
      <c r="F69" s="3"/>
      <c r="G69" s="3"/>
      <c r="I69" s="3"/>
      <c r="J69" s="3"/>
      <c r="K69" s="3"/>
      <c r="L69" s="3"/>
      <c r="M69" s="3"/>
      <c r="N69" s="3"/>
      <c r="O69" s="3"/>
      <c r="P69" s="3"/>
      <c r="Q69" s="3"/>
      <c r="R69" s="3"/>
      <c r="S69" s="3"/>
      <c r="T69" s="3"/>
      <c r="U69" s="3"/>
      <c r="V69" s="3"/>
      <c r="W69" s="3"/>
      <c r="X69" s="3"/>
      <c r="Y69" s="3"/>
      <c r="Z69" s="3"/>
    </row>
    <row r="70" spans="1:26" ht="15" customHeight="1" x14ac:dyDescent="0.25">
      <c r="A70" s="1"/>
      <c r="B70" s="3"/>
      <c r="F70" s="3"/>
      <c r="G70" s="3"/>
      <c r="I70" s="3"/>
      <c r="J70" s="3"/>
      <c r="K70" s="3"/>
      <c r="L70" s="3"/>
      <c r="M70" s="3"/>
      <c r="N70" s="3"/>
      <c r="O70" s="3"/>
      <c r="P70" s="3"/>
      <c r="Q70" s="3"/>
      <c r="R70" s="3"/>
      <c r="S70" s="3"/>
      <c r="T70" s="3"/>
      <c r="U70" s="3"/>
      <c r="V70" s="3"/>
      <c r="W70" s="3"/>
      <c r="X70" s="3"/>
      <c r="Y70" s="3"/>
      <c r="Z70" s="3"/>
    </row>
    <row r="71" spans="1:26" ht="15" customHeight="1" x14ac:dyDescent="0.25">
      <c r="A71" s="1"/>
      <c r="B71" s="3"/>
      <c r="F71" s="3"/>
      <c r="G71" s="3"/>
      <c r="I71" s="3"/>
      <c r="J71" s="3"/>
      <c r="K71" s="3"/>
      <c r="L71" s="3"/>
      <c r="M71" s="3"/>
      <c r="N71" s="3"/>
      <c r="O71" s="3"/>
      <c r="P71" s="3"/>
      <c r="Q71" s="3"/>
      <c r="R71" s="3"/>
      <c r="S71" s="3"/>
      <c r="T71" s="3"/>
      <c r="U71" s="3"/>
      <c r="V71" s="3"/>
      <c r="W71" s="3"/>
      <c r="X71" s="3"/>
      <c r="Y71" s="3"/>
      <c r="Z71" s="3"/>
    </row>
    <row r="72" spans="1:26" ht="15" customHeight="1" x14ac:dyDescent="0.25">
      <c r="A72" s="1"/>
      <c r="B72" s="3"/>
      <c r="F72" s="3"/>
      <c r="G72" s="3"/>
      <c r="I72" s="3"/>
      <c r="J72" s="3"/>
      <c r="K72" s="3"/>
      <c r="L72" s="3"/>
      <c r="M72" s="3"/>
      <c r="N72" s="3"/>
      <c r="O72" s="3"/>
      <c r="P72" s="3"/>
      <c r="Q72" s="3"/>
      <c r="R72" s="3"/>
      <c r="S72" s="3"/>
      <c r="T72" s="3"/>
      <c r="U72" s="3"/>
      <c r="V72" s="3"/>
      <c r="W72" s="3"/>
      <c r="X72" s="3"/>
      <c r="Y72" s="3"/>
      <c r="Z72" s="3"/>
    </row>
    <row r="73" spans="1:26" ht="15" customHeight="1" x14ac:dyDescent="0.25">
      <c r="A73" s="1"/>
      <c r="B73" s="3"/>
      <c r="F73" s="3"/>
      <c r="G73" s="3"/>
      <c r="I73" s="3"/>
      <c r="J73" s="3"/>
      <c r="K73" s="3"/>
      <c r="L73" s="3"/>
      <c r="M73" s="3"/>
      <c r="N73" s="3"/>
      <c r="O73" s="3"/>
      <c r="P73" s="3"/>
      <c r="Q73" s="3"/>
      <c r="R73" s="3"/>
      <c r="S73" s="3"/>
      <c r="T73" s="3"/>
      <c r="U73" s="3"/>
      <c r="V73" s="3"/>
      <c r="W73" s="3"/>
      <c r="X73" s="3"/>
      <c r="Y73" s="3"/>
      <c r="Z73" s="3"/>
    </row>
    <row r="74" spans="1:26" ht="15" customHeight="1" x14ac:dyDescent="0.25">
      <c r="A74" s="1"/>
      <c r="B74" s="3"/>
      <c r="F74" s="3"/>
      <c r="G74" s="3"/>
      <c r="I74" s="3"/>
      <c r="J74" s="3"/>
      <c r="K74" s="3"/>
      <c r="L74" s="3"/>
      <c r="M74" s="3"/>
      <c r="N74" s="3"/>
      <c r="O74" s="3"/>
      <c r="P74" s="3"/>
      <c r="Q74" s="3"/>
      <c r="R74" s="3"/>
      <c r="S74" s="3"/>
      <c r="T74" s="3"/>
      <c r="U74" s="3"/>
      <c r="V74" s="3"/>
      <c r="W74" s="3"/>
      <c r="X74" s="3"/>
      <c r="Y74" s="3"/>
      <c r="Z74" s="3"/>
    </row>
    <row r="75" spans="1:26" ht="15" customHeight="1" x14ac:dyDescent="0.25">
      <c r="A75" s="1"/>
      <c r="B75" s="3"/>
      <c r="F75" s="3"/>
      <c r="G75" s="3"/>
      <c r="I75" s="3"/>
      <c r="J75" s="3"/>
      <c r="K75" s="3"/>
      <c r="L75" s="3"/>
      <c r="M75" s="3"/>
      <c r="N75" s="3"/>
      <c r="O75" s="3"/>
      <c r="P75" s="3"/>
      <c r="Q75" s="3"/>
      <c r="R75" s="3"/>
      <c r="S75" s="3"/>
      <c r="T75" s="3"/>
      <c r="U75" s="3"/>
      <c r="V75" s="3"/>
      <c r="W75" s="3"/>
      <c r="X75" s="3"/>
      <c r="Y75" s="3"/>
      <c r="Z75" s="3"/>
    </row>
    <row r="76" spans="1:26" ht="15" customHeight="1" x14ac:dyDescent="0.25">
      <c r="A76" s="1"/>
      <c r="B76" s="3"/>
      <c r="F76" s="3"/>
      <c r="G76" s="3"/>
      <c r="I76" s="3"/>
      <c r="J76" s="3"/>
      <c r="K76" s="3"/>
      <c r="L76" s="3"/>
      <c r="M76" s="3"/>
      <c r="N76" s="3"/>
      <c r="O76" s="3"/>
      <c r="P76" s="3"/>
      <c r="Q76" s="3"/>
      <c r="R76" s="3"/>
      <c r="S76" s="3"/>
      <c r="T76" s="3"/>
      <c r="U76" s="3"/>
      <c r="V76" s="3"/>
      <c r="W76" s="3"/>
      <c r="X76" s="3"/>
      <c r="Y76" s="3"/>
      <c r="Z76" s="3"/>
    </row>
    <row r="77" spans="1:26" ht="15" customHeight="1" x14ac:dyDescent="0.25">
      <c r="A77" s="1"/>
      <c r="B77" s="3"/>
      <c r="F77" s="3"/>
      <c r="G77" s="3"/>
      <c r="I77" s="3"/>
      <c r="J77" s="3"/>
      <c r="K77" s="3"/>
      <c r="L77" s="3"/>
      <c r="M77" s="3"/>
      <c r="N77" s="3"/>
      <c r="O77" s="3"/>
      <c r="P77" s="3"/>
      <c r="Q77" s="3"/>
      <c r="R77" s="3"/>
      <c r="S77" s="3"/>
      <c r="T77" s="3"/>
      <c r="U77" s="3"/>
      <c r="V77" s="3"/>
      <c r="W77" s="3"/>
      <c r="X77" s="3"/>
      <c r="Y77" s="3"/>
      <c r="Z77" s="3"/>
    </row>
    <row r="78" spans="1:26" ht="15" customHeight="1" x14ac:dyDescent="0.25">
      <c r="A78" s="1"/>
      <c r="B78" s="3"/>
      <c r="F78" s="3"/>
      <c r="G78" s="3"/>
      <c r="I78" s="3"/>
      <c r="J78" s="3"/>
      <c r="K78" s="3"/>
      <c r="L78" s="3"/>
      <c r="M78" s="3"/>
      <c r="N78" s="3"/>
      <c r="O78" s="3"/>
      <c r="P78" s="3"/>
      <c r="Q78" s="3"/>
      <c r="R78" s="3"/>
      <c r="S78" s="3"/>
      <c r="T78" s="3"/>
      <c r="U78" s="3"/>
      <c r="V78" s="3"/>
      <c r="W78" s="3"/>
      <c r="X78" s="3"/>
      <c r="Y78" s="3"/>
      <c r="Z78" s="3"/>
    </row>
    <row r="79" spans="1:26" ht="15" customHeight="1" x14ac:dyDescent="0.25">
      <c r="A79" s="1" t="s">
        <v>62</v>
      </c>
      <c r="B79" s="3"/>
      <c r="F79" s="3"/>
      <c r="G79" s="3"/>
      <c r="I79" s="3"/>
      <c r="J79" s="3"/>
      <c r="K79" s="3"/>
      <c r="L79" s="3"/>
      <c r="M79" s="3"/>
      <c r="N79" s="3"/>
      <c r="O79" s="3"/>
      <c r="P79" s="3"/>
      <c r="Q79" s="3"/>
      <c r="R79" s="3"/>
      <c r="S79" s="3"/>
      <c r="T79" s="3"/>
      <c r="U79" s="3"/>
      <c r="V79" s="3"/>
      <c r="W79" s="3"/>
      <c r="X79" s="3"/>
      <c r="Y79" s="3"/>
      <c r="Z79" s="3"/>
    </row>
    <row r="80" spans="1:26" ht="15" customHeight="1" x14ac:dyDescent="0.25">
      <c r="A80" s="11" t="s">
        <v>153</v>
      </c>
      <c r="B80" s="3"/>
      <c r="F80" s="3"/>
      <c r="G80" s="3"/>
      <c r="I80" s="3"/>
      <c r="J80" s="3"/>
      <c r="K80" s="3"/>
      <c r="L80" s="3"/>
      <c r="M80" s="3"/>
      <c r="N80" s="3"/>
      <c r="O80" s="3"/>
      <c r="P80" s="3"/>
      <c r="Q80" s="3"/>
      <c r="R80" s="3"/>
      <c r="S80" s="3"/>
      <c r="T80" s="3"/>
      <c r="U80" s="3"/>
      <c r="V80" s="3"/>
      <c r="W80" s="3"/>
      <c r="X80" s="3"/>
      <c r="Y80" s="3"/>
      <c r="Z80" s="3"/>
    </row>
    <row r="81" spans="1:26" ht="15" customHeight="1" x14ac:dyDescent="0.25">
      <c r="A81" s="11" t="s">
        <v>154</v>
      </c>
      <c r="B81" s="3"/>
      <c r="F81" s="3"/>
      <c r="G81" s="3"/>
      <c r="I81" s="3"/>
      <c r="J81" s="3"/>
      <c r="K81" s="3"/>
      <c r="L81" s="3"/>
      <c r="M81" s="3"/>
      <c r="N81" s="3"/>
      <c r="O81" s="3"/>
      <c r="P81" s="3"/>
      <c r="Q81" s="3"/>
      <c r="R81" s="3"/>
      <c r="S81" s="3"/>
      <c r="T81" s="3"/>
      <c r="U81" s="3"/>
      <c r="V81" s="3"/>
      <c r="W81" s="3"/>
      <c r="X81" s="3"/>
      <c r="Y81" s="3"/>
      <c r="Z81" s="3"/>
    </row>
    <row r="82" spans="1:26" ht="15" customHeight="1" x14ac:dyDescent="0.25">
      <c r="A82" s="11" t="s">
        <v>155</v>
      </c>
      <c r="B82" s="3"/>
      <c r="F82" s="3"/>
      <c r="G82" s="3"/>
      <c r="I82" s="3"/>
      <c r="J82" s="3"/>
      <c r="K82" s="3"/>
      <c r="L82" s="3"/>
      <c r="M82" s="3"/>
      <c r="N82" s="3"/>
      <c r="O82" s="3"/>
      <c r="P82" s="3"/>
      <c r="Q82" s="3"/>
      <c r="R82" s="3"/>
      <c r="S82" s="3"/>
      <c r="T82" s="3"/>
      <c r="U82" s="3"/>
      <c r="V82" s="3"/>
      <c r="W82" s="3"/>
      <c r="X82" s="3"/>
      <c r="Y82" s="3"/>
      <c r="Z82" s="3"/>
    </row>
    <row r="83" spans="1:26" ht="15" customHeight="1" x14ac:dyDescent="0.25">
      <c r="A83" s="11" t="s">
        <v>156</v>
      </c>
      <c r="B83" s="3"/>
      <c r="F83" s="3"/>
      <c r="G83" s="3"/>
      <c r="I83" s="3"/>
      <c r="J83" s="3"/>
      <c r="K83" s="3"/>
      <c r="L83" s="3"/>
      <c r="M83" s="3"/>
      <c r="N83" s="3"/>
      <c r="O83" s="3"/>
      <c r="P83" s="3"/>
      <c r="Q83" s="3"/>
      <c r="R83" s="3"/>
      <c r="S83" s="3"/>
      <c r="T83" s="3"/>
      <c r="U83" s="3"/>
      <c r="V83" s="3"/>
      <c r="W83" s="3"/>
      <c r="X83" s="3"/>
      <c r="Y83" s="3"/>
      <c r="Z83" s="3"/>
    </row>
    <row r="84" spans="1:26" ht="15" customHeight="1" x14ac:dyDescent="0.25">
      <c r="A84" s="11" t="s">
        <v>157</v>
      </c>
      <c r="B84" s="3"/>
      <c r="F84" s="3"/>
      <c r="G84" s="3"/>
      <c r="I84" s="3"/>
      <c r="J84" s="3"/>
      <c r="K84" s="3"/>
      <c r="L84" s="3"/>
      <c r="M84" s="3"/>
      <c r="N84" s="3"/>
      <c r="O84" s="3"/>
      <c r="P84" s="3"/>
      <c r="Q84" s="3"/>
      <c r="R84" s="3"/>
      <c r="S84" s="3"/>
      <c r="T84" s="3"/>
      <c r="U84" s="3"/>
      <c r="V84" s="3"/>
      <c r="W84" s="3"/>
      <c r="X84" s="3"/>
      <c r="Y84" s="3"/>
      <c r="Z84" s="3"/>
    </row>
    <row r="85" spans="1:26" ht="15" customHeight="1" x14ac:dyDescent="0.25">
      <c r="A85" s="11" t="s">
        <v>158</v>
      </c>
      <c r="B85" s="3"/>
      <c r="F85" s="3"/>
      <c r="G85" s="3"/>
      <c r="I85" s="3"/>
      <c r="J85" s="3"/>
      <c r="K85" s="3"/>
      <c r="L85" s="3"/>
      <c r="M85" s="3"/>
      <c r="N85" s="3"/>
      <c r="O85" s="3"/>
      <c r="P85" s="3"/>
      <c r="Q85" s="3"/>
      <c r="R85" s="3"/>
      <c r="S85" s="3"/>
      <c r="T85" s="3"/>
      <c r="U85" s="3"/>
      <c r="V85" s="3"/>
      <c r="W85" s="3"/>
      <c r="X85" s="3"/>
      <c r="Y85" s="3"/>
      <c r="Z85" s="3"/>
    </row>
    <row r="86" spans="1:26" ht="15" customHeight="1" x14ac:dyDescent="0.25">
      <c r="A86" s="1" t="s">
        <v>67</v>
      </c>
      <c r="B86" s="3"/>
      <c r="F86" s="3"/>
      <c r="G86" s="3"/>
      <c r="I86" s="3"/>
      <c r="J86" s="3"/>
      <c r="K86" s="3"/>
      <c r="L86" s="3"/>
      <c r="M86" s="3"/>
      <c r="N86" s="3"/>
      <c r="O86" s="3"/>
      <c r="P86" s="3"/>
      <c r="Q86" s="3"/>
      <c r="R86" s="3"/>
      <c r="S86" s="3"/>
      <c r="T86" s="3"/>
      <c r="U86" s="3"/>
      <c r="V86" s="3"/>
      <c r="W86" s="3"/>
      <c r="X86" s="3"/>
      <c r="Y86" s="3"/>
      <c r="Z86" s="3"/>
    </row>
    <row r="87" spans="1:26" ht="15.75" customHeight="1" x14ac:dyDescent="0.25">
      <c r="A87" s="1"/>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x14ac:dyDescent="0.25">
      <c r="A88" s="1"/>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x14ac:dyDescent="0.25">
      <c r="A89" s="1"/>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x14ac:dyDescent="0.25">
      <c r="A90" s="1"/>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x14ac:dyDescent="0.25">
      <c r="A91" s="1"/>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x14ac:dyDescent="0.25">
      <c r="A92" s="1"/>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x14ac:dyDescent="0.25">
      <c r="A93" s="1"/>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x14ac:dyDescent="0.25">
      <c r="A94" s="1"/>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x14ac:dyDescent="0.25">
      <c r="A95" s="1"/>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x14ac:dyDescent="0.25">
      <c r="A96" s="1"/>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x14ac:dyDescent="0.25">
      <c r="A97" s="1"/>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x14ac:dyDescent="0.25">
      <c r="A98" s="1"/>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x14ac:dyDescent="0.25">
      <c r="A99" s="1"/>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x14ac:dyDescent="0.25">
      <c r="A100" s="1"/>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x14ac:dyDescent="0.25">
      <c r="A101" s="1"/>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x14ac:dyDescent="0.25">
      <c r="A102" s="1"/>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x14ac:dyDescent="0.25">
      <c r="A103" s="1"/>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x14ac:dyDescent="0.25">
      <c r="A104" s="1"/>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x14ac:dyDescent="0.25">
      <c r="A105" s="1"/>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x14ac:dyDescent="0.25">
      <c r="A106" s="1"/>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x14ac:dyDescent="0.25">
      <c r="A107" s="1"/>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x14ac:dyDescent="0.25">
      <c r="A108" s="1"/>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x14ac:dyDescent="0.25">
      <c r="A109" s="1"/>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x14ac:dyDescent="0.25">
      <c r="A110" s="1"/>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x14ac:dyDescent="0.25">
      <c r="A111" s="1"/>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x14ac:dyDescent="0.25">
      <c r="A112" s="1"/>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x14ac:dyDescent="0.25">
      <c r="A113" s="1"/>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x14ac:dyDescent="0.25">
      <c r="A114" s="1"/>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x14ac:dyDescent="0.25">
      <c r="A115" s="1"/>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x14ac:dyDescent="0.25">
      <c r="A116" s="1"/>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x14ac:dyDescent="0.25">
      <c r="A117" s="1"/>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x14ac:dyDescent="0.25">
      <c r="A118" s="1"/>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x14ac:dyDescent="0.25">
      <c r="A119" s="1"/>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x14ac:dyDescent="0.25">
      <c r="A120" s="1"/>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x14ac:dyDescent="0.25">
      <c r="A121" s="1"/>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x14ac:dyDescent="0.25">
      <c r="A122" s="1"/>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x14ac:dyDescent="0.25">
      <c r="A123" s="1"/>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x14ac:dyDescent="0.25">
      <c r="A124" s="1"/>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x14ac:dyDescent="0.25">
      <c r="A125" s="1"/>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x14ac:dyDescent="0.25">
      <c r="A126" s="1"/>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x14ac:dyDescent="0.25">
      <c r="A127" s="1"/>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x14ac:dyDescent="0.25">
      <c r="A128" s="1"/>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x14ac:dyDescent="0.25">
      <c r="A129" s="1"/>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x14ac:dyDescent="0.25">
      <c r="A130" s="1"/>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x14ac:dyDescent="0.25">
      <c r="A131" s="1"/>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x14ac:dyDescent="0.25">
      <c r="A132" s="1"/>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x14ac:dyDescent="0.25">
      <c r="A133" s="1"/>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x14ac:dyDescent="0.25">
      <c r="A134" s="1"/>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x14ac:dyDescent="0.25">
      <c r="A135" s="1"/>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x14ac:dyDescent="0.25">
      <c r="A136" s="1"/>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x14ac:dyDescent="0.25">
      <c r="A137" s="1"/>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x14ac:dyDescent="0.25">
      <c r="A138" s="1"/>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x14ac:dyDescent="0.25">
      <c r="A139" s="1"/>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x14ac:dyDescent="0.25">
      <c r="A140" s="1"/>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x14ac:dyDescent="0.25">
      <c r="A141" s="1"/>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x14ac:dyDescent="0.25">
      <c r="A142" s="1"/>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x14ac:dyDescent="0.25">
      <c r="A143" s="1"/>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x14ac:dyDescent="0.25">
      <c r="A144" s="1"/>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x14ac:dyDescent="0.25">
      <c r="A145" s="1"/>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x14ac:dyDescent="0.25">
      <c r="A146" s="1"/>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x14ac:dyDescent="0.25">
      <c r="A147" s="1"/>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x14ac:dyDescent="0.25">
      <c r="A148" s="1"/>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x14ac:dyDescent="0.25">
      <c r="A149" s="1"/>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x14ac:dyDescent="0.25">
      <c r="A150" s="1"/>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x14ac:dyDescent="0.25">
      <c r="A151" s="1"/>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x14ac:dyDescent="0.25">
      <c r="A152" s="1"/>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x14ac:dyDescent="0.25">
      <c r="A153" s="1"/>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x14ac:dyDescent="0.25">
      <c r="A154" s="1"/>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x14ac:dyDescent="0.25">
      <c r="A155" s="1"/>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x14ac:dyDescent="0.25">
      <c r="A156" s="1"/>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x14ac:dyDescent="0.25">
      <c r="A157" s="1"/>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x14ac:dyDescent="0.25">
      <c r="A158" s="1"/>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x14ac:dyDescent="0.25">
      <c r="A159" s="1"/>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x14ac:dyDescent="0.25">
      <c r="A160" s="1"/>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x14ac:dyDescent="0.25">
      <c r="A161" s="1"/>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x14ac:dyDescent="0.25">
      <c r="A162" s="1"/>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x14ac:dyDescent="0.25">
      <c r="A163" s="1"/>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x14ac:dyDescent="0.25">
      <c r="A164" s="1"/>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x14ac:dyDescent="0.25">
      <c r="A165" s="1"/>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x14ac:dyDescent="0.25">
      <c r="A166" s="1"/>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x14ac:dyDescent="0.25">
      <c r="A167" s="1"/>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x14ac:dyDescent="0.25">
      <c r="A168" s="1"/>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x14ac:dyDescent="0.25">
      <c r="A169" s="1"/>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x14ac:dyDescent="0.25">
      <c r="A170" s="1"/>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x14ac:dyDescent="0.25">
      <c r="A171" s="1"/>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x14ac:dyDescent="0.25">
      <c r="A172" s="1"/>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x14ac:dyDescent="0.25">
      <c r="A173" s="1"/>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x14ac:dyDescent="0.25">
      <c r="A174" s="1"/>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x14ac:dyDescent="0.25">
      <c r="A175" s="1"/>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x14ac:dyDescent="0.25">
      <c r="A176" s="1"/>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x14ac:dyDescent="0.25">
      <c r="A177" s="1"/>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x14ac:dyDescent="0.25">
      <c r="A178" s="1"/>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x14ac:dyDescent="0.25">
      <c r="A179" s="1"/>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x14ac:dyDescent="0.25">
      <c r="A180" s="1"/>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x14ac:dyDescent="0.25">
      <c r="A181" s="1"/>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x14ac:dyDescent="0.25">
      <c r="A182" s="1"/>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x14ac:dyDescent="0.25">
      <c r="A183" s="1"/>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x14ac:dyDescent="0.25">
      <c r="A184" s="1"/>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x14ac:dyDescent="0.25">
      <c r="A185" s="1"/>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x14ac:dyDescent="0.25">
      <c r="A186" s="1"/>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x14ac:dyDescent="0.25">
      <c r="A187" s="1"/>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x14ac:dyDescent="0.25">
      <c r="A188" s="1"/>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x14ac:dyDescent="0.25">
      <c r="A189" s="1"/>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x14ac:dyDescent="0.25">
      <c r="A190" s="1"/>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x14ac:dyDescent="0.25">
      <c r="A191" s="1"/>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x14ac:dyDescent="0.25">
      <c r="A192" s="1"/>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x14ac:dyDescent="0.25">
      <c r="A193" s="1"/>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x14ac:dyDescent="0.25">
      <c r="A194" s="1"/>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x14ac:dyDescent="0.25">
      <c r="A195" s="1"/>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x14ac:dyDescent="0.25">
      <c r="A196" s="1"/>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x14ac:dyDescent="0.25">
      <c r="A197" s="1"/>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x14ac:dyDescent="0.25">
      <c r="A198" s="1"/>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x14ac:dyDescent="0.25">
      <c r="A199" s="1"/>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x14ac:dyDescent="0.25">
      <c r="A200" s="1"/>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x14ac:dyDescent="0.25">
      <c r="A201" s="1"/>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x14ac:dyDescent="0.25">
      <c r="A202" s="1"/>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x14ac:dyDescent="0.25">
      <c r="A203" s="1"/>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x14ac:dyDescent="0.25">
      <c r="A204" s="1"/>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x14ac:dyDescent="0.25">
      <c r="A205" s="1"/>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x14ac:dyDescent="0.25">
      <c r="A206" s="1"/>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x14ac:dyDescent="0.25">
      <c r="A207" s="1"/>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x14ac:dyDescent="0.25">
      <c r="A208" s="1"/>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x14ac:dyDescent="0.25">
      <c r="A209" s="1"/>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x14ac:dyDescent="0.25">
      <c r="A210" s="1"/>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x14ac:dyDescent="0.25">
      <c r="A211" s="1"/>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x14ac:dyDescent="0.25">
      <c r="A212" s="1"/>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x14ac:dyDescent="0.25">
      <c r="A213" s="1"/>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x14ac:dyDescent="0.25">
      <c r="A214" s="1"/>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x14ac:dyDescent="0.25">
      <c r="A215" s="1"/>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x14ac:dyDescent="0.25">
      <c r="A216" s="1"/>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x14ac:dyDescent="0.25">
      <c r="A217" s="1"/>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x14ac:dyDescent="0.25">
      <c r="A218" s="1"/>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x14ac:dyDescent="0.25">
      <c r="A219" s="1"/>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x14ac:dyDescent="0.25">
      <c r="A220" s="1"/>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x14ac:dyDescent="0.25">
      <c r="A221" s="1"/>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x14ac:dyDescent="0.25">
      <c r="A222" s="1"/>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x14ac:dyDescent="0.25">
      <c r="A223" s="1"/>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x14ac:dyDescent="0.25">
      <c r="A224" s="1"/>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x14ac:dyDescent="0.25">
      <c r="A225" s="1"/>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x14ac:dyDescent="0.25">
      <c r="A226" s="1"/>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x14ac:dyDescent="0.25">
      <c r="A227" s="1"/>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x14ac:dyDescent="0.25">
      <c r="A228" s="1"/>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x14ac:dyDescent="0.25">
      <c r="A229" s="1"/>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x14ac:dyDescent="0.25">
      <c r="A230" s="1"/>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x14ac:dyDescent="0.25">
      <c r="A231" s="1"/>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x14ac:dyDescent="0.25">
      <c r="A232" s="1"/>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x14ac:dyDescent="0.25">
      <c r="A233" s="1"/>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x14ac:dyDescent="0.25">
      <c r="A234" s="1"/>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x14ac:dyDescent="0.25">
      <c r="A235" s="1"/>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x14ac:dyDescent="0.25">
      <c r="A236" s="1"/>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x14ac:dyDescent="0.25">
      <c r="A237" s="1"/>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x14ac:dyDescent="0.25">
      <c r="A238" s="1"/>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x14ac:dyDescent="0.25">
      <c r="A239" s="1"/>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x14ac:dyDescent="0.25">
      <c r="A240" s="1"/>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x14ac:dyDescent="0.25">
      <c r="A241" s="1"/>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x14ac:dyDescent="0.25">
      <c r="A242" s="1"/>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x14ac:dyDescent="0.25">
      <c r="A243" s="1"/>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x14ac:dyDescent="0.25">
      <c r="A244" s="1"/>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x14ac:dyDescent="0.25">
      <c r="A245" s="1"/>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x14ac:dyDescent="0.25">
      <c r="A246" s="1"/>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x14ac:dyDescent="0.25">
      <c r="A247" s="1"/>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x14ac:dyDescent="0.25">
      <c r="A248" s="1"/>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x14ac:dyDescent="0.25">
      <c r="A249" s="1"/>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x14ac:dyDescent="0.25">
      <c r="A250" s="1"/>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x14ac:dyDescent="0.25">
      <c r="A251" s="1"/>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x14ac:dyDescent="0.25">
      <c r="A252" s="1"/>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x14ac:dyDescent="0.25">
      <c r="A253" s="1"/>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x14ac:dyDescent="0.25">
      <c r="A254" s="1"/>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x14ac:dyDescent="0.25">
      <c r="A255" s="1"/>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x14ac:dyDescent="0.25">
      <c r="A256" s="1"/>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x14ac:dyDescent="0.25">
      <c r="A257" s="1"/>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x14ac:dyDescent="0.25">
      <c r="A258" s="1"/>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x14ac:dyDescent="0.25">
      <c r="A259" s="1"/>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x14ac:dyDescent="0.25">
      <c r="A260" s="1"/>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x14ac:dyDescent="0.25">
      <c r="A261" s="1"/>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x14ac:dyDescent="0.25">
      <c r="A262" s="1"/>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x14ac:dyDescent="0.25">
      <c r="A263" s="1"/>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x14ac:dyDescent="0.25">
      <c r="A264" s="1"/>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x14ac:dyDescent="0.25">
      <c r="A265" s="1"/>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x14ac:dyDescent="0.25">
      <c r="A266" s="1"/>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x14ac:dyDescent="0.25">
      <c r="A267" s="1"/>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x14ac:dyDescent="0.25">
      <c r="A268" s="1"/>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x14ac:dyDescent="0.25">
      <c r="A269" s="1"/>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x14ac:dyDescent="0.25">
      <c r="A270" s="1"/>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x14ac:dyDescent="0.25">
      <c r="A271" s="1"/>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x14ac:dyDescent="0.25">
      <c r="A272" s="1"/>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x14ac:dyDescent="0.25">
      <c r="A273" s="1"/>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x14ac:dyDescent="0.25">
      <c r="A274" s="1"/>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x14ac:dyDescent="0.25">
      <c r="A275" s="1"/>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x14ac:dyDescent="0.25">
      <c r="A276" s="1"/>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x14ac:dyDescent="0.25">
      <c r="A277" s="1"/>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x14ac:dyDescent="0.25">
      <c r="A278" s="1"/>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x14ac:dyDescent="0.25">
      <c r="A279" s="1"/>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x14ac:dyDescent="0.25">
      <c r="A280" s="1"/>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x14ac:dyDescent="0.25">
      <c r="A281" s="1"/>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x14ac:dyDescent="0.25">
      <c r="A282" s="1"/>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x14ac:dyDescent="0.25">
      <c r="A283" s="1"/>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x14ac:dyDescent="0.25">
      <c r="A284" s="1"/>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x14ac:dyDescent="0.25">
      <c r="A285" s="1"/>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x14ac:dyDescent="0.25">
      <c r="A286" s="1"/>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x14ac:dyDescent="0.25">
      <c r="A287" s="1"/>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x14ac:dyDescent="0.25">
      <c r="A288" s="1"/>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x14ac:dyDescent="0.25">
      <c r="A289" s="1"/>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x14ac:dyDescent="0.25">
      <c r="A290" s="1"/>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x14ac:dyDescent="0.25">
      <c r="A291" s="1"/>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x14ac:dyDescent="0.25">
      <c r="A292" s="1"/>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x14ac:dyDescent="0.25">
      <c r="A293" s="1"/>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x14ac:dyDescent="0.25">
      <c r="A294" s="1"/>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x14ac:dyDescent="0.25">
      <c r="A295" s="1"/>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x14ac:dyDescent="0.25">
      <c r="A296" s="1"/>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x14ac:dyDescent="0.25">
      <c r="A297" s="1"/>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x14ac:dyDescent="0.25">
      <c r="A298" s="1"/>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x14ac:dyDescent="0.25">
      <c r="A299" s="1"/>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x14ac:dyDescent="0.25">
      <c r="A300" s="1"/>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x14ac:dyDescent="0.25">
      <c r="A301" s="1"/>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x14ac:dyDescent="0.25">
      <c r="A302" s="1"/>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x14ac:dyDescent="0.25">
      <c r="A303" s="1"/>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x14ac:dyDescent="0.25">
      <c r="A304" s="1"/>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x14ac:dyDescent="0.25">
      <c r="A305" s="1"/>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x14ac:dyDescent="0.25">
      <c r="A306" s="1"/>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x14ac:dyDescent="0.25">
      <c r="A307" s="1"/>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x14ac:dyDescent="0.25">
      <c r="A308" s="1"/>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x14ac:dyDescent="0.25">
      <c r="A309" s="1"/>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x14ac:dyDescent="0.25">
      <c r="A310" s="1"/>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x14ac:dyDescent="0.25">
      <c r="A311" s="1"/>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x14ac:dyDescent="0.25">
      <c r="A312" s="1"/>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x14ac:dyDescent="0.25">
      <c r="A313" s="1"/>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x14ac:dyDescent="0.25">
      <c r="A314" s="1"/>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x14ac:dyDescent="0.25">
      <c r="A315" s="1"/>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x14ac:dyDescent="0.25">
      <c r="A316" s="1"/>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x14ac:dyDescent="0.25">
      <c r="A317" s="1"/>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x14ac:dyDescent="0.25">
      <c r="A318" s="1"/>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x14ac:dyDescent="0.25">
      <c r="A319" s="1"/>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x14ac:dyDescent="0.25">
      <c r="A320" s="1"/>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x14ac:dyDescent="0.25">
      <c r="A321" s="1"/>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x14ac:dyDescent="0.25">
      <c r="A322" s="1"/>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x14ac:dyDescent="0.25">
      <c r="A323" s="1"/>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x14ac:dyDescent="0.25">
      <c r="A324" s="1"/>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x14ac:dyDescent="0.25">
      <c r="A325" s="1"/>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x14ac:dyDescent="0.25">
      <c r="A326" s="1"/>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x14ac:dyDescent="0.25">
      <c r="A327" s="1"/>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x14ac:dyDescent="0.25">
      <c r="A328" s="1"/>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x14ac:dyDescent="0.25">
      <c r="A329" s="1"/>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x14ac:dyDescent="0.25">
      <c r="A330" s="1"/>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x14ac:dyDescent="0.25">
      <c r="A331" s="1"/>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x14ac:dyDescent="0.25">
      <c r="A332" s="1"/>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x14ac:dyDescent="0.25">
      <c r="A333" s="1"/>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x14ac:dyDescent="0.25">
      <c r="A334" s="1"/>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x14ac:dyDescent="0.25">
      <c r="A335" s="1"/>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x14ac:dyDescent="0.25">
      <c r="A336" s="1"/>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x14ac:dyDescent="0.25">
      <c r="A337" s="1"/>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x14ac:dyDescent="0.25">
      <c r="A338" s="1"/>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x14ac:dyDescent="0.25">
      <c r="A339" s="1"/>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x14ac:dyDescent="0.25">
      <c r="A340" s="1"/>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x14ac:dyDescent="0.25">
      <c r="A341" s="1"/>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x14ac:dyDescent="0.25">
      <c r="A342" s="1"/>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x14ac:dyDescent="0.25">
      <c r="A343" s="1"/>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x14ac:dyDescent="0.25">
      <c r="A344" s="1"/>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x14ac:dyDescent="0.25">
      <c r="A345" s="1"/>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x14ac:dyDescent="0.25">
      <c r="A346" s="1"/>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x14ac:dyDescent="0.25">
      <c r="A347" s="1"/>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x14ac:dyDescent="0.25">
      <c r="A348" s="1"/>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x14ac:dyDescent="0.25">
      <c r="A349" s="1"/>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x14ac:dyDescent="0.25">
      <c r="A350" s="1"/>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x14ac:dyDescent="0.25">
      <c r="A351" s="1"/>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x14ac:dyDescent="0.25">
      <c r="A352" s="1"/>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x14ac:dyDescent="0.25">
      <c r="A353" s="1"/>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x14ac:dyDescent="0.25">
      <c r="A354" s="1"/>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x14ac:dyDescent="0.25">
      <c r="A355" s="1"/>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x14ac:dyDescent="0.25">
      <c r="A356" s="1"/>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x14ac:dyDescent="0.25">
      <c r="A357" s="1"/>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x14ac:dyDescent="0.25">
      <c r="A358" s="1"/>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x14ac:dyDescent="0.25">
      <c r="A359" s="1"/>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x14ac:dyDescent="0.25">
      <c r="A360" s="1"/>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x14ac:dyDescent="0.25">
      <c r="A361" s="1"/>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x14ac:dyDescent="0.25">
      <c r="A362" s="1"/>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x14ac:dyDescent="0.25">
      <c r="A363" s="1"/>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x14ac:dyDescent="0.25">
      <c r="A364" s="1"/>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x14ac:dyDescent="0.25">
      <c r="A365" s="1"/>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x14ac:dyDescent="0.25">
      <c r="A366" s="1"/>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x14ac:dyDescent="0.25">
      <c r="A367" s="1"/>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x14ac:dyDescent="0.25">
      <c r="A368" s="1"/>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x14ac:dyDescent="0.25">
      <c r="A369" s="1"/>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x14ac:dyDescent="0.25">
      <c r="A370" s="1"/>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x14ac:dyDescent="0.25">
      <c r="A371" s="1"/>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x14ac:dyDescent="0.25">
      <c r="A372" s="1"/>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x14ac:dyDescent="0.25">
      <c r="A373" s="1"/>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x14ac:dyDescent="0.25">
      <c r="A374" s="1"/>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x14ac:dyDescent="0.25">
      <c r="A375" s="1"/>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x14ac:dyDescent="0.25">
      <c r="A376" s="1"/>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x14ac:dyDescent="0.25">
      <c r="A377" s="1"/>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x14ac:dyDescent="0.25">
      <c r="A378" s="1"/>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x14ac:dyDescent="0.25">
      <c r="A379" s="1"/>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x14ac:dyDescent="0.25">
      <c r="A380" s="1"/>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x14ac:dyDescent="0.25">
      <c r="A381" s="1"/>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x14ac:dyDescent="0.25">
      <c r="A382" s="1"/>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x14ac:dyDescent="0.25">
      <c r="A383" s="1"/>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x14ac:dyDescent="0.25">
      <c r="A384" s="1"/>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x14ac:dyDescent="0.25">
      <c r="A385" s="1"/>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x14ac:dyDescent="0.25">
      <c r="A386" s="1"/>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x14ac:dyDescent="0.25">
      <c r="A387" s="1"/>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x14ac:dyDescent="0.25">
      <c r="A388" s="1"/>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x14ac:dyDescent="0.25">
      <c r="A389" s="1"/>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x14ac:dyDescent="0.25">
      <c r="A390" s="1"/>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x14ac:dyDescent="0.25">
      <c r="A391" s="1"/>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x14ac:dyDescent="0.25">
      <c r="A392" s="1"/>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x14ac:dyDescent="0.25">
      <c r="A393" s="1"/>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x14ac:dyDescent="0.25">
      <c r="A394" s="1"/>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x14ac:dyDescent="0.25">
      <c r="A395" s="1"/>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x14ac:dyDescent="0.25">
      <c r="A396" s="1"/>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x14ac:dyDescent="0.25">
      <c r="A397" s="1"/>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x14ac:dyDescent="0.25">
      <c r="A398" s="1"/>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x14ac:dyDescent="0.25">
      <c r="A399" s="1"/>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x14ac:dyDescent="0.25">
      <c r="A400" s="1"/>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x14ac:dyDescent="0.25">
      <c r="A401" s="1"/>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x14ac:dyDescent="0.25">
      <c r="A402" s="1"/>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x14ac:dyDescent="0.25">
      <c r="A403" s="1"/>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x14ac:dyDescent="0.25">
      <c r="A404" s="1"/>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x14ac:dyDescent="0.25">
      <c r="A405" s="1"/>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x14ac:dyDescent="0.25">
      <c r="A406" s="1"/>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x14ac:dyDescent="0.25">
      <c r="A407" s="1"/>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x14ac:dyDescent="0.25">
      <c r="A408" s="1"/>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x14ac:dyDescent="0.25">
      <c r="A409" s="1"/>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x14ac:dyDescent="0.25">
      <c r="A410" s="1"/>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x14ac:dyDescent="0.25">
      <c r="A411" s="1"/>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x14ac:dyDescent="0.25">
      <c r="A412" s="1"/>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x14ac:dyDescent="0.25">
      <c r="A413" s="1"/>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x14ac:dyDescent="0.25">
      <c r="A414" s="1"/>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x14ac:dyDescent="0.25">
      <c r="A415" s="1"/>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x14ac:dyDescent="0.25">
      <c r="A416" s="1"/>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x14ac:dyDescent="0.25">
      <c r="A417" s="1"/>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x14ac:dyDescent="0.25">
      <c r="A418" s="1"/>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x14ac:dyDescent="0.25">
      <c r="A419" s="1"/>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x14ac:dyDescent="0.25">
      <c r="A420" s="1"/>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x14ac:dyDescent="0.25">
      <c r="A421" s="1"/>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x14ac:dyDescent="0.25">
      <c r="A422" s="1"/>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x14ac:dyDescent="0.25">
      <c r="A423" s="1"/>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x14ac:dyDescent="0.25">
      <c r="A424" s="1"/>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x14ac:dyDescent="0.25">
      <c r="A425" s="1"/>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x14ac:dyDescent="0.25">
      <c r="A426" s="1"/>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x14ac:dyDescent="0.25">
      <c r="A427" s="1"/>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x14ac:dyDescent="0.25">
      <c r="A428" s="1"/>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x14ac:dyDescent="0.25">
      <c r="A429" s="1"/>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x14ac:dyDescent="0.25">
      <c r="A430" s="1"/>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x14ac:dyDescent="0.25">
      <c r="A431" s="1"/>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x14ac:dyDescent="0.25">
      <c r="A432" s="1"/>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x14ac:dyDescent="0.25">
      <c r="A433" s="1"/>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x14ac:dyDescent="0.25">
      <c r="A434" s="1"/>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x14ac:dyDescent="0.25">
      <c r="A435" s="1"/>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x14ac:dyDescent="0.25">
      <c r="A436" s="1"/>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x14ac:dyDescent="0.25">
      <c r="A437" s="1"/>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x14ac:dyDescent="0.25">
      <c r="A438" s="1"/>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x14ac:dyDescent="0.25">
      <c r="A439" s="1"/>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x14ac:dyDescent="0.25">
      <c r="A440" s="1"/>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x14ac:dyDescent="0.25">
      <c r="A441" s="1"/>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x14ac:dyDescent="0.25">
      <c r="A442" s="1"/>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x14ac:dyDescent="0.25">
      <c r="A443" s="1"/>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x14ac:dyDescent="0.25">
      <c r="A444" s="1"/>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x14ac:dyDescent="0.25">
      <c r="A445" s="1"/>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x14ac:dyDescent="0.25">
      <c r="A446" s="1"/>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x14ac:dyDescent="0.25">
      <c r="A447" s="1"/>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x14ac:dyDescent="0.25">
      <c r="A448" s="1"/>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x14ac:dyDescent="0.25">
      <c r="A449" s="1"/>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x14ac:dyDescent="0.25">
      <c r="A450" s="1"/>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x14ac:dyDescent="0.25">
      <c r="A451" s="1"/>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x14ac:dyDescent="0.25">
      <c r="A452" s="1"/>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x14ac:dyDescent="0.25">
      <c r="A453" s="1"/>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x14ac:dyDescent="0.25">
      <c r="A454" s="1"/>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x14ac:dyDescent="0.25">
      <c r="A455" s="1"/>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x14ac:dyDescent="0.25">
      <c r="A456" s="1"/>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x14ac:dyDescent="0.25">
      <c r="A457" s="1"/>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x14ac:dyDescent="0.25">
      <c r="A458" s="1"/>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x14ac:dyDescent="0.25">
      <c r="A459" s="1"/>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x14ac:dyDescent="0.25">
      <c r="A460" s="1"/>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x14ac:dyDescent="0.25">
      <c r="A461" s="1"/>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x14ac:dyDescent="0.25">
      <c r="A462" s="1"/>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x14ac:dyDescent="0.25">
      <c r="A463" s="1"/>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x14ac:dyDescent="0.25">
      <c r="A464" s="1"/>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x14ac:dyDescent="0.25">
      <c r="A465" s="1"/>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x14ac:dyDescent="0.25">
      <c r="A466" s="1"/>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x14ac:dyDescent="0.25">
      <c r="A467" s="1"/>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x14ac:dyDescent="0.25">
      <c r="A468" s="1"/>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x14ac:dyDescent="0.25">
      <c r="A469" s="1"/>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x14ac:dyDescent="0.25">
      <c r="A470" s="1"/>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x14ac:dyDescent="0.25">
      <c r="A471" s="1"/>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x14ac:dyDescent="0.25">
      <c r="A472" s="1"/>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x14ac:dyDescent="0.25">
      <c r="A473" s="1"/>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x14ac:dyDescent="0.25">
      <c r="A474" s="1"/>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x14ac:dyDescent="0.25">
      <c r="A475" s="1"/>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x14ac:dyDescent="0.25">
      <c r="A476" s="1"/>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x14ac:dyDescent="0.25">
      <c r="A477" s="1"/>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x14ac:dyDescent="0.25">
      <c r="A478" s="1"/>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x14ac:dyDescent="0.25">
      <c r="A479" s="1"/>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x14ac:dyDescent="0.25">
      <c r="A480" s="1"/>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x14ac:dyDescent="0.25">
      <c r="A481" s="1"/>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x14ac:dyDescent="0.25">
      <c r="A482" s="1"/>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x14ac:dyDescent="0.25">
      <c r="A483" s="1"/>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x14ac:dyDescent="0.25">
      <c r="A484" s="1"/>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x14ac:dyDescent="0.25">
      <c r="A485" s="1"/>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x14ac:dyDescent="0.25">
      <c r="A486" s="1"/>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x14ac:dyDescent="0.25">
      <c r="A487" s="1"/>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x14ac:dyDescent="0.25">
      <c r="A488" s="1"/>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x14ac:dyDescent="0.25">
      <c r="A489" s="1"/>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x14ac:dyDescent="0.25">
      <c r="A490" s="1"/>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x14ac:dyDescent="0.25">
      <c r="A491" s="1"/>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x14ac:dyDescent="0.25">
      <c r="A492" s="1"/>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x14ac:dyDescent="0.25">
      <c r="A493" s="1"/>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x14ac:dyDescent="0.25">
      <c r="A494" s="1"/>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x14ac:dyDescent="0.25">
      <c r="A495" s="1"/>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x14ac:dyDescent="0.25">
      <c r="A496" s="1"/>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x14ac:dyDescent="0.25">
      <c r="A497" s="1"/>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x14ac:dyDescent="0.25">
      <c r="A498" s="1"/>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x14ac:dyDescent="0.25">
      <c r="A499" s="1"/>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x14ac:dyDescent="0.25">
      <c r="A500" s="1"/>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x14ac:dyDescent="0.25">
      <c r="A501" s="1"/>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x14ac:dyDescent="0.25">
      <c r="A502" s="1"/>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x14ac:dyDescent="0.25">
      <c r="A503" s="1"/>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x14ac:dyDescent="0.25">
      <c r="A504" s="1"/>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x14ac:dyDescent="0.25">
      <c r="A505" s="1"/>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x14ac:dyDescent="0.25">
      <c r="A506" s="1"/>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x14ac:dyDescent="0.25">
      <c r="A507" s="1"/>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x14ac:dyDescent="0.25">
      <c r="A508" s="1"/>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x14ac:dyDescent="0.25">
      <c r="A509" s="1"/>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x14ac:dyDescent="0.25">
      <c r="A510" s="1"/>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x14ac:dyDescent="0.25">
      <c r="A511" s="1"/>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x14ac:dyDescent="0.25">
      <c r="A512" s="1"/>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x14ac:dyDescent="0.25">
      <c r="A513" s="1"/>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x14ac:dyDescent="0.25">
      <c r="A514" s="1"/>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x14ac:dyDescent="0.25">
      <c r="A515" s="1"/>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x14ac:dyDescent="0.25">
      <c r="A516" s="1"/>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x14ac:dyDescent="0.25">
      <c r="A517" s="1"/>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x14ac:dyDescent="0.25">
      <c r="A518" s="1"/>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x14ac:dyDescent="0.25">
      <c r="A519" s="1"/>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x14ac:dyDescent="0.25">
      <c r="A520" s="1"/>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x14ac:dyDescent="0.25">
      <c r="A521" s="1"/>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x14ac:dyDescent="0.25">
      <c r="A522" s="1"/>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x14ac:dyDescent="0.25">
      <c r="A523" s="1"/>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x14ac:dyDescent="0.25">
      <c r="A524" s="1"/>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x14ac:dyDescent="0.25">
      <c r="A525" s="1"/>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x14ac:dyDescent="0.25">
      <c r="A526" s="1"/>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x14ac:dyDescent="0.25">
      <c r="A527" s="1"/>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x14ac:dyDescent="0.25">
      <c r="A528" s="1"/>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x14ac:dyDescent="0.25">
      <c r="A529" s="1"/>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x14ac:dyDescent="0.25">
      <c r="A530" s="1"/>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x14ac:dyDescent="0.25">
      <c r="A531" s="1"/>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x14ac:dyDescent="0.25">
      <c r="A532" s="1"/>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x14ac:dyDescent="0.25">
      <c r="A533" s="1"/>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x14ac:dyDescent="0.25">
      <c r="A534" s="1"/>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x14ac:dyDescent="0.25">
      <c r="A535" s="1"/>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x14ac:dyDescent="0.25">
      <c r="A536" s="1"/>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x14ac:dyDescent="0.25">
      <c r="A537" s="1"/>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x14ac:dyDescent="0.25">
      <c r="A538" s="1"/>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x14ac:dyDescent="0.25">
      <c r="A539" s="1"/>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x14ac:dyDescent="0.25">
      <c r="A540" s="1"/>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x14ac:dyDescent="0.25">
      <c r="A541" s="1"/>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x14ac:dyDescent="0.25">
      <c r="A542" s="1"/>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x14ac:dyDescent="0.25">
      <c r="A543" s="1"/>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x14ac:dyDescent="0.25">
      <c r="A544" s="1"/>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x14ac:dyDescent="0.25">
      <c r="A545" s="1"/>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x14ac:dyDescent="0.25">
      <c r="A546" s="1"/>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x14ac:dyDescent="0.25">
      <c r="A547" s="1"/>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x14ac:dyDescent="0.25">
      <c r="A548" s="1"/>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x14ac:dyDescent="0.25">
      <c r="A549" s="1"/>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x14ac:dyDescent="0.25">
      <c r="A550" s="1"/>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x14ac:dyDescent="0.25">
      <c r="A551" s="1"/>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x14ac:dyDescent="0.25">
      <c r="A552" s="1"/>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x14ac:dyDescent="0.25">
      <c r="A553" s="1"/>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x14ac:dyDescent="0.25">
      <c r="A554" s="1"/>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x14ac:dyDescent="0.25">
      <c r="A555" s="1"/>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x14ac:dyDescent="0.25">
      <c r="A556" s="1"/>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x14ac:dyDescent="0.25">
      <c r="A557" s="1"/>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x14ac:dyDescent="0.25">
      <c r="A558" s="1"/>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x14ac:dyDescent="0.25">
      <c r="A559" s="1"/>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x14ac:dyDescent="0.25">
      <c r="A560" s="1"/>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x14ac:dyDescent="0.25">
      <c r="A561" s="1"/>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x14ac:dyDescent="0.25">
      <c r="A562" s="1"/>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x14ac:dyDescent="0.25">
      <c r="A563" s="1"/>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x14ac:dyDescent="0.25">
      <c r="A564" s="1"/>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x14ac:dyDescent="0.25">
      <c r="A565" s="1"/>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x14ac:dyDescent="0.25">
      <c r="A566" s="1"/>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x14ac:dyDescent="0.25">
      <c r="A567" s="1"/>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x14ac:dyDescent="0.25">
      <c r="A568" s="1"/>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x14ac:dyDescent="0.25">
      <c r="A569" s="1"/>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x14ac:dyDescent="0.25">
      <c r="A570" s="1"/>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x14ac:dyDescent="0.25">
      <c r="A571" s="1"/>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x14ac:dyDescent="0.25">
      <c r="A572" s="1"/>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x14ac:dyDescent="0.25">
      <c r="A573" s="1"/>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x14ac:dyDescent="0.25">
      <c r="A574" s="1"/>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x14ac:dyDescent="0.25">
      <c r="A575" s="1"/>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x14ac:dyDescent="0.25">
      <c r="A576" s="1"/>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x14ac:dyDescent="0.25">
      <c r="A577" s="1"/>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x14ac:dyDescent="0.25">
      <c r="A578" s="1"/>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x14ac:dyDescent="0.25">
      <c r="A579" s="1"/>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x14ac:dyDescent="0.25">
      <c r="A580" s="1"/>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x14ac:dyDescent="0.25">
      <c r="A581" s="1"/>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x14ac:dyDescent="0.25">
      <c r="A582" s="1"/>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x14ac:dyDescent="0.25">
      <c r="A583" s="1"/>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x14ac:dyDescent="0.25">
      <c r="A584" s="1"/>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x14ac:dyDescent="0.25">
      <c r="A585" s="1"/>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x14ac:dyDescent="0.25">
      <c r="A586" s="1"/>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x14ac:dyDescent="0.25">
      <c r="A587" s="1"/>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x14ac:dyDescent="0.25">
      <c r="A588" s="1"/>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x14ac:dyDescent="0.25">
      <c r="A589" s="1"/>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x14ac:dyDescent="0.25">
      <c r="A590" s="1"/>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x14ac:dyDescent="0.25">
      <c r="A591" s="1"/>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x14ac:dyDescent="0.25">
      <c r="A592" s="1"/>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x14ac:dyDescent="0.25">
      <c r="A593" s="1"/>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x14ac:dyDescent="0.25">
      <c r="A594" s="1"/>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x14ac:dyDescent="0.25">
      <c r="A595" s="1"/>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x14ac:dyDescent="0.25">
      <c r="A596" s="1"/>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x14ac:dyDescent="0.25">
      <c r="A597" s="1"/>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x14ac:dyDescent="0.25">
      <c r="A598" s="1"/>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x14ac:dyDescent="0.25">
      <c r="A599" s="1"/>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x14ac:dyDescent="0.25">
      <c r="A600" s="1"/>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x14ac:dyDescent="0.25">
      <c r="A601" s="1"/>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x14ac:dyDescent="0.25">
      <c r="A602" s="1"/>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x14ac:dyDescent="0.25">
      <c r="A603" s="1"/>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x14ac:dyDescent="0.25">
      <c r="A604" s="1"/>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x14ac:dyDescent="0.25">
      <c r="A605" s="1"/>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x14ac:dyDescent="0.25">
      <c r="A606" s="1"/>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x14ac:dyDescent="0.25">
      <c r="A607" s="1"/>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x14ac:dyDescent="0.25">
      <c r="A608" s="1"/>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x14ac:dyDescent="0.25">
      <c r="A609" s="1"/>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x14ac:dyDescent="0.25">
      <c r="A610" s="1"/>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x14ac:dyDescent="0.25">
      <c r="A611" s="1"/>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x14ac:dyDescent="0.25">
      <c r="A612" s="1"/>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x14ac:dyDescent="0.25">
      <c r="A613" s="1"/>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x14ac:dyDescent="0.25">
      <c r="A614" s="1"/>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x14ac:dyDescent="0.25">
      <c r="A615" s="1"/>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x14ac:dyDescent="0.25">
      <c r="A616" s="1"/>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x14ac:dyDescent="0.25">
      <c r="A617" s="1"/>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x14ac:dyDescent="0.25">
      <c r="A618" s="1"/>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x14ac:dyDescent="0.25">
      <c r="A619" s="1"/>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x14ac:dyDescent="0.25">
      <c r="A620" s="1"/>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x14ac:dyDescent="0.25">
      <c r="A621" s="1"/>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x14ac:dyDescent="0.25">
      <c r="A622" s="1"/>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x14ac:dyDescent="0.25">
      <c r="A623" s="1"/>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x14ac:dyDescent="0.25">
      <c r="A624" s="1"/>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x14ac:dyDescent="0.25">
      <c r="A625" s="1"/>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x14ac:dyDescent="0.25">
      <c r="A626" s="1"/>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x14ac:dyDescent="0.25">
      <c r="A627" s="1"/>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x14ac:dyDescent="0.25">
      <c r="A628" s="1"/>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x14ac:dyDescent="0.25">
      <c r="A629" s="1"/>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x14ac:dyDescent="0.25">
      <c r="A630" s="1"/>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x14ac:dyDescent="0.25">
      <c r="A631" s="1"/>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x14ac:dyDescent="0.25">
      <c r="A632" s="1"/>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x14ac:dyDescent="0.25">
      <c r="A633" s="1"/>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x14ac:dyDescent="0.25">
      <c r="A634" s="1"/>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x14ac:dyDescent="0.25">
      <c r="A635" s="1"/>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x14ac:dyDescent="0.25">
      <c r="A636" s="1"/>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x14ac:dyDescent="0.25">
      <c r="A637" s="1"/>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x14ac:dyDescent="0.25">
      <c r="A638" s="1"/>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x14ac:dyDescent="0.25">
      <c r="A639" s="1"/>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x14ac:dyDescent="0.25">
      <c r="A640" s="1"/>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x14ac:dyDescent="0.25">
      <c r="A641" s="1"/>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x14ac:dyDescent="0.25">
      <c r="A642" s="1"/>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x14ac:dyDescent="0.25">
      <c r="A643" s="1"/>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x14ac:dyDescent="0.25">
      <c r="A644" s="1"/>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x14ac:dyDescent="0.25">
      <c r="A645" s="1"/>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x14ac:dyDescent="0.25">
      <c r="A646" s="1"/>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x14ac:dyDescent="0.25">
      <c r="A647" s="1"/>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x14ac:dyDescent="0.25">
      <c r="A648" s="1"/>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x14ac:dyDescent="0.25">
      <c r="A649" s="1"/>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x14ac:dyDescent="0.25">
      <c r="A650" s="1"/>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x14ac:dyDescent="0.25">
      <c r="A651" s="1"/>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x14ac:dyDescent="0.25">
      <c r="A652" s="1"/>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x14ac:dyDescent="0.25">
      <c r="A653" s="1"/>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x14ac:dyDescent="0.25">
      <c r="A654" s="1"/>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x14ac:dyDescent="0.25">
      <c r="A655" s="1"/>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x14ac:dyDescent="0.25">
      <c r="A656" s="1"/>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x14ac:dyDescent="0.25">
      <c r="A657" s="1"/>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x14ac:dyDescent="0.25">
      <c r="A658" s="1"/>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x14ac:dyDescent="0.25">
      <c r="A659" s="1"/>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x14ac:dyDescent="0.25">
      <c r="A660" s="1"/>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x14ac:dyDescent="0.25">
      <c r="A661" s="1"/>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x14ac:dyDescent="0.25">
      <c r="A662" s="1"/>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x14ac:dyDescent="0.25">
      <c r="A663" s="1"/>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x14ac:dyDescent="0.25">
      <c r="A664" s="1"/>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x14ac:dyDescent="0.25">
      <c r="A665" s="1"/>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x14ac:dyDescent="0.25">
      <c r="A666" s="1"/>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x14ac:dyDescent="0.25">
      <c r="A667" s="1"/>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x14ac:dyDescent="0.25">
      <c r="A668" s="1"/>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x14ac:dyDescent="0.25">
      <c r="A669" s="1"/>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x14ac:dyDescent="0.25">
      <c r="A670" s="1"/>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x14ac:dyDescent="0.25">
      <c r="A671" s="1"/>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x14ac:dyDescent="0.25">
      <c r="A672" s="1"/>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x14ac:dyDescent="0.25">
      <c r="A673" s="1"/>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x14ac:dyDescent="0.25">
      <c r="A674" s="1"/>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x14ac:dyDescent="0.25">
      <c r="A675" s="1"/>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x14ac:dyDescent="0.25">
      <c r="A676" s="1"/>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x14ac:dyDescent="0.25">
      <c r="A677" s="1"/>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x14ac:dyDescent="0.25">
      <c r="A678" s="1"/>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x14ac:dyDescent="0.25">
      <c r="A679" s="1"/>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x14ac:dyDescent="0.25">
      <c r="A680" s="1"/>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x14ac:dyDescent="0.25">
      <c r="A681" s="1"/>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x14ac:dyDescent="0.25">
      <c r="A682" s="1"/>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x14ac:dyDescent="0.25">
      <c r="A683" s="1"/>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x14ac:dyDescent="0.25">
      <c r="A684" s="1"/>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x14ac:dyDescent="0.25">
      <c r="A685" s="1"/>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x14ac:dyDescent="0.25">
      <c r="A686" s="1"/>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x14ac:dyDescent="0.25">
      <c r="A687" s="1"/>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x14ac:dyDescent="0.25">
      <c r="A688" s="1"/>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x14ac:dyDescent="0.25">
      <c r="A689" s="1"/>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x14ac:dyDescent="0.25">
      <c r="A690" s="1"/>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x14ac:dyDescent="0.25">
      <c r="A691" s="1"/>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x14ac:dyDescent="0.25">
      <c r="A692" s="1"/>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x14ac:dyDescent="0.25">
      <c r="A693" s="1"/>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x14ac:dyDescent="0.25">
      <c r="A694" s="1"/>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x14ac:dyDescent="0.25">
      <c r="A695" s="1"/>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x14ac:dyDescent="0.25">
      <c r="A696" s="1"/>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x14ac:dyDescent="0.25">
      <c r="A697" s="1"/>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x14ac:dyDescent="0.25">
      <c r="A698" s="1"/>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x14ac:dyDescent="0.25">
      <c r="A699" s="1"/>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x14ac:dyDescent="0.25">
      <c r="A700" s="1"/>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x14ac:dyDescent="0.25">
      <c r="A701" s="1"/>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x14ac:dyDescent="0.25">
      <c r="A702" s="1"/>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x14ac:dyDescent="0.25">
      <c r="A703" s="1"/>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x14ac:dyDescent="0.25">
      <c r="A704" s="1"/>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x14ac:dyDescent="0.25">
      <c r="A705" s="1"/>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x14ac:dyDescent="0.25">
      <c r="A706" s="1"/>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x14ac:dyDescent="0.25">
      <c r="A707" s="1"/>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x14ac:dyDescent="0.25">
      <c r="A708" s="1"/>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x14ac:dyDescent="0.25">
      <c r="A709" s="1"/>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x14ac:dyDescent="0.25">
      <c r="A710" s="1"/>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x14ac:dyDescent="0.25">
      <c r="A711" s="1"/>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x14ac:dyDescent="0.25">
      <c r="A712" s="1"/>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x14ac:dyDescent="0.25">
      <c r="A713" s="1"/>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x14ac:dyDescent="0.25">
      <c r="A714" s="1"/>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x14ac:dyDescent="0.25">
      <c r="A715" s="1"/>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x14ac:dyDescent="0.25">
      <c r="A716" s="1"/>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x14ac:dyDescent="0.25">
      <c r="A717" s="1"/>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x14ac:dyDescent="0.25">
      <c r="A718" s="1"/>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x14ac:dyDescent="0.25">
      <c r="A719" s="1"/>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x14ac:dyDescent="0.25">
      <c r="A720" s="1"/>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x14ac:dyDescent="0.25">
      <c r="A721" s="1"/>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x14ac:dyDescent="0.25">
      <c r="A722" s="1"/>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x14ac:dyDescent="0.25">
      <c r="A723" s="1"/>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x14ac:dyDescent="0.25">
      <c r="A724" s="1"/>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x14ac:dyDescent="0.25">
      <c r="A725" s="1"/>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x14ac:dyDescent="0.25">
      <c r="A726" s="1"/>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x14ac:dyDescent="0.25">
      <c r="A727" s="1"/>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x14ac:dyDescent="0.25">
      <c r="A728" s="1"/>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x14ac:dyDescent="0.25">
      <c r="A729" s="1"/>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x14ac:dyDescent="0.25">
      <c r="A730" s="1"/>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x14ac:dyDescent="0.25">
      <c r="A731" s="1"/>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x14ac:dyDescent="0.25">
      <c r="A732" s="1"/>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x14ac:dyDescent="0.25">
      <c r="A733" s="1"/>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x14ac:dyDescent="0.25">
      <c r="A734" s="1"/>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x14ac:dyDescent="0.25">
      <c r="A735" s="1"/>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x14ac:dyDescent="0.25">
      <c r="A736" s="1"/>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x14ac:dyDescent="0.25">
      <c r="A737" s="1"/>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x14ac:dyDescent="0.25">
      <c r="A738" s="1"/>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x14ac:dyDescent="0.25">
      <c r="A739" s="1"/>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x14ac:dyDescent="0.25">
      <c r="A740" s="1"/>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x14ac:dyDescent="0.25">
      <c r="A741" s="1"/>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x14ac:dyDescent="0.25">
      <c r="A742" s="1"/>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x14ac:dyDescent="0.25">
      <c r="A743" s="1"/>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x14ac:dyDescent="0.25">
      <c r="A744" s="1"/>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x14ac:dyDescent="0.25">
      <c r="A745" s="1"/>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x14ac:dyDescent="0.25">
      <c r="A746" s="1"/>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x14ac:dyDescent="0.25">
      <c r="A747" s="1"/>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x14ac:dyDescent="0.25">
      <c r="A748" s="1"/>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x14ac:dyDescent="0.25">
      <c r="A749" s="1"/>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x14ac:dyDescent="0.25">
      <c r="A750" s="1"/>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x14ac:dyDescent="0.25">
      <c r="A751" s="1"/>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x14ac:dyDescent="0.25">
      <c r="A752" s="1"/>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x14ac:dyDescent="0.25">
      <c r="A753" s="1"/>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x14ac:dyDescent="0.25">
      <c r="A754" s="1"/>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x14ac:dyDescent="0.25">
      <c r="A755" s="1"/>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x14ac:dyDescent="0.25">
      <c r="A756" s="1"/>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x14ac:dyDescent="0.25">
      <c r="A757" s="1"/>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x14ac:dyDescent="0.25">
      <c r="A758" s="1"/>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x14ac:dyDescent="0.25">
      <c r="A759" s="1"/>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x14ac:dyDescent="0.25">
      <c r="A760" s="1"/>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x14ac:dyDescent="0.25">
      <c r="A761" s="1"/>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x14ac:dyDescent="0.25">
      <c r="A762" s="1"/>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x14ac:dyDescent="0.25">
      <c r="A763" s="1"/>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x14ac:dyDescent="0.25">
      <c r="A764" s="1"/>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x14ac:dyDescent="0.25">
      <c r="A765" s="1"/>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x14ac:dyDescent="0.25">
      <c r="A766" s="1"/>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x14ac:dyDescent="0.25">
      <c r="A767" s="1"/>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x14ac:dyDescent="0.25">
      <c r="A768" s="1"/>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x14ac:dyDescent="0.25">
      <c r="A769" s="1"/>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x14ac:dyDescent="0.25">
      <c r="A770" s="1"/>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x14ac:dyDescent="0.25">
      <c r="A771" s="1"/>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x14ac:dyDescent="0.25">
      <c r="A772" s="1"/>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x14ac:dyDescent="0.25">
      <c r="A773" s="1"/>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x14ac:dyDescent="0.25">
      <c r="A774" s="1"/>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x14ac:dyDescent="0.25">
      <c r="A775" s="1"/>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x14ac:dyDescent="0.25">
      <c r="A776" s="1"/>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x14ac:dyDescent="0.25">
      <c r="A777" s="1"/>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x14ac:dyDescent="0.25">
      <c r="A778" s="1"/>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x14ac:dyDescent="0.25">
      <c r="A779" s="1"/>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x14ac:dyDescent="0.25">
      <c r="A780" s="1"/>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x14ac:dyDescent="0.25">
      <c r="A781" s="1"/>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x14ac:dyDescent="0.25">
      <c r="A782" s="1"/>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x14ac:dyDescent="0.25">
      <c r="A783" s="1"/>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x14ac:dyDescent="0.25">
      <c r="A784" s="1"/>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x14ac:dyDescent="0.25">
      <c r="A785" s="1"/>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x14ac:dyDescent="0.25">
      <c r="A786" s="1"/>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x14ac:dyDescent="0.25">
      <c r="A787" s="1"/>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x14ac:dyDescent="0.25">
      <c r="A788" s="1"/>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x14ac:dyDescent="0.25">
      <c r="A789" s="1"/>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x14ac:dyDescent="0.25">
      <c r="A790" s="1"/>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x14ac:dyDescent="0.25">
      <c r="A791" s="1"/>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x14ac:dyDescent="0.25">
      <c r="A792" s="1"/>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x14ac:dyDescent="0.25">
      <c r="A793" s="1"/>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x14ac:dyDescent="0.25">
      <c r="A794" s="1"/>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x14ac:dyDescent="0.25">
      <c r="A795" s="1"/>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x14ac:dyDescent="0.25">
      <c r="A796" s="1"/>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x14ac:dyDescent="0.25">
      <c r="A797" s="1"/>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x14ac:dyDescent="0.25">
      <c r="A798" s="1"/>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x14ac:dyDescent="0.25">
      <c r="A799" s="1"/>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x14ac:dyDescent="0.25">
      <c r="A800" s="1"/>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x14ac:dyDescent="0.25">
      <c r="A801" s="1"/>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x14ac:dyDescent="0.25">
      <c r="A802" s="1"/>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x14ac:dyDescent="0.25">
      <c r="A803" s="1"/>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x14ac:dyDescent="0.25">
      <c r="A804" s="1"/>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x14ac:dyDescent="0.25">
      <c r="A805" s="1"/>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x14ac:dyDescent="0.25">
      <c r="A806" s="1"/>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x14ac:dyDescent="0.25">
      <c r="A807" s="1"/>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x14ac:dyDescent="0.25">
      <c r="A808" s="1"/>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x14ac:dyDescent="0.25">
      <c r="A809" s="1"/>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x14ac:dyDescent="0.25">
      <c r="A810" s="1"/>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x14ac:dyDescent="0.25">
      <c r="A811" s="1"/>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x14ac:dyDescent="0.25">
      <c r="A812" s="1"/>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x14ac:dyDescent="0.25">
      <c r="A813" s="1"/>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x14ac:dyDescent="0.25">
      <c r="A814" s="1"/>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x14ac:dyDescent="0.25">
      <c r="A815" s="1"/>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x14ac:dyDescent="0.25">
      <c r="A816" s="1"/>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x14ac:dyDescent="0.25">
      <c r="A817" s="1"/>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x14ac:dyDescent="0.25">
      <c r="A818" s="1"/>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x14ac:dyDescent="0.25">
      <c r="A819" s="1"/>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x14ac:dyDescent="0.25">
      <c r="A820" s="1"/>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x14ac:dyDescent="0.25">
      <c r="A821" s="1"/>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x14ac:dyDescent="0.25">
      <c r="A822" s="1"/>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x14ac:dyDescent="0.25">
      <c r="A823" s="1"/>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x14ac:dyDescent="0.25">
      <c r="A824" s="1"/>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x14ac:dyDescent="0.25">
      <c r="A825" s="1"/>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x14ac:dyDescent="0.25">
      <c r="A826" s="1"/>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x14ac:dyDescent="0.25">
      <c r="A827" s="1"/>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x14ac:dyDescent="0.25">
      <c r="A828" s="1"/>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x14ac:dyDescent="0.25">
      <c r="A829" s="1"/>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x14ac:dyDescent="0.25">
      <c r="A830" s="1"/>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x14ac:dyDescent="0.25">
      <c r="A831" s="1"/>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x14ac:dyDescent="0.25">
      <c r="A832" s="1"/>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x14ac:dyDescent="0.25">
      <c r="A833" s="1"/>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x14ac:dyDescent="0.25">
      <c r="A834" s="1"/>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x14ac:dyDescent="0.25">
      <c r="A835" s="1"/>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x14ac:dyDescent="0.25">
      <c r="A836" s="1"/>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x14ac:dyDescent="0.25">
      <c r="A837" s="1"/>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x14ac:dyDescent="0.25">
      <c r="A838" s="1"/>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x14ac:dyDescent="0.25">
      <c r="A839" s="1"/>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x14ac:dyDescent="0.25">
      <c r="A840" s="1"/>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x14ac:dyDescent="0.25">
      <c r="A841" s="1"/>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x14ac:dyDescent="0.25">
      <c r="A842" s="1"/>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x14ac:dyDescent="0.25">
      <c r="A843" s="1"/>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x14ac:dyDescent="0.25">
      <c r="A844" s="1"/>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x14ac:dyDescent="0.25">
      <c r="A845" s="1"/>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x14ac:dyDescent="0.25">
      <c r="A846" s="1"/>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x14ac:dyDescent="0.25">
      <c r="A847" s="1"/>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x14ac:dyDescent="0.25">
      <c r="A848" s="1"/>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x14ac:dyDescent="0.25">
      <c r="A849" s="1"/>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x14ac:dyDescent="0.25">
      <c r="A850" s="1"/>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x14ac:dyDescent="0.25">
      <c r="A851" s="1"/>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x14ac:dyDescent="0.25">
      <c r="A852" s="1"/>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x14ac:dyDescent="0.25">
      <c r="A853" s="1"/>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x14ac:dyDescent="0.25">
      <c r="A854" s="1"/>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x14ac:dyDescent="0.25">
      <c r="A855" s="1"/>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x14ac:dyDescent="0.25">
      <c r="A856" s="1"/>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x14ac:dyDescent="0.25">
      <c r="A857" s="1"/>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x14ac:dyDescent="0.25">
      <c r="A858" s="1"/>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x14ac:dyDescent="0.25">
      <c r="A859" s="1"/>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x14ac:dyDescent="0.25">
      <c r="A860" s="1"/>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x14ac:dyDescent="0.25">
      <c r="A861" s="1"/>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x14ac:dyDescent="0.25">
      <c r="A862" s="1"/>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x14ac:dyDescent="0.25">
      <c r="A863" s="1"/>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x14ac:dyDescent="0.25">
      <c r="A864" s="1"/>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x14ac:dyDescent="0.25">
      <c r="A865" s="1"/>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x14ac:dyDescent="0.25">
      <c r="A866" s="1"/>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x14ac:dyDescent="0.25">
      <c r="A867" s="1"/>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x14ac:dyDescent="0.25">
      <c r="A868" s="1"/>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x14ac:dyDescent="0.25">
      <c r="A869" s="1"/>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x14ac:dyDescent="0.25">
      <c r="A870" s="1"/>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x14ac:dyDescent="0.25">
      <c r="A871" s="1"/>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x14ac:dyDescent="0.25">
      <c r="A872" s="1"/>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x14ac:dyDescent="0.25">
      <c r="A873" s="1"/>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x14ac:dyDescent="0.25">
      <c r="A874" s="1"/>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x14ac:dyDescent="0.25">
      <c r="A875" s="1"/>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x14ac:dyDescent="0.25">
      <c r="A876" s="1"/>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x14ac:dyDescent="0.25">
      <c r="A877" s="1"/>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x14ac:dyDescent="0.25">
      <c r="A878" s="1"/>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x14ac:dyDescent="0.25">
      <c r="A879" s="1"/>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x14ac:dyDescent="0.25">
      <c r="A880" s="1"/>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x14ac:dyDescent="0.25">
      <c r="A881" s="1"/>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x14ac:dyDescent="0.25">
      <c r="A882" s="1"/>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x14ac:dyDescent="0.25">
      <c r="A883" s="1"/>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x14ac:dyDescent="0.25">
      <c r="A884" s="1"/>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x14ac:dyDescent="0.25">
      <c r="A885" s="1"/>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x14ac:dyDescent="0.25">
      <c r="A886" s="1"/>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x14ac:dyDescent="0.25">
      <c r="A887" s="1"/>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x14ac:dyDescent="0.25">
      <c r="A888" s="1"/>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x14ac:dyDescent="0.25">
      <c r="A889" s="1"/>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x14ac:dyDescent="0.25">
      <c r="A890" s="1"/>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x14ac:dyDescent="0.25">
      <c r="A891" s="1"/>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x14ac:dyDescent="0.25">
      <c r="A892" s="1"/>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x14ac:dyDescent="0.25">
      <c r="A893" s="1"/>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x14ac:dyDescent="0.25">
      <c r="A894" s="1"/>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x14ac:dyDescent="0.25">
      <c r="A895" s="1"/>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x14ac:dyDescent="0.25">
      <c r="A896" s="1"/>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x14ac:dyDescent="0.25">
      <c r="A897" s="1"/>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x14ac:dyDescent="0.25">
      <c r="A898" s="1"/>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x14ac:dyDescent="0.25">
      <c r="A899" s="1"/>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x14ac:dyDescent="0.25">
      <c r="A900" s="1"/>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x14ac:dyDescent="0.25">
      <c r="A901" s="1"/>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x14ac:dyDescent="0.25">
      <c r="A902" s="1"/>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x14ac:dyDescent="0.25">
      <c r="A903" s="1"/>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x14ac:dyDescent="0.25">
      <c r="A904" s="1"/>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x14ac:dyDescent="0.25">
      <c r="A905" s="1"/>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x14ac:dyDescent="0.25">
      <c r="A906" s="1"/>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x14ac:dyDescent="0.25">
      <c r="A907" s="1"/>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x14ac:dyDescent="0.25">
      <c r="A908" s="1"/>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x14ac:dyDescent="0.25">
      <c r="A909" s="1"/>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x14ac:dyDescent="0.25">
      <c r="A910" s="1"/>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x14ac:dyDescent="0.25">
      <c r="A911" s="1"/>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x14ac:dyDescent="0.25">
      <c r="A912" s="1"/>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x14ac:dyDescent="0.25">
      <c r="A913" s="1"/>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x14ac:dyDescent="0.25">
      <c r="A914" s="1"/>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x14ac:dyDescent="0.25">
      <c r="A915" s="1"/>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x14ac:dyDescent="0.25">
      <c r="A916" s="1"/>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x14ac:dyDescent="0.25">
      <c r="A917" s="1"/>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x14ac:dyDescent="0.25">
      <c r="A918" s="1"/>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x14ac:dyDescent="0.25">
      <c r="A919" s="1"/>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x14ac:dyDescent="0.25">
      <c r="A920" s="1"/>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x14ac:dyDescent="0.25">
      <c r="A921" s="1"/>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x14ac:dyDescent="0.25">
      <c r="A922" s="1"/>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x14ac:dyDescent="0.25">
      <c r="A923" s="1"/>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x14ac:dyDescent="0.25">
      <c r="A924" s="1"/>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x14ac:dyDescent="0.25">
      <c r="A925" s="1"/>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x14ac:dyDescent="0.25">
      <c r="A926" s="1"/>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x14ac:dyDescent="0.25">
      <c r="A927" s="1"/>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x14ac:dyDescent="0.25">
      <c r="A928" s="1"/>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x14ac:dyDescent="0.25">
      <c r="A929" s="1"/>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x14ac:dyDescent="0.25">
      <c r="A930" s="1"/>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x14ac:dyDescent="0.25">
      <c r="A931" s="1"/>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x14ac:dyDescent="0.25">
      <c r="A932" s="1"/>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x14ac:dyDescent="0.25">
      <c r="A933" s="1"/>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x14ac:dyDescent="0.25">
      <c r="A934" s="1"/>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x14ac:dyDescent="0.25">
      <c r="A935" s="1"/>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x14ac:dyDescent="0.25">
      <c r="A936" s="1"/>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x14ac:dyDescent="0.25">
      <c r="A937" s="1"/>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x14ac:dyDescent="0.25">
      <c r="A938" s="1"/>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x14ac:dyDescent="0.25">
      <c r="A939" s="1"/>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x14ac:dyDescent="0.25">
      <c r="A940" s="1"/>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x14ac:dyDescent="0.25">
      <c r="A941" s="1"/>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x14ac:dyDescent="0.25">
      <c r="A942" s="1"/>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x14ac:dyDescent="0.25">
      <c r="A943" s="1"/>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x14ac:dyDescent="0.25">
      <c r="A944" s="1"/>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x14ac:dyDescent="0.25">
      <c r="A945" s="1"/>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x14ac:dyDescent="0.25">
      <c r="A946" s="1"/>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x14ac:dyDescent="0.25">
      <c r="A947" s="1"/>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x14ac:dyDescent="0.25">
      <c r="A948" s="1"/>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x14ac:dyDescent="0.25">
      <c r="A949" s="1"/>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x14ac:dyDescent="0.25">
      <c r="A950" s="1"/>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x14ac:dyDescent="0.25">
      <c r="A951" s="1"/>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x14ac:dyDescent="0.25">
      <c r="A952" s="1"/>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x14ac:dyDescent="0.25">
      <c r="A953" s="1"/>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x14ac:dyDescent="0.25">
      <c r="A954" s="1"/>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x14ac:dyDescent="0.25">
      <c r="A955" s="1"/>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x14ac:dyDescent="0.25">
      <c r="A956" s="1"/>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x14ac:dyDescent="0.25">
      <c r="A957" s="1"/>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x14ac:dyDescent="0.25">
      <c r="A958" s="1"/>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x14ac:dyDescent="0.25">
      <c r="A959" s="1"/>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x14ac:dyDescent="0.25">
      <c r="A960" s="1"/>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x14ac:dyDescent="0.25">
      <c r="A961" s="1"/>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x14ac:dyDescent="0.25">
      <c r="A962" s="1"/>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x14ac:dyDescent="0.25">
      <c r="A963" s="1"/>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x14ac:dyDescent="0.25">
      <c r="A964" s="1"/>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x14ac:dyDescent="0.25">
      <c r="A965" s="1"/>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x14ac:dyDescent="0.25">
      <c r="A966" s="1"/>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x14ac:dyDescent="0.25">
      <c r="A967" s="1"/>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x14ac:dyDescent="0.25">
      <c r="A968" s="1"/>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x14ac:dyDescent="0.25">
      <c r="A969" s="1"/>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x14ac:dyDescent="0.25">
      <c r="A970" s="1"/>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x14ac:dyDescent="0.25">
      <c r="A971" s="1"/>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x14ac:dyDescent="0.25">
      <c r="A972" s="1"/>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x14ac:dyDescent="0.25">
      <c r="A973" s="1"/>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x14ac:dyDescent="0.25">
      <c r="A974" s="1"/>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x14ac:dyDescent="0.25">
      <c r="A975" s="1"/>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x14ac:dyDescent="0.25">
      <c r="A976" s="1"/>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x14ac:dyDescent="0.25">
      <c r="A977" s="1"/>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x14ac:dyDescent="0.25">
      <c r="A978" s="1"/>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x14ac:dyDescent="0.25">
      <c r="A979" s="1"/>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x14ac:dyDescent="0.25">
      <c r="A980" s="1"/>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x14ac:dyDescent="0.25">
      <c r="A981" s="1"/>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x14ac:dyDescent="0.25">
      <c r="A982" s="1"/>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x14ac:dyDescent="0.25">
      <c r="A983" s="1"/>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x14ac:dyDescent="0.25">
      <c r="A984" s="1"/>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x14ac:dyDescent="0.25">
      <c r="A985" s="1"/>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x14ac:dyDescent="0.25">
      <c r="A986" s="1"/>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x14ac:dyDescent="0.25">
      <c r="A987" s="1"/>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x14ac:dyDescent="0.25">
      <c r="A988" s="1"/>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x14ac:dyDescent="0.25">
      <c r="A989" s="1"/>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x14ac:dyDescent="0.25">
      <c r="A990" s="1"/>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x14ac:dyDescent="0.25">
      <c r="A991" s="1"/>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x14ac:dyDescent="0.25">
      <c r="A992" s="1"/>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x14ac:dyDescent="0.25">
      <c r="A993" s="1"/>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x14ac:dyDescent="0.25">
      <c r="A994" s="1"/>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x14ac:dyDescent="0.25">
      <c r="A995" s="1"/>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x14ac:dyDescent="0.25">
      <c r="A996" s="1"/>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x14ac:dyDescent="0.25">
      <c r="A997" s="1"/>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x14ac:dyDescent="0.25">
      <c r="A998" s="1"/>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x14ac:dyDescent="0.25">
      <c r="A999" s="1"/>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x14ac:dyDescent="0.25">
      <c r="A1000" s="1"/>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hyperlinks>
    <hyperlink ref="A80" r:id="rId1" xr:uid="{00000000-0004-0000-0200-000000000000}"/>
    <hyperlink ref="A81" r:id="rId2" xr:uid="{00000000-0004-0000-0200-000001000000}"/>
    <hyperlink ref="A82" r:id="rId3" xr:uid="{00000000-0004-0000-0200-000002000000}"/>
    <hyperlink ref="A83" r:id="rId4" xr:uid="{00000000-0004-0000-0200-000003000000}"/>
    <hyperlink ref="A84" r:id="rId5" xr:uid="{00000000-0004-0000-0200-000004000000}"/>
    <hyperlink ref="A85" r:id="rId6" xr:uid="{00000000-0004-0000-0200-000005000000}"/>
  </hyperlinks>
  <pageMargins left="0.7" right="0.7" top="0.75" bottom="0.75" header="0" footer="0"/>
  <pageSetup orientation="portrait"/>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showGridLines="0" topLeftCell="A22" zoomScale="74" workbookViewId="0">
      <selection activeCell="H38" sqref="H38"/>
    </sheetView>
  </sheetViews>
  <sheetFormatPr defaultColWidth="14.42578125" defaultRowHeight="15" customHeight="1" x14ac:dyDescent="0.25"/>
  <cols>
    <col min="1" max="1" width="12.7109375" customWidth="1"/>
    <col min="2" max="2" width="82.85546875" customWidth="1"/>
    <col min="3" max="26" width="8.85546875" customWidth="1"/>
  </cols>
  <sheetData>
    <row r="1" spans="1:26" ht="60" customHeight="1" x14ac:dyDescent="0.25">
      <c r="A1" s="1" t="s">
        <v>159</v>
      </c>
      <c r="B1" s="3"/>
      <c r="I1" s="3"/>
      <c r="J1" s="3"/>
      <c r="K1" s="3"/>
      <c r="L1" s="3"/>
      <c r="M1" s="3"/>
      <c r="N1" s="3"/>
      <c r="O1" s="3"/>
      <c r="P1" s="3"/>
      <c r="Q1" s="3"/>
      <c r="R1" s="3"/>
      <c r="S1" s="3"/>
      <c r="T1" s="3"/>
      <c r="U1" s="3"/>
      <c r="V1" s="3"/>
      <c r="W1" s="3"/>
      <c r="X1" s="3"/>
      <c r="Y1" s="3"/>
      <c r="Z1" s="3"/>
    </row>
    <row r="2" spans="1:26" ht="15" customHeight="1" x14ac:dyDescent="0.25">
      <c r="A2" s="1" t="s">
        <v>160</v>
      </c>
      <c r="B2" s="3"/>
      <c r="I2" s="3"/>
      <c r="J2" s="3"/>
      <c r="K2" s="3"/>
      <c r="L2" s="3"/>
      <c r="M2" s="3"/>
      <c r="N2" s="3"/>
      <c r="O2" s="3"/>
      <c r="P2" s="3"/>
      <c r="Q2" s="3"/>
      <c r="R2" s="3"/>
      <c r="S2" s="3"/>
      <c r="T2" s="3"/>
      <c r="U2" s="3"/>
      <c r="V2" s="3"/>
      <c r="W2" s="3"/>
      <c r="X2" s="3"/>
      <c r="Y2" s="3"/>
      <c r="Z2" s="3"/>
    </row>
    <row r="3" spans="1:26" ht="15" customHeight="1" x14ac:dyDescent="0.25">
      <c r="A3" s="1" t="s">
        <v>161</v>
      </c>
      <c r="B3" s="3"/>
      <c r="I3" s="3"/>
      <c r="J3" s="3"/>
      <c r="K3" s="3"/>
      <c r="L3" s="3"/>
      <c r="M3" s="3"/>
      <c r="N3" s="3"/>
      <c r="O3" s="3"/>
      <c r="P3" s="3"/>
      <c r="Q3" s="3"/>
      <c r="R3" s="3"/>
      <c r="S3" s="3"/>
      <c r="T3" s="3"/>
      <c r="U3" s="3"/>
      <c r="V3" s="3"/>
      <c r="W3" s="3"/>
      <c r="X3" s="3"/>
      <c r="Y3" s="3"/>
      <c r="Z3" s="3"/>
    </row>
    <row r="4" spans="1:26" ht="15" customHeight="1" x14ac:dyDescent="0.25">
      <c r="A4" s="1" t="s">
        <v>162</v>
      </c>
      <c r="B4" s="3"/>
      <c r="I4" s="3"/>
      <c r="J4" s="3"/>
      <c r="K4" s="3"/>
      <c r="L4" s="3"/>
      <c r="M4" s="3"/>
      <c r="N4" s="3"/>
      <c r="O4" s="3"/>
      <c r="P4" s="3"/>
      <c r="Q4" s="3"/>
      <c r="R4" s="3"/>
      <c r="S4" s="3"/>
      <c r="T4" s="3"/>
      <c r="U4" s="3"/>
      <c r="V4" s="3"/>
      <c r="W4" s="3"/>
      <c r="X4" s="3"/>
      <c r="Y4" s="3"/>
      <c r="Z4" s="3"/>
    </row>
    <row r="5" spans="1:26" ht="15" customHeight="1" x14ac:dyDescent="0.25">
      <c r="A5" s="1" t="s">
        <v>163</v>
      </c>
      <c r="B5" s="3"/>
      <c r="C5" s="5" t="s">
        <v>21</v>
      </c>
      <c r="D5" s="6" t="s">
        <v>23</v>
      </c>
      <c r="E5" s="6" t="s">
        <v>25</v>
      </c>
      <c r="F5" s="6" t="s">
        <v>27</v>
      </c>
      <c r="G5" s="6" t="s">
        <v>28</v>
      </c>
      <c r="H5" s="6" t="s">
        <v>29</v>
      </c>
      <c r="I5" s="7"/>
      <c r="J5" s="7"/>
      <c r="K5" s="7"/>
      <c r="L5" s="7"/>
      <c r="M5" s="7"/>
      <c r="N5" s="7"/>
      <c r="O5" s="7"/>
      <c r="P5" s="7"/>
      <c r="Q5" s="7"/>
      <c r="R5" s="7"/>
      <c r="S5" s="7"/>
      <c r="T5" s="7"/>
      <c r="U5" s="7"/>
      <c r="V5" s="7"/>
      <c r="W5" s="7"/>
      <c r="X5" s="7"/>
      <c r="Y5" s="7"/>
      <c r="Z5" s="7"/>
    </row>
    <row r="6" spans="1:26" ht="15" customHeight="1" x14ac:dyDescent="0.25">
      <c r="A6" s="1" t="s">
        <v>164</v>
      </c>
      <c r="B6" s="3"/>
      <c r="C6" s="5" t="s">
        <v>4</v>
      </c>
      <c r="D6" s="6">
        <v>50</v>
      </c>
      <c r="E6" s="6">
        <v>100</v>
      </c>
      <c r="F6" s="6">
        <v>40</v>
      </c>
      <c r="G6" s="6">
        <v>50</v>
      </c>
      <c r="H6" s="6">
        <v>20</v>
      </c>
      <c r="I6" s="7"/>
      <c r="J6" s="7"/>
      <c r="K6" s="7"/>
      <c r="L6" s="7"/>
      <c r="M6" s="7"/>
      <c r="N6" s="7"/>
      <c r="O6" s="7"/>
      <c r="P6" s="7"/>
      <c r="Q6" s="7"/>
      <c r="R6" s="7"/>
      <c r="S6" s="7"/>
      <c r="T6" s="7"/>
      <c r="U6" s="7"/>
      <c r="V6" s="7"/>
      <c r="W6" s="7"/>
      <c r="X6" s="7"/>
      <c r="Y6" s="7"/>
      <c r="Z6" s="7"/>
    </row>
    <row r="7" spans="1:26" ht="15" customHeight="1" x14ac:dyDescent="0.25">
      <c r="A7" s="1" t="s">
        <v>165</v>
      </c>
      <c r="B7" s="3"/>
      <c r="I7" s="7"/>
      <c r="J7" s="7"/>
      <c r="K7" s="7"/>
      <c r="L7" s="7"/>
      <c r="M7" s="7"/>
      <c r="N7" s="7"/>
      <c r="O7" s="7"/>
      <c r="P7" s="7"/>
      <c r="Q7" s="7"/>
      <c r="R7" s="7"/>
      <c r="S7" s="7"/>
      <c r="T7" s="7"/>
      <c r="U7" s="7"/>
      <c r="V7" s="7"/>
      <c r="W7" s="7"/>
      <c r="X7" s="7"/>
      <c r="Y7" s="7"/>
      <c r="Z7" s="7"/>
    </row>
    <row r="8" spans="1:26" ht="15" customHeight="1" x14ac:dyDescent="0.25">
      <c r="A8" s="1" t="s">
        <v>166</v>
      </c>
      <c r="B8" s="3"/>
      <c r="I8" s="7"/>
      <c r="J8" s="7"/>
      <c r="K8" s="7"/>
      <c r="L8" s="7"/>
      <c r="M8" s="7"/>
      <c r="N8" s="7"/>
      <c r="O8" s="7"/>
      <c r="P8" s="7"/>
      <c r="Q8" s="7"/>
      <c r="R8" s="7"/>
      <c r="S8" s="7"/>
      <c r="T8" s="7"/>
      <c r="U8" s="7"/>
      <c r="V8" s="7"/>
      <c r="W8" s="7"/>
      <c r="X8" s="7"/>
      <c r="Y8" s="7"/>
      <c r="Z8" s="7"/>
    </row>
    <row r="9" spans="1:26" ht="15" customHeight="1" x14ac:dyDescent="0.25">
      <c r="A9" s="1" t="s">
        <v>26</v>
      </c>
      <c r="B9" s="3" t="s">
        <v>167</v>
      </c>
      <c r="C9" s="5" t="s">
        <v>21</v>
      </c>
      <c r="D9" s="5" t="s">
        <v>4</v>
      </c>
      <c r="I9" s="7"/>
      <c r="J9" s="7"/>
      <c r="K9" s="7"/>
      <c r="L9" s="7"/>
      <c r="M9" s="7"/>
      <c r="N9" s="7"/>
      <c r="O9" s="7"/>
      <c r="P9" s="7"/>
      <c r="Q9" s="7"/>
      <c r="R9" s="7"/>
      <c r="S9" s="7"/>
      <c r="T9" s="7"/>
      <c r="U9" s="7"/>
      <c r="V9" s="7"/>
      <c r="W9" s="7"/>
      <c r="X9" s="7"/>
      <c r="Y9" s="7"/>
      <c r="Z9" s="7"/>
    </row>
    <row r="10" spans="1:26" ht="15" customHeight="1" x14ac:dyDescent="0.25">
      <c r="A10" s="1"/>
      <c r="B10" s="3"/>
      <c r="C10" s="6" t="s">
        <v>23</v>
      </c>
      <c r="D10" s="6">
        <v>50</v>
      </c>
      <c r="I10" s="7"/>
      <c r="J10" s="7"/>
      <c r="K10" s="7"/>
      <c r="L10" s="7"/>
      <c r="M10" s="7"/>
      <c r="N10" s="7"/>
      <c r="O10" s="7"/>
      <c r="P10" s="7"/>
      <c r="Q10" s="7"/>
      <c r="R10" s="7"/>
      <c r="S10" s="7"/>
      <c r="T10" s="7"/>
      <c r="U10" s="7"/>
      <c r="V10" s="7"/>
      <c r="W10" s="7"/>
      <c r="X10" s="7"/>
      <c r="Y10" s="7"/>
      <c r="Z10" s="7"/>
    </row>
    <row r="11" spans="1:26" ht="15" customHeight="1" x14ac:dyDescent="0.25">
      <c r="A11" s="1"/>
      <c r="B11" s="3"/>
      <c r="C11" s="6" t="s">
        <v>25</v>
      </c>
      <c r="D11" s="6">
        <v>100</v>
      </c>
      <c r="I11" s="7"/>
      <c r="J11" s="7"/>
      <c r="K11" s="7"/>
      <c r="L11" s="7"/>
      <c r="M11" s="7"/>
      <c r="N11" s="7"/>
      <c r="O11" s="7"/>
      <c r="P11" s="7"/>
      <c r="Q11" s="7"/>
      <c r="R11" s="7"/>
      <c r="S11" s="7"/>
      <c r="T11" s="7"/>
      <c r="U11" s="7"/>
      <c r="V11" s="7"/>
      <c r="W11" s="7"/>
      <c r="X11" s="7"/>
      <c r="Y11" s="7"/>
      <c r="Z11" s="7"/>
    </row>
    <row r="12" spans="1:26" ht="15" customHeight="1" x14ac:dyDescent="0.25">
      <c r="A12" s="1"/>
      <c r="B12" s="3"/>
      <c r="C12" s="6" t="s">
        <v>27</v>
      </c>
      <c r="D12" s="6">
        <v>40</v>
      </c>
      <c r="I12" s="7"/>
      <c r="J12" s="7"/>
      <c r="K12" s="7"/>
      <c r="L12" s="7"/>
      <c r="M12" s="7"/>
      <c r="N12" s="7"/>
      <c r="O12" s="7"/>
      <c r="P12" s="7"/>
      <c r="Q12" s="7"/>
      <c r="R12" s="7"/>
      <c r="S12" s="7"/>
      <c r="T12" s="7"/>
      <c r="U12" s="7"/>
      <c r="V12" s="7"/>
      <c r="W12" s="7"/>
      <c r="X12" s="7"/>
      <c r="Y12" s="7"/>
      <c r="Z12" s="7"/>
    </row>
    <row r="13" spans="1:26" ht="15" customHeight="1" x14ac:dyDescent="0.25">
      <c r="A13" s="1"/>
      <c r="B13" s="3"/>
      <c r="C13" s="6" t="s">
        <v>28</v>
      </c>
      <c r="D13" s="6">
        <v>50</v>
      </c>
      <c r="I13" s="7"/>
      <c r="J13" s="7"/>
      <c r="K13" s="7"/>
      <c r="L13" s="7"/>
      <c r="M13" s="7"/>
      <c r="N13" s="7"/>
      <c r="O13" s="7"/>
      <c r="P13" s="7"/>
      <c r="Q13" s="7"/>
      <c r="R13" s="7"/>
      <c r="S13" s="7"/>
      <c r="T13" s="7"/>
      <c r="U13" s="7"/>
      <c r="V13" s="7"/>
      <c r="W13" s="7"/>
      <c r="X13" s="7"/>
      <c r="Y13" s="7"/>
      <c r="Z13" s="7"/>
    </row>
    <row r="14" spans="1:26" ht="15" customHeight="1" x14ac:dyDescent="0.25">
      <c r="A14" s="1"/>
      <c r="B14" s="3"/>
      <c r="C14" s="6" t="s">
        <v>29</v>
      </c>
      <c r="D14" s="6">
        <v>20</v>
      </c>
      <c r="I14" s="7"/>
      <c r="J14" s="7"/>
      <c r="K14" s="7"/>
      <c r="L14" s="7"/>
      <c r="M14" s="7"/>
      <c r="N14" s="7"/>
      <c r="O14" s="7"/>
      <c r="P14" s="7"/>
      <c r="Q14" s="7"/>
      <c r="R14" s="7"/>
      <c r="S14" s="7"/>
      <c r="T14" s="7"/>
      <c r="U14" s="7"/>
      <c r="V14" s="7"/>
      <c r="W14" s="7"/>
      <c r="X14" s="7"/>
      <c r="Y14" s="7"/>
      <c r="Z14" s="7"/>
    </row>
    <row r="15" spans="1:26" ht="15" customHeight="1" x14ac:dyDescent="0.25">
      <c r="A15" s="1"/>
      <c r="B15" s="3"/>
      <c r="I15" s="7"/>
      <c r="J15" s="7"/>
      <c r="K15" s="7"/>
      <c r="L15" s="7"/>
      <c r="M15" s="7"/>
      <c r="N15" s="7"/>
      <c r="O15" s="7"/>
      <c r="P15" s="7"/>
      <c r="Q15" s="7"/>
      <c r="R15" s="7"/>
      <c r="S15" s="7"/>
      <c r="T15" s="7"/>
      <c r="U15" s="7"/>
      <c r="V15" s="7"/>
      <c r="W15" s="7"/>
      <c r="X15" s="7"/>
      <c r="Y15" s="7"/>
      <c r="Z15" s="7"/>
    </row>
    <row r="16" spans="1:26" ht="15" customHeight="1" x14ac:dyDescent="0.25">
      <c r="A16" s="1"/>
      <c r="B16" s="3"/>
      <c r="I16" s="7"/>
      <c r="J16" s="7"/>
      <c r="K16" s="7"/>
      <c r="L16" s="7"/>
      <c r="M16" s="7"/>
      <c r="N16" s="7"/>
      <c r="O16" s="7"/>
      <c r="P16" s="7"/>
      <c r="Q16" s="7"/>
      <c r="R16" s="7"/>
      <c r="S16" s="7"/>
      <c r="T16" s="7"/>
      <c r="U16" s="7"/>
      <c r="V16" s="7"/>
      <c r="W16" s="7"/>
      <c r="X16" s="7"/>
      <c r="Y16" s="7"/>
      <c r="Z16" s="7"/>
    </row>
    <row r="17" spans="1:26" ht="15" customHeight="1" x14ac:dyDescent="0.25">
      <c r="A17" s="1"/>
      <c r="B17" s="3"/>
      <c r="I17" s="7"/>
      <c r="J17" s="7"/>
      <c r="K17" s="7"/>
      <c r="L17" s="7"/>
      <c r="M17" s="7"/>
      <c r="N17" s="7"/>
      <c r="O17" s="7"/>
      <c r="P17" s="7"/>
      <c r="Q17" s="7"/>
      <c r="R17" s="7"/>
      <c r="S17" s="7"/>
      <c r="T17" s="7"/>
      <c r="U17" s="7"/>
      <c r="V17" s="7"/>
      <c r="W17" s="7"/>
      <c r="X17" s="7"/>
      <c r="Y17" s="7"/>
      <c r="Z17" s="7"/>
    </row>
    <row r="18" spans="1:26" ht="15" customHeight="1" x14ac:dyDescent="0.25">
      <c r="A18" s="1"/>
      <c r="B18" s="3"/>
      <c r="I18" s="7"/>
      <c r="J18" s="7"/>
      <c r="K18" s="7"/>
      <c r="L18" s="7"/>
      <c r="M18" s="7"/>
      <c r="N18" s="7"/>
      <c r="O18" s="7"/>
      <c r="P18" s="7"/>
      <c r="Q18" s="7"/>
      <c r="R18" s="7"/>
      <c r="S18" s="7"/>
      <c r="T18" s="7"/>
      <c r="U18" s="7"/>
      <c r="V18" s="7"/>
      <c r="W18" s="7"/>
      <c r="X18" s="7"/>
      <c r="Y18" s="7"/>
      <c r="Z18" s="7"/>
    </row>
    <row r="19" spans="1:26" ht="15" customHeight="1" x14ac:dyDescent="0.25">
      <c r="A19" s="1"/>
      <c r="B19" s="3"/>
      <c r="I19" s="7"/>
      <c r="J19" s="7"/>
      <c r="K19" s="7"/>
      <c r="L19" s="7"/>
      <c r="M19" s="7"/>
      <c r="N19" s="7"/>
      <c r="O19" s="7"/>
      <c r="P19" s="7"/>
      <c r="Q19" s="7"/>
      <c r="R19" s="7"/>
      <c r="S19" s="7"/>
      <c r="T19" s="7"/>
      <c r="U19" s="7"/>
      <c r="V19" s="7"/>
      <c r="W19" s="7"/>
      <c r="X19" s="7"/>
      <c r="Y19" s="7"/>
      <c r="Z19" s="7"/>
    </row>
    <row r="20" spans="1:26" ht="15" customHeight="1" x14ac:dyDescent="0.25">
      <c r="A20" s="1"/>
      <c r="B20" s="3"/>
      <c r="I20" s="7"/>
      <c r="J20" s="7"/>
      <c r="K20" s="7"/>
      <c r="L20" s="7"/>
      <c r="M20" s="7"/>
      <c r="N20" s="7"/>
      <c r="O20" s="7"/>
      <c r="P20" s="7"/>
      <c r="Q20" s="7"/>
      <c r="R20" s="7"/>
      <c r="S20" s="7"/>
      <c r="T20" s="7"/>
      <c r="U20" s="7"/>
      <c r="V20" s="7"/>
      <c r="W20" s="7"/>
      <c r="X20" s="7"/>
      <c r="Y20" s="7"/>
      <c r="Z20" s="7"/>
    </row>
    <row r="21" spans="1:26" ht="15" customHeight="1" x14ac:dyDescent="0.25">
      <c r="A21" s="1"/>
      <c r="B21" s="3"/>
      <c r="I21" s="7"/>
      <c r="J21" s="7"/>
      <c r="K21" s="7"/>
      <c r="L21" s="7"/>
      <c r="M21" s="7"/>
      <c r="N21" s="7"/>
      <c r="O21" s="7"/>
      <c r="P21" s="7"/>
      <c r="Q21" s="7"/>
      <c r="R21" s="7"/>
      <c r="S21" s="7"/>
      <c r="T21" s="7"/>
      <c r="U21" s="7"/>
      <c r="V21" s="7"/>
      <c r="W21" s="7"/>
      <c r="X21" s="7"/>
      <c r="Y21" s="7"/>
      <c r="Z21" s="7"/>
    </row>
    <row r="22" spans="1:26" ht="15" customHeight="1" x14ac:dyDescent="0.25">
      <c r="A22" s="1"/>
      <c r="B22" s="3"/>
      <c r="C22" s="7"/>
      <c r="D22" s="7"/>
      <c r="E22" s="7"/>
      <c r="F22" s="7"/>
      <c r="G22" s="7"/>
      <c r="H22" s="7"/>
      <c r="I22" s="7"/>
      <c r="J22" s="7"/>
      <c r="K22" s="7"/>
      <c r="L22" s="7"/>
      <c r="M22" s="7"/>
      <c r="N22" s="7"/>
      <c r="O22" s="7"/>
      <c r="P22" s="7"/>
      <c r="Q22" s="7"/>
      <c r="R22" s="7"/>
      <c r="S22" s="7"/>
      <c r="T22" s="7"/>
      <c r="U22" s="7"/>
      <c r="V22" s="7"/>
      <c r="W22" s="7"/>
      <c r="X22" s="7"/>
      <c r="Y22" s="7"/>
      <c r="Z22" s="7"/>
    </row>
    <row r="23" spans="1:26" ht="15" customHeight="1" x14ac:dyDescent="0.25">
      <c r="A23" s="1"/>
      <c r="B23" s="3"/>
      <c r="C23" s="7"/>
      <c r="D23" s="7"/>
      <c r="E23" s="7"/>
      <c r="F23" s="7"/>
      <c r="G23" s="7"/>
      <c r="H23" s="7"/>
      <c r="I23" s="7"/>
      <c r="J23" s="7"/>
      <c r="K23" s="7"/>
      <c r="L23" s="7"/>
      <c r="M23" s="7"/>
      <c r="N23" s="7"/>
      <c r="O23" s="7"/>
      <c r="P23" s="7"/>
      <c r="Q23" s="7"/>
      <c r="R23" s="7"/>
      <c r="S23" s="7"/>
      <c r="T23" s="7"/>
      <c r="U23" s="7"/>
      <c r="V23" s="7"/>
      <c r="W23" s="7"/>
      <c r="X23" s="7"/>
      <c r="Y23" s="7"/>
      <c r="Z23" s="7"/>
    </row>
    <row r="24" spans="1:26" ht="15" customHeight="1" x14ac:dyDescent="0.25">
      <c r="A24" s="1"/>
      <c r="B24" s="3"/>
      <c r="C24" s="7"/>
      <c r="D24" s="7"/>
      <c r="E24" s="7"/>
      <c r="F24" s="7"/>
      <c r="G24" s="7"/>
      <c r="H24" s="7"/>
      <c r="I24" s="7"/>
      <c r="J24" s="7"/>
      <c r="K24" s="7"/>
      <c r="L24" s="7"/>
      <c r="M24" s="7"/>
      <c r="N24" s="7"/>
      <c r="O24" s="7"/>
      <c r="P24" s="7"/>
      <c r="Q24" s="7"/>
      <c r="R24" s="7"/>
      <c r="S24" s="7"/>
      <c r="T24" s="7"/>
      <c r="U24" s="7"/>
      <c r="V24" s="7"/>
      <c r="W24" s="7"/>
      <c r="X24" s="7"/>
      <c r="Y24" s="7"/>
      <c r="Z24" s="7"/>
    </row>
    <row r="25" spans="1:26" ht="15.75" customHeight="1" x14ac:dyDescent="0.25">
      <c r="A25" s="1"/>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x14ac:dyDescent="0.25">
      <c r="A26" s="1"/>
      <c r="B26" s="3"/>
      <c r="C26" s="3"/>
      <c r="D26" s="3"/>
      <c r="E26" s="3"/>
      <c r="F26" s="3"/>
      <c r="G26" s="3"/>
      <c r="H26" s="3"/>
      <c r="I26" s="3"/>
      <c r="J26" s="3"/>
      <c r="K26" s="3"/>
      <c r="L26" s="3"/>
      <c r="M26" s="3"/>
      <c r="N26" s="3"/>
      <c r="O26" s="3"/>
      <c r="P26" s="3"/>
      <c r="Q26" s="3"/>
      <c r="R26" s="3"/>
      <c r="S26" s="3"/>
      <c r="T26" s="3"/>
      <c r="U26" s="3"/>
      <c r="V26" s="3"/>
      <c r="W26" s="3"/>
      <c r="X26" s="3"/>
      <c r="Y26" s="3"/>
      <c r="Z26" s="3"/>
    </row>
    <row r="27" spans="1:26" ht="15" customHeight="1" x14ac:dyDescent="0.25">
      <c r="A27" s="1" t="s">
        <v>168</v>
      </c>
      <c r="B27" s="3"/>
      <c r="C27" s="3"/>
      <c r="D27" s="3"/>
      <c r="E27" s="3"/>
      <c r="F27" s="3"/>
      <c r="G27" s="3"/>
      <c r="H27" s="3"/>
      <c r="I27" s="3"/>
      <c r="J27" s="3"/>
      <c r="K27" s="3"/>
      <c r="L27" s="3"/>
      <c r="M27" s="3"/>
      <c r="N27" s="3"/>
      <c r="O27" s="3"/>
      <c r="P27" s="3"/>
      <c r="Q27" s="3"/>
      <c r="R27" s="3"/>
      <c r="S27" s="3"/>
      <c r="T27" s="3"/>
      <c r="U27" s="3"/>
      <c r="V27" s="3"/>
      <c r="W27" s="3"/>
      <c r="X27" s="3"/>
      <c r="Y27" s="3"/>
      <c r="Z27" s="3"/>
    </row>
    <row r="28" spans="1:26" ht="15" customHeight="1" x14ac:dyDescent="0.25">
      <c r="A28" s="1" t="s">
        <v>169</v>
      </c>
      <c r="B28" s="3"/>
      <c r="C28" s="3"/>
      <c r="D28" s="3"/>
      <c r="E28" s="3"/>
      <c r="F28" s="3"/>
      <c r="G28" s="3"/>
      <c r="H28" s="3"/>
      <c r="I28" s="3"/>
      <c r="J28" s="3"/>
      <c r="K28" s="3"/>
      <c r="L28" s="3"/>
      <c r="M28" s="3"/>
      <c r="N28" s="3"/>
      <c r="O28" s="3"/>
      <c r="P28" s="3"/>
      <c r="Q28" s="3"/>
      <c r="R28" s="3"/>
      <c r="S28" s="3"/>
      <c r="T28" s="3"/>
      <c r="U28" s="3"/>
      <c r="V28" s="3"/>
      <c r="W28" s="3"/>
      <c r="X28" s="3"/>
      <c r="Y28" s="3"/>
      <c r="Z28" s="3"/>
    </row>
    <row r="29" spans="1:26" ht="15" customHeight="1" x14ac:dyDescent="0.25">
      <c r="A29" s="1" t="s">
        <v>170</v>
      </c>
      <c r="B29" s="3"/>
      <c r="H29" s="3"/>
      <c r="I29" s="3"/>
      <c r="J29" s="3"/>
      <c r="K29" s="3"/>
      <c r="L29" s="3"/>
      <c r="M29" s="3"/>
      <c r="N29" s="3"/>
      <c r="O29" s="3"/>
      <c r="P29" s="3"/>
      <c r="Q29" s="3"/>
      <c r="R29" s="3"/>
      <c r="S29" s="3"/>
      <c r="T29" s="3"/>
      <c r="U29" s="3"/>
      <c r="V29" s="3"/>
      <c r="W29" s="3"/>
      <c r="X29" s="3"/>
      <c r="Y29" s="3"/>
      <c r="Z29" s="3"/>
    </row>
    <row r="30" spans="1:26" ht="15" customHeight="1" x14ac:dyDescent="0.25">
      <c r="A30" s="12" t="s">
        <v>171</v>
      </c>
      <c r="B30" s="3"/>
      <c r="H30" s="3"/>
      <c r="I30" s="3"/>
      <c r="J30" s="3"/>
      <c r="K30" s="3"/>
      <c r="L30" s="3"/>
      <c r="M30" s="3"/>
      <c r="N30" s="3"/>
      <c r="O30" s="3"/>
      <c r="P30" s="3"/>
      <c r="Q30" s="3"/>
      <c r="R30" s="3"/>
      <c r="S30" s="3"/>
      <c r="T30" s="3"/>
      <c r="U30" s="3"/>
      <c r="V30" s="3"/>
      <c r="W30" s="3"/>
      <c r="X30" s="3"/>
      <c r="Y30" s="3"/>
      <c r="Z30" s="3"/>
    </row>
    <row r="31" spans="1:26" ht="15" customHeight="1" x14ac:dyDescent="0.25">
      <c r="A31" s="1" t="s">
        <v>172</v>
      </c>
      <c r="B31" s="3"/>
      <c r="H31" s="3"/>
      <c r="I31" s="3"/>
      <c r="J31" s="3"/>
      <c r="K31" s="3"/>
      <c r="L31" s="3"/>
      <c r="M31" s="3"/>
      <c r="N31" s="3"/>
      <c r="O31" s="3"/>
      <c r="P31" s="3"/>
      <c r="Q31" s="3"/>
      <c r="R31" s="3"/>
      <c r="S31" s="3"/>
      <c r="T31" s="3"/>
      <c r="U31" s="3"/>
      <c r="V31" s="3"/>
      <c r="W31" s="3"/>
      <c r="X31" s="3"/>
      <c r="Y31" s="3"/>
      <c r="Z31" s="3"/>
    </row>
    <row r="32" spans="1:26" ht="15" customHeight="1" x14ac:dyDescent="0.25">
      <c r="A32" s="1" t="s">
        <v>173</v>
      </c>
      <c r="B32" s="3"/>
      <c r="H32" s="3"/>
      <c r="I32" s="3"/>
      <c r="J32" s="3"/>
      <c r="K32" s="3"/>
      <c r="L32" s="3"/>
      <c r="M32" s="3"/>
      <c r="N32" s="3"/>
      <c r="O32" s="3"/>
      <c r="P32" s="3"/>
      <c r="Q32" s="3"/>
      <c r="R32" s="3"/>
      <c r="S32" s="3"/>
      <c r="T32" s="3"/>
      <c r="U32" s="3"/>
      <c r="V32" s="3"/>
      <c r="W32" s="3"/>
      <c r="X32" s="3"/>
      <c r="Y32" s="3"/>
      <c r="Z32" s="3"/>
    </row>
    <row r="33" spans="1:26" ht="15" customHeight="1" x14ac:dyDescent="0.25">
      <c r="A33" s="1" t="s">
        <v>174</v>
      </c>
      <c r="B33" s="3"/>
      <c r="C33" s="5" t="s">
        <v>21</v>
      </c>
      <c r="D33" s="6" t="s">
        <v>23</v>
      </c>
      <c r="E33" s="6" t="s">
        <v>25</v>
      </c>
      <c r="F33" s="6" t="s">
        <v>27</v>
      </c>
      <c r="G33" s="6" t="s">
        <v>28</v>
      </c>
      <c r="H33" s="6" t="s">
        <v>29</v>
      </c>
      <c r="I33" s="3"/>
      <c r="J33" s="3"/>
      <c r="K33" s="3"/>
      <c r="L33" s="3"/>
      <c r="M33" s="3"/>
      <c r="N33" s="3"/>
      <c r="O33" s="3"/>
      <c r="P33" s="3"/>
      <c r="Q33" s="3"/>
      <c r="R33" s="3"/>
      <c r="S33" s="3"/>
      <c r="T33" s="3"/>
      <c r="U33" s="3"/>
      <c r="V33" s="3"/>
      <c r="W33" s="3"/>
      <c r="X33" s="3"/>
      <c r="Y33" s="3"/>
      <c r="Z33" s="3"/>
    </row>
    <row r="34" spans="1:26" ht="15" customHeight="1" x14ac:dyDescent="0.25">
      <c r="A34" s="1"/>
      <c r="B34" s="3"/>
      <c r="C34" s="5" t="s">
        <v>4</v>
      </c>
      <c r="D34" s="6">
        <v>50</v>
      </c>
      <c r="E34" s="6">
        <v>100</v>
      </c>
      <c r="F34" s="6">
        <v>40</v>
      </c>
      <c r="G34" s="6">
        <v>50</v>
      </c>
      <c r="H34" s="6">
        <v>20</v>
      </c>
      <c r="I34" s="3"/>
      <c r="J34" s="3"/>
      <c r="K34" s="3"/>
      <c r="L34" s="3"/>
      <c r="M34" s="3"/>
      <c r="N34" s="3"/>
      <c r="O34" s="3"/>
      <c r="P34" s="3"/>
      <c r="Q34" s="3"/>
      <c r="R34" s="3"/>
      <c r="S34" s="3"/>
      <c r="T34" s="3"/>
      <c r="U34" s="3"/>
      <c r="V34" s="3"/>
      <c r="W34" s="3"/>
      <c r="X34" s="3"/>
      <c r="Y34" s="3"/>
      <c r="Z34" s="3"/>
    </row>
    <row r="35" spans="1:26" ht="15" customHeight="1" x14ac:dyDescent="0.25">
      <c r="A35" s="1"/>
      <c r="B35" s="3"/>
      <c r="I35" s="3"/>
      <c r="J35" s="3"/>
      <c r="K35" s="3"/>
      <c r="L35" s="3"/>
      <c r="M35" s="3"/>
      <c r="N35" s="3"/>
      <c r="O35" s="3"/>
      <c r="P35" s="3"/>
      <c r="Q35" s="3"/>
      <c r="R35" s="3"/>
      <c r="S35" s="3"/>
      <c r="T35" s="3"/>
      <c r="U35" s="3"/>
      <c r="V35" s="3"/>
      <c r="W35" s="3"/>
      <c r="X35" s="3"/>
      <c r="Y35" s="3"/>
      <c r="Z35" s="3"/>
    </row>
    <row r="36" spans="1:26" ht="15" customHeight="1" x14ac:dyDescent="0.25">
      <c r="A36" s="1"/>
      <c r="B36" s="3"/>
      <c r="I36" s="3"/>
      <c r="J36" s="3"/>
      <c r="K36" s="3"/>
      <c r="L36" s="3"/>
      <c r="M36" s="3"/>
      <c r="N36" s="3"/>
      <c r="O36" s="3"/>
      <c r="P36" s="3"/>
      <c r="Q36" s="3"/>
      <c r="R36" s="3"/>
      <c r="S36" s="3"/>
      <c r="T36" s="3"/>
      <c r="U36" s="3"/>
      <c r="V36" s="3"/>
      <c r="W36" s="3"/>
      <c r="X36" s="3"/>
      <c r="Y36" s="3"/>
      <c r="Z36" s="3"/>
    </row>
    <row r="37" spans="1:26" ht="15" customHeight="1" x14ac:dyDescent="0.25">
      <c r="A37" s="1"/>
      <c r="B37" s="3"/>
      <c r="I37" s="3"/>
      <c r="J37" s="3"/>
      <c r="K37" s="3"/>
      <c r="L37" s="3"/>
      <c r="M37" s="3"/>
      <c r="N37" s="3"/>
      <c r="O37" s="3"/>
      <c r="P37" s="3"/>
      <c r="Q37" s="3"/>
      <c r="R37" s="3"/>
      <c r="S37" s="3"/>
      <c r="T37" s="3"/>
      <c r="U37" s="3"/>
      <c r="V37" s="3"/>
      <c r="W37" s="3"/>
      <c r="X37" s="3"/>
      <c r="Y37" s="3"/>
      <c r="Z37" s="3"/>
    </row>
    <row r="38" spans="1:26" ht="15" customHeight="1" x14ac:dyDescent="0.25">
      <c r="A38" s="1"/>
      <c r="B38" s="3"/>
      <c r="C38" s="3"/>
      <c r="D38" s="3"/>
      <c r="H38" s="55" t="s">
        <v>477</v>
      </c>
      <c r="I38" s="3"/>
      <c r="J38" s="3"/>
      <c r="K38" s="3"/>
      <c r="L38" s="3"/>
      <c r="M38" s="3"/>
      <c r="N38" s="3"/>
      <c r="O38" s="3"/>
      <c r="P38" s="3"/>
      <c r="Q38" s="3"/>
      <c r="R38" s="3"/>
      <c r="S38" s="3"/>
      <c r="T38" s="3"/>
      <c r="U38" s="3"/>
      <c r="V38" s="3"/>
      <c r="W38" s="3"/>
      <c r="X38" s="3"/>
      <c r="Y38" s="3"/>
      <c r="Z38" s="3"/>
    </row>
    <row r="39" spans="1:26" ht="15" customHeight="1" x14ac:dyDescent="0.25">
      <c r="A39" s="1"/>
      <c r="B39" s="3"/>
      <c r="C39" s="3"/>
      <c r="D39" s="3"/>
      <c r="I39" s="3"/>
      <c r="J39" s="3"/>
      <c r="K39" s="3"/>
      <c r="L39" s="3"/>
      <c r="M39" s="3"/>
      <c r="N39" s="3"/>
      <c r="O39" s="3"/>
      <c r="P39" s="3"/>
      <c r="Q39" s="3"/>
      <c r="R39" s="3"/>
      <c r="S39" s="3"/>
      <c r="T39" s="3"/>
      <c r="U39" s="3"/>
      <c r="V39" s="3"/>
      <c r="W39" s="3"/>
      <c r="X39" s="3"/>
      <c r="Y39" s="3"/>
      <c r="Z39" s="3"/>
    </row>
    <row r="40" spans="1:26" ht="15" customHeight="1" x14ac:dyDescent="0.25">
      <c r="A40" s="1"/>
      <c r="B40" s="3"/>
      <c r="C40" s="9" t="str">
        <f t="array" ref="C40:D45">TRANSPOSE(C33:H34)</f>
        <v>Item</v>
      </c>
      <c r="D40" s="9" t="str">
        <v>Amount</v>
      </c>
      <c r="I40" s="3"/>
      <c r="J40" s="3"/>
      <c r="K40" s="3"/>
      <c r="L40" s="3"/>
      <c r="M40" s="3"/>
      <c r="N40" s="3"/>
      <c r="O40" s="3"/>
      <c r="P40" s="3"/>
      <c r="Q40" s="3"/>
      <c r="R40" s="3"/>
      <c r="S40" s="3"/>
      <c r="T40" s="3"/>
      <c r="U40" s="3"/>
      <c r="V40" s="3"/>
      <c r="W40" s="3"/>
      <c r="X40" s="3"/>
      <c r="Y40" s="3"/>
      <c r="Z40" s="3"/>
    </row>
    <row r="41" spans="1:26" ht="15" customHeight="1" x14ac:dyDescent="0.25">
      <c r="A41" s="1"/>
      <c r="B41" s="3"/>
      <c r="C41" s="9" t="str">
        <v>Bread</v>
      </c>
      <c r="D41" s="9">
        <v>50</v>
      </c>
      <c r="I41" s="3"/>
      <c r="J41" s="3"/>
      <c r="K41" s="3"/>
      <c r="L41" s="3"/>
      <c r="M41" s="3"/>
      <c r="N41" s="3"/>
      <c r="O41" s="3"/>
      <c r="P41" s="3"/>
      <c r="Q41" s="3"/>
      <c r="R41" s="3"/>
      <c r="S41" s="3"/>
      <c r="T41" s="3"/>
      <c r="U41" s="3"/>
      <c r="V41" s="3"/>
      <c r="W41" s="3"/>
      <c r="X41" s="3"/>
      <c r="Y41" s="3"/>
      <c r="Z41" s="3"/>
    </row>
    <row r="42" spans="1:26" ht="15" customHeight="1" x14ac:dyDescent="0.25">
      <c r="A42" s="1"/>
      <c r="B42" s="3"/>
      <c r="C42" s="9" t="str">
        <v>Donuts</v>
      </c>
      <c r="D42" s="9">
        <v>100</v>
      </c>
      <c r="I42" s="3"/>
      <c r="J42" s="3"/>
      <c r="K42" s="3"/>
      <c r="L42" s="3"/>
      <c r="M42" s="3"/>
      <c r="N42" s="3"/>
      <c r="O42" s="3"/>
      <c r="P42" s="3"/>
      <c r="Q42" s="3"/>
      <c r="R42" s="3"/>
      <c r="S42" s="3"/>
      <c r="T42" s="3"/>
      <c r="U42" s="3"/>
      <c r="V42" s="3"/>
      <c r="W42" s="3"/>
      <c r="X42" s="3"/>
      <c r="Y42" s="3"/>
      <c r="Z42" s="3"/>
    </row>
    <row r="43" spans="1:26" ht="15" customHeight="1" x14ac:dyDescent="0.25">
      <c r="A43" s="1"/>
      <c r="B43" s="3"/>
      <c r="C43" s="9" t="str">
        <v>Cookies</v>
      </c>
      <c r="D43" s="9">
        <v>40</v>
      </c>
      <c r="I43" s="3"/>
      <c r="J43" s="3"/>
      <c r="K43" s="3"/>
      <c r="L43" s="3"/>
      <c r="M43" s="3"/>
      <c r="N43" s="3"/>
      <c r="O43" s="3"/>
      <c r="P43" s="3"/>
      <c r="Q43" s="3"/>
      <c r="R43" s="3"/>
      <c r="S43" s="3"/>
      <c r="T43" s="3"/>
      <c r="U43" s="3"/>
      <c r="V43" s="3"/>
      <c r="W43" s="3"/>
      <c r="X43" s="3"/>
      <c r="Y43" s="3"/>
      <c r="Z43" s="3"/>
    </row>
    <row r="44" spans="1:26" ht="15" customHeight="1" x14ac:dyDescent="0.25">
      <c r="A44" s="1"/>
      <c r="B44" s="3"/>
      <c r="C44" s="9" t="str">
        <v>Cakes</v>
      </c>
      <c r="D44" s="9">
        <v>50</v>
      </c>
      <c r="I44" s="3"/>
      <c r="J44" s="3"/>
      <c r="K44" s="3"/>
      <c r="L44" s="3"/>
      <c r="M44" s="3"/>
      <c r="N44" s="3"/>
      <c r="O44" s="3"/>
      <c r="P44" s="3"/>
      <c r="Q44" s="3"/>
      <c r="R44" s="3"/>
      <c r="S44" s="3"/>
      <c r="T44" s="3"/>
      <c r="U44" s="3"/>
      <c r="V44" s="3"/>
      <c r="W44" s="3"/>
      <c r="X44" s="3"/>
      <c r="Y44" s="3"/>
      <c r="Z44" s="3"/>
    </row>
    <row r="45" spans="1:26" ht="15" customHeight="1" x14ac:dyDescent="0.25">
      <c r="A45" s="1"/>
      <c r="B45" s="3"/>
      <c r="C45" s="9" t="str">
        <v>Pies</v>
      </c>
      <c r="D45" s="9">
        <v>20</v>
      </c>
      <c r="I45" s="3"/>
      <c r="J45" s="3"/>
      <c r="K45" s="3"/>
      <c r="L45" s="3"/>
      <c r="M45" s="3"/>
      <c r="N45" s="3"/>
      <c r="O45" s="3"/>
      <c r="P45" s="3"/>
      <c r="Q45" s="3"/>
      <c r="R45" s="3"/>
      <c r="S45" s="3"/>
      <c r="T45" s="3"/>
      <c r="U45" s="3"/>
      <c r="V45" s="3"/>
      <c r="W45" s="3"/>
      <c r="X45" s="3"/>
      <c r="Y45" s="3"/>
      <c r="Z45" s="3"/>
    </row>
    <row r="46" spans="1:26" ht="15" customHeight="1" x14ac:dyDescent="0.25">
      <c r="A46" s="1"/>
      <c r="B46" s="3"/>
      <c r="I46" s="3"/>
      <c r="J46" s="3"/>
      <c r="K46" s="3"/>
      <c r="L46" s="3"/>
      <c r="M46" s="3"/>
      <c r="N46" s="3"/>
      <c r="O46" s="3"/>
      <c r="P46" s="3"/>
      <c r="Q46" s="3"/>
      <c r="R46" s="3"/>
      <c r="S46" s="3"/>
      <c r="T46" s="3"/>
      <c r="U46" s="3"/>
      <c r="V46" s="3"/>
      <c r="W46" s="3"/>
      <c r="X46" s="3"/>
      <c r="Y46" s="3"/>
      <c r="Z46" s="3"/>
    </row>
    <row r="47" spans="1:26" ht="15" customHeight="1" x14ac:dyDescent="0.25">
      <c r="A47" s="1"/>
      <c r="B47" s="3"/>
      <c r="I47" s="3"/>
      <c r="J47" s="3"/>
      <c r="K47" s="3"/>
      <c r="L47" s="3"/>
      <c r="M47" s="3"/>
      <c r="N47" s="3"/>
      <c r="O47" s="3"/>
      <c r="P47" s="3"/>
      <c r="Q47" s="3"/>
      <c r="R47" s="3"/>
      <c r="S47" s="3"/>
      <c r="T47" s="3"/>
      <c r="U47" s="3"/>
      <c r="V47" s="3"/>
      <c r="W47" s="3"/>
      <c r="X47" s="3"/>
      <c r="Y47" s="3"/>
      <c r="Z47" s="3"/>
    </row>
    <row r="48" spans="1:26" ht="15" customHeight="1" x14ac:dyDescent="0.25">
      <c r="A48" s="1"/>
      <c r="B48" s="3"/>
      <c r="I48" s="3"/>
      <c r="J48" s="3"/>
      <c r="K48" s="3"/>
      <c r="L48" s="3"/>
      <c r="M48" s="3"/>
      <c r="N48" s="3"/>
      <c r="O48" s="3"/>
      <c r="P48" s="3"/>
      <c r="Q48" s="3"/>
      <c r="R48" s="3"/>
      <c r="S48" s="3"/>
      <c r="T48" s="3"/>
      <c r="U48" s="3"/>
      <c r="V48" s="3"/>
      <c r="W48" s="3"/>
      <c r="X48" s="3"/>
      <c r="Y48" s="3"/>
      <c r="Z48" s="3"/>
    </row>
    <row r="49" spans="1:26" ht="15" customHeight="1" x14ac:dyDescent="0.25">
      <c r="A49" s="1"/>
      <c r="B49" s="3"/>
      <c r="I49" s="3"/>
      <c r="J49" s="3"/>
      <c r="K49" s="3"/>
      <c r="L49" s="3"/>
      <c r="M49" s="3"/>
      <c r="N49" s="3"/>
      <c r="O49" s="3"/>
      <c r="P49" s="3"/>
      <c r="Q49" s="3"/>
      <c r="R49" s="3"/>
      <c r="S49" s="3"/>
      <c r="T49" s="3"/>
      <c r="U49" s="3"/>
      <c r="V49" s="3"/>
      <c r="W49" s="3"/>
      <c r="X49" s="3"/>
      <c r="Y49" s="3"/>
      <c r="Z49" s="3"/>
    </row>
    <row r="50" spans="1:26" ht="15" customHeight="1" x14ac:dyDescent="0.25">
      <c r="A50" s="1"/>
      <c r="B50" s="3"/>
      <c r="I50" s="3"/>
      <c r="J50" s="3"/>
      <c r="K50" s="3"/>
      <c r="L50" s="3"/>
      <c r="M50" s="3"/>
      <c r="N50" s="3"/>
      <c r="O50" s="3"/>
      <c r="P50" s="3"/>
      <c r="Q50" s="3"/>
      <c r="R50" s="3"/>
      <c r="S50" s="3"/>
      <c r="T50" s="3"/>
      <c r="U50" s="3"/>
      <c r="V50" s="3"/>
      <c r="W50" s="3"/>
      <c r="X50" s="3"/>
      <c r="Y50" s="3"/>
      <c r="Z50" s="3"/>
    </row>
    <row r="51" spans="1:26" ht="15" customHeight="1" x14ac:dyDescent="0.25">
      <c r="A51" s="1"/>
      <c r="B51" s="3"/>
      <c r="I51" s="3"/>
      <c r="J51" s="3"/>
      <c r="K51" s="3"/>
      <c r="L51" s="3"/>
      <c r="M51" s="3"/>
      <c r="N51" s="3"/>
      <c r="O51" s="3"/>
      <c r="P51" s="3"/>
      <c r="Q51" s="3"/>
      <c r="R51" s="3"/>
      <c r="S51" s="3"/>
      <c r="T51" s="3"/>
      <c r="U51" s="3"/>
      <c r="V51" s="3"/>
      <c r="W51" s="3"/>
      <c r="X51" s="3"/>
      <c r="Y51" s="3"/>
      <c r="Z51" s="3"/>
    </row>
    <row r="52" spans="1:26" ht="15" customHeight="1" x14ac:dyDescent="0.25">
      <c r="A52" s="1"/>
      <c r="B52" s="3"/>
      <c r="I52" s="3"/>
      <c r="J52" s="3"/>
      <c r="K52" s="3"/>
      <c r="L52" s="3"/>
      <c r="M52" s="3"/>
      <c r="N52" s="3"/>
      <c r="O52" s="3"/>
      <c r="P52" s="3"/>
      <c r="Q52" s="3"/>
      <c r="R52" s="3"/>
      <c r="S52" s="3"/>
      <c r="T52" s="3"/>
      <c r="U52" s="3"/>
      <c r="V52" s="3"/>
      <c r="W52" s="3"/>
      <c r="X52" s="3"/>
      <c r="Y52" s="3"/>
      <c r="Z52" s="3"/>
    </row>
    <row r="53" spans="1:26" ht="15" customHeight="1" x14ac:dyDescent="0.25">
      <c r="A53" s="1"/>
      <c r="B53" s="3"/>
      <c r="I53" s="3"/>
      <c r="J53" s="3"/>
      <c r="K53" s="3"/>
      <c r="L53" s="3"/>
      <c r="M53" s="3"/>
      <c r="N53" s="3"/>
      <c r="O53" s="3"/>
      <c r="P53" s="3"/>
      <c r="Q53" s="3"/>
      <c r="R53" s="3"/>
      <c r="S53" s="3"/>
      <c r="T53" s="3"/>
      <c r="U53" s="3"/>
      <c r="V53" s="3"/>
      <c r="W53" s="3"/>
      <c r="X53" s="3"/>
      <c r="Y53" s="3"/>
      <c r="Z53" s="3"/>
    </row>
    <row r="54" spans="1:26" ht="15" customHeight="1" x14ac:dyDescent="0.25">
      <c r="A54" s="1" t="s">
        <v>175</v>
      </c>
      <c r="B54" s="3"/>
      <c r="I54" s="3"/>
      <c r="J54" s="3"/>
      <c r="K54" s="3"/>
      <c r="L54" s="3"/>
      <c r="M54" s="3"/>
      <c r="N54" s="3"/>
      <c r="O54" s="3"/>
      <c r="P54" s="3"/>
      <c r="Q54" s="3"/>
      <c r="R54" s="3"/>
      <c r="S54" s="3"/>
      <c r="T54" s="3"/>
      <c r="U54" s="3"/>
      <c r="V54" s="3"/>
      <c r="W54" s="3"/>
      <c r="X54" s="3"/>
      <c r="Y54" s="3"/>
      <c r="Z54" s="3"/>
    </row>
    <row r="55" spans="1:26" ht="15" customHeight="1" x14ac:dyDescent="0.25">
      <c r="A55" s="1" t="s">
        <v>176</v>
      </c>
      <c r="B55" s="3"/>
      <c r="I55" s="3"/>
      <c r="J55" s="3"/>
      <c r="K55" s="3"/>
      <c r="L55" s="3"/>
      <c r="M55" s="3"/>
      <c r="N55" s="3"/>
      <c r="O55" s="3"/>
      <c r="P55" s="3"/>
      <c r="Q55" s="3"/>
      <c r="R55" s="3"/>
      <c r="S55" s="3"/>
      <c r="T55" s="3"/>
      <c r="U55" s="3"/>
      <c r="V55" s="3"/>
      <c r="W55" s="3"/>
      <c r="X55" s="3"/>
      <c r="Y55" s="3"/>
      <c r="Z55" s="3"/>
    </row>
    <row r="56" spans="1:26" ht="15" customHeight="1" x14ac:dyDescent="0.25">
      <c r="A56" s="1" t="s">
        <v>177</v>
      </c>
      <c r="B56" s="3"/>
      <c r="I56" s="3"/>
      <c r="J56" s="3"/>
      <c r="K56" s="3"/>
      <c r="L56" s="3"/>
      <c r="M56" s="3"/>
      <c r="N56" s="3"/>
      <c r="O56" s="3"/>
      <c r="P56" s="3"/>
      <c r="Q56" s="3"/>
      <c r="R56" s="3"/>
      <c r="S56" s="3"/>
      <c r="T56" s="3"/>
      <c r="U56" s="3"/>
      <c r="V56" s="3"/>
      <c r="W56" s="3"/>
      <c r="X56" s="3"/>
      <c r="Y56" s="3"/>
      <c r="Z56" s="3"/>
    </row>
    <row r="57" spans="1:26" ht="15" customHeight="1" x14ac:dyDescent="0.25">
      <c r="A57" s="1" t="s">
        <v>178</v>
      </c>
      <c r="B57" s="3"/>
      <c r="I57" s="3"/>
      <c r="J57" s="3"/>
      <c r="K57" s="3"/>
      <c r="L57" s="3"/>
      <c r="M57" s="3"/>
      <c r="N57" s="3"/>
      <c r="O57" s="3"/>
      <c r="P57" s="3"/>
      <c r="Q57" s="3"/>
      <c r="R57" s="3"/>
      <c r="S57" s="3"/>
      <c r="T57" s="3"/>
      <c r="U57" s="3"/>
      <c r="V57" s="3"/>
      <c r="W57" s="3"/>
      <c r="X57" s="3"/>
      <c r="Y57" s="3"/>
      <c r="Z57" s="3"/>
    </row>
    <row r="58" spans="1:26" ht="15" customHeight="1" x14ac:dyDescent="0.25">
      <c r="A58" s="1" t="s">
        <v>179</v>
      </c>
      <c r="B58" s="3"/>
      <c r="I58" s="3"/>
      <c r="J58" s="3"/>
      <c r="K58" s="3"/>
      <c r="L58" s="3"/>
      <c r="M58" s="3"/>
      <c r="N58" s="3"/>
      <c r="O58" s="3"/>
      <c r="P58" s="3"/>
      <c r="Q58" s="3"/>
      <c r="R58" s="3"/>
      <c r="S58" s="3"/>
      <c r="T58" s="3"/>
      <c r="U58" s="3"/>
      <c r="V58" s="3"/>
      <c r="W58" s="3"/>
      <c r="X58" s="3"/>
      <c r="Y58" s="3"/>
      <c r="Z58" s="3"/>
    </row>
    <row r="59" spans="1:26" ht="15" customHeight="1" x14ac:dyDescent="0.25">
      <c r="A59" s="1" t="s">
        <v>180</v>
      </c>
      <c r="B59" s="3"/>
      <c r="I59" s="3"/>
      <c r="J59" s="3"/>
      <c r="K59" s="3"/>
      <c r="L59" s="3"/>
      <c r="M59" s="3"/>
      <c r="N59" s="3"/>
      <c r="O59" s="3"/>
      <c r="P59" s="3"/>
      <c r="Q59" s="3"/>
      <c r="R59" s="3"/>
      <c r="S59" s="3"/>
      <c r="T59" s="3"/>
      <c r="U59" s="3"/>
      <c r="V59" s="3"/>
      <c r="W59" s="3"/>
      <c r="X59" s="3"/>
      <c r="Y59" s="3"/>
      <c r="Z59" s="3"/>
    </row>
    <row r="60" spans="1:26" ht="15" customHeight="1" x14ac:dyDescent="0.25">
      <c r="A60" s="1"/>
      <c r="B60" s="3"/>
      <c r="I60" s="3"/>
      <c r="J60" s="3"/>
      <c r="K60" s="3"/>
      <c r="L60" s="3"/>
      <c r="M60" s="3"/>
      <c r="N60" s="3"/>
      <c r="O60" s="3"/>
      <c r="P60" s="3"/>
      <c r="Q60" s="3"/>
      <c r="R60" s="3"/>
      <c r="S60" s="3"/>
      <c r="T60" s="3"/>
      <c r="U60" s="3"/>
      <c r="V60" s="3"/>
      <c r="W60" s="3"/>
      <c r="X60" s="3"/>
      <c r="Y60" s="3"/>
      <c r="Z60" s="3"/>
    </row>
    <row r="61" spans="1:26" ht="15" customHeight="1" x14ac:dyDescent="0.25">
      <c r="A61" s="1"/>
      <c r="B61" s="3"/>
      <c r="I61" s="3"/>
      <c r="J61" s="3"/>
      <c r="K61" s="3"/>
      <c r="L61" s="3"/>
      <c r="M61" s="3"/>
      <c r="N61" s="3"/>
      <c r="O61" s="3"/>
      <c r="P61" s="3"/>
      <c r="Q61" s="3"/>
      <c r="R61" s="3"/>
      <c r="S61" s="3"/>
      <c r="T61" s="3"/>
      <c r="U61" s="3"/>
      <c r="V61" s="3"/>
      <c r="W61" s="3"/>
      <c r="X61" s="3"/>
      <c r="Y61" s="3"/>
      <c r="Z61" s="3"/>
    </row>
    <row r="62" spans="1:26" ht="15.75" customHeight="1" x14ac:dyDescent="0.25">
      <c r="A62" s="1"/>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x14ac:dyDescent="0.25">
      <c r="A63" s="1"/>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x14ac:dyDescent="0.25">
      <c r="A64" s="1"/>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x14ac:dyDescent="0.25">
      <c r="A65" s="1"/>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x14ac:dyDescent="0.25">
      <c r="A66" s="1"/>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x14ac:dyDescent="0.25">
      <c r="A67" s="1"/>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x14ac:dyDescent="0.25">
      <c r="A68" s="1"/>
      <c r="B68" s="3"/>
      <c r="C68" s="3"/>
      <c r="D68" s="3"/>
      <c r="E68" s="3"/>
      <c r="F68" s="3"/>
      <c r="G68" s="3"/>
      <c r="H68" s="3"/>
      <c r="I68" s="3"/>
      <c r="J68" s="3"/>
      <c r="K68" s="3"/>
      <c r="L68" s="3"/>
      <c r="M68" s="3"/>
      <c r="N68" s="3"/>
      <c r="O68" s="3"/>
      <c r="P68" s="3"/>
      <c r="Q68" s="3"/>
      <c r="R68" s="3"/>
      <c r="S68" s="3"/>
      <c r="T68" s="3"/>
      <c r="U68" s="3"/>
      <c r="V68" s="3"/>
      <c r="W68" s="3"/>
      <c r="X68" s="3"/>
      <c r="Y68" s="3"/>
      <c r="Z68" s="3"/>
    </row>
    <row r="69" spans="1:26" ht="15" customHeight="1" x14ac:dyDescent="0.25">
      <c r="A69" s="1"/>
      <c r="B69" s="3"/>
      <c r="I69" s="3"/>
      <c r="J69" s="3"/>
      <c r="K69" s="3"/>
      <c r="L69" s="3"/>
      <c r="M69" s="3"/>
      <c r="N69" s="3"/>
      <c r="O69" s="3"/>
      <c r="P69" s="3"/>
      <c r="Q69" s="3"/>
      <c r="R69" s="3"/>
      <c r="S69" s="3"/>
      <c r="T69" s="3"/>
      <c r="U69" s="3"/>
      <c r="V69" s="3"/>
      <c r="W69" s="3"/>
      <c r="X69" s="3"/>
      <c r="Y69" s="3"/>
      <c r="Z69" s="3"/>
    </row>
    <row r="70" spans="1:26" ht="15" customHeight="1" x14ac:dyDescent="0.25">
      <c r="A70" s="1"/>
      <c r="B70" s="3"/>
      <c r="I70" s="3"/>
      <c r="J70" s="3"/>
      <c r="K70" s="3"/>
      <c r="L70" s="3"/>
      <c r="M70" s="3"/>
      <c r="N70" s="3"/>
      <c r="O70" s="3"/>
      <c r="P70" s="3"/>
      <c r="Q70" s="3"/>
      <c r="R70" s="3"/>
      <c r="S70" s="3"/>
      <c r="T70" s="3"/>
      <c r="U70" s="3"/>
      <c r="V70" s="3"/>
      <c r="W70" s="3"/>
      <c r="X70" s="3"/>
      <c r="Y70" s="3"/>
      <c r="Z70" s="3"/>
    </row>
    <row r="71" spans="1:26" ht="15" customHeight="1" x14ac:dyDescent="0.25">
      <c r="A71" s="1"/>
      <c r="B71" s="3"/>
      <c r="I71" s="3"/>
      <c r="J71" s="3"/>
      <c r="K71" s="3"/>
      <c r="L71" s="3"/>
      <c r="M71" s="3"/>
      <c r="N71" s="3"/>
      <c r="O71" s="3"/>
      <c r="P71" s="3"/>
      <c r="Q71" s="3"/>
      <c r="R71" s="3"/>
      <c r="S71" s="3"/>
      <c r="T71" s="3"/>
      <c r="U71" s="3"/>
      <c r="V71" s="3"/>
      <c r="W71" s="3"/>
      <c r="X71" s="3"/>
      <c r="Y71" s="3"/>
      <c r="Z71" s="3"/>
    </row>
    <row r="72" spans="1:26" ht="15" customHeight="1" x14ac:dyDescent="0.25">
      <c r="A72" s="1" t="s">
        <v>62</v>
      </c>
      <c r="B72" s="3"/>
      <c r="I72" s="3"/>
      <c r="J72" s="3"/>
      <c r="K72" s="3"/>
      <c r="L72" s="3"/>
      <c r="M72" s="3"/>
      <c r="N72" s="3"/>
      <c r="O72" s="3"/>
      <c r="P72" s="3"/>
      <c r="Q72" s="3"/>
      <c r="R72" s="3"/>
      <c r="S72" s="3"/>
      <c r="T72" s="3"/>
      <c r="U72" s="3"/>
      <c r="V72" s="3"/>
      <c r="W72" s="3"/>
      <c r="X72" s="3"/>
      <c r="Y72" s="3"/>
      <c r="Z72" s="3"/>
    </row>
    <row r="73" spans="1:26" ht="15" customHeight="1" x14ac:dyDescent="0.25">
      <c r="A73" s="11" t="s">
        <v>181</v>
      </c>
      <c r="B73" s="3"/>
      <c r="I73" s="3"/>
      <c r="J73" s="3"/>
      <c r="K73" s="3"/>
      <c r="L73" s="3"/>
      <c r="M73" s="3"/>
      <c r="N73" s="3"/>
      <c r="O73" s="3"/>
      <c r="P73" s="3"/>
      <c r="Q73" s="3"/>
      <c r="R73" s="3"/>
      <c r="S73" s="3"/>
      <c r="T73" s="3"/>
      <c r="U73" s="3"/>
      <c r="V73" s="3"/>
      <c r="W73" s="3"/>
      <c r="X73" s="3"/>
      <c r="Y73" s="3"/>
      <c r="Z73" s="3"/>
    </row>
    <row r="74" spans="1:26" ht="15" customHeight="1" x14ac:dyDescent="0.25">
      <c r="A74" s="11" t="s">
        <v>182</v>
      </c>
      <c r="B74" s="3"/>
      <c r="I74" s="3"/>
      <c r="J74" s="3"/>
      <c r="K74" s="3"/>
      <c r="L74" s="3"/>
      <c r="M74" s="3"/>
      <c r="N74" s="3"/>
      <c r="O74" s="3"/>
      <c r="P74" s="3"/>
      <c r="Q74" s="3"/>
      <c r="R74" s="3"/>
      <c r="S74" s="3"/>
      <c r="T74" s="3"/>
      <c r="U74" s="3"/>
      <c r="V74" s="3"/>
      <c r="W74" s="3"/>
      <c r="X74" s="3"/>
      <c r="Y74" s="3"/>
      <c r="Z74" s="3"/>
    </row>
    <row r="75" spans="1:26" ht="15" customHeight="1" x14ac:dyDescent="0.25">
      <c r="A75" s="11" t="s">
        <v>183</v>
      </c>
      <c r="B75" s="3"/>
      <c r="I75" s="3"/>
      <c r="J75" s="3"/>
      <c r="K75" s="3"/>
      <c r="L75" s="3"/>
      <c r="M75" s="3"/>
      <c r="N75" s="3"/>
      <c r="O75" s="3"/>
      <c r="P75" s="3"/>
      <c r="Q75" s="3"/>
      <c r="R75" s="3"/>
      <c r="S75" s="3"/>
      <c r="T75" s="3"/>
      <c r="U75" s="3"/>
      <c r="V75" s="3"/>
      <c r="W75" s="3"/>
      <c r="X75" s="3"/>
      <c r="Y75" s="3"/>
      <c r="Z75" s="3"/>
    </row>
    <row r="76" spans="1:26" ht="15" customHeight="1" x14ac:dyDescent="0.25">
      <c r="A76" s="1" t="s">
        <v>67</v>
      </c>
      <c r="B76" s="3"/>
      <c r="I76" s="3"/>
      <c r="J76" s="3"/>
      <c r="K76" s="3"/>
      <c r="L76" s="3"/>
      <c r="M76" s="3"/>
      <c r="N76" s="3"/>
      <c r="O76" s="3"/>
      <c r="P76" s="3"/>
      <c r="Q76" s="3"/>
      <c r="R76" s="3"/>
      <c r="S76" s="3"/>
      <c r="T76" s="3"/>
      <c r="U76" s="3"/>
      <c r="V76" s="3"/>
      <c r="W76" s="3"/>
      <c r="X76" s="3"/>
      <c r="Y76" s="3"/>
      <c r="Z76" s="3"/>
    </row>
    <row r="77" spans="1:26" ht="15.75" customHeight="1" x14ac:dyDescent="0.25">
      <c r="A77" s="1"/>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x14ac:dyDescent="0.25">
      <c r="A78" s="1"/>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x14ac:dyDescent="0.25">
      <c r="A79" s="1"/>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x14ac:dyDescent="0.25">
      <c r="A80" s="1"/>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x14ac:dyDescent="0.25">
      <c r="A81" s="1"/>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x14ac:dyDescent="0.25">
      <c r="A82" s="1"/>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x14ac:dyDescent="0.25">
      <c r="A83" s="1"/>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x14ac:dyDescent="0.25">
      <c r="A84" s="1"/>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x14ac:dyDescent="0.25">
      <c r="A85" s="1"/>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x14ac:dyDescent="0.25">
      <c r="A86" s="1"/>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x14ac:dyDescent="0.25">
      <c r="A87" s="1"/>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x14ac:dyDescent="0.25">
      <c r="A88" s="1"/>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x14ac:dyDescent="0.25">
      <c r="A89" s="1"/>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x14ac:dyDescent="0.25">
      <c r="A90" s="1"/>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x14ac:dyDescent="0.25">
      <c r="A91" s="1"/>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x14ac:dyDescent="0.25">
      <c r="A92" s="1"/>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x14ac:dyDescent="0.25">
      <c r="A93" s="1"/>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x14ac:dyDescent="0.25">
      <c r="A94" s="1"/>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x14ac:dyDescent="0.25">
      <c r="A95" s="1"/>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x14ac:dyDescent="0.25">
      <c r="A96" s="1"/>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x14ac:dyDescent="0.25">
      <c r="A97" s="1"/>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x14ac:dyDescent="0.25">
      <c r="A98" s="1"/>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x14ac:dyDescent="0.25">
      <c r="A99" s="1"/>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x14ac:dyDescent="0.25">
      <c r="A100" s="1"/>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x14ac:dyDescent="0.25">
      <c r="A101" s="1"/>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x14ac:dyDescent="0.25">
      <c r="A102" s="1"/>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x14ac:dyDescent="0.25">
      <c r="A103" s="1"/>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x14ac:dyDescent="0.25">
      <c r="A104" s="1"/>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x14ac:dyDescent="0.25">
      <c r="A105" s="1"/>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x14ac:dyDescent="0.25">
      <c r="A106" s="1"/>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x14ac:dyDescent="0.25">
      <c r="A107" s="1"/>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x14ac:dyDescent="0.25">
      <c r="A108" s="1"/>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x14ac:dyDescent="0.25">
      <c r="A109" s="1"/>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x14ac:dyDescent="0.25">
      <c r="A110" s="1"/>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x14ac:dyDescent="0.25">
      <c r="A111" s="1"/>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x14ac:dyDescent="0.25">
      <c r="A112" s="1"/>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x14ac:dyDescent="0.25">
      <c r="A113" s="1"/>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x14ac:dyDescent="0.25">
      <c r="A114" s="1"/>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x14ac:dyDescent="0.25">
      <c r="A115" s="1"/>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x14ac:dyDescent="0.25">
      <c r="A116" s="1"/>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x14ac:dyDescent="0.25">
      <c r="A117" s="1"/>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x14ac:dyDescent="0.25">
      <c r="A118" s="1"/>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x14ac:dyDescent="0.25">
      <c r="A119" s="1"/>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x14ac:dyDescent="0.25">
      <c r="A120" s="1"/>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x14ac:dyDescent="0.25">
      <c r="A121" s="1"/>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x14ac:dyDescent="0.25">
      <c r="A122" s="1"/>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x14ac:dyDescent="0.25">
      <c r="A123" s="1"/>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x14ac:dyDescent="0.25">
      <c r="A124" s="1"/>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x14ac:dyDescent="0.25">
      <c r="A125" s="1"/>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x14ac:dyDescent="0.25">
      <c r="A126" s="1"/>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x14ac:dyDescent="0.25">
      <c r="A127" s="1"/>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x14ac:dyDescent="0.25">
      <c r="A128" s="1"/>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x14ac:dyDescent="0.25">
      <c r="A129" s="1"/>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x14ac:dyDescent="0.25">
      <c r="A130" s="1"/>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x14ac:dyDescent="0.25">
      <c r="A131" s="1"/>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x14ac:dyDescent="0.25">
      <c r="A132" s="1"/>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x14ac:dyDescent="0.25">
      <c r="A133" s="1"/>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x14ac:dyDescent="0.25">
      <c r="A134" s="1"/>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x14ac:dyDescent="0.25">
      <c r="A135" s="1"/>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x14ac:dyDescent="0.25">
      <c r="A136" s="1"/>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x14ac:dyDescent="0.25">
      <c r="A137" s="1"/>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x14ac:dyDescent="0.25">
      <c r="A138" s="1"/>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x14ac:dyDescent="0.25">
      <c r="A139" s="1"/>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x14ac:dyDescent="0.25">
      <c r="A140" s="1"/>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x14ac:dyDescent="0.25">
      <c r="A141" s="1"/>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x14ac:dyDescent="0.25">
      <c r="A142" s="1"/>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x14ac:dyDescent="0.25">
      <c r="A143" s="1"/>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x14ac:dyDescent="0.25">
      <c r="A144" s="1"/>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x14ac:dyDescent="0.25">
      <c r="A145" s="1"/>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x14ac:dyDescent="0.25">
      <c r="A146" s="1"/>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x14ac:dyDescent="0.25">
      <c r="A147" s="1"/>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x14ac:dyDescent="0.25">
      <c r="A148" s="1"/>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x14ac:dyDescent="0.25">
      <c r="A149" s="1"/>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x14ac:dyDescent="0.25">
      <c r="A150" s="1"/>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x14ac:dyDescent="0.25">
      <c r="A151" s="1"/>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x14ac:dyDescent="0.25">
      <c r="A152" s="1"/>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x14ac:dyDescent="0.25">
      <c r="A153" s="1"/>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x14ac:dyDescent="0.25">
      <c r="A154" s="1"/>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x14ac:dyDescent="0.25">
      <c r="A155" s="1"/>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x14ac:dyDescent="0.25">
      <c r="A156" s="1"/>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x14ac:dyDescent="0.25">
      <c r="A157" s="1"/>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x14ac:dyDescent="0.25">
      <c r="A158" s="1"/>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x14ac:dyDescent="0.25">
      <c r="A159" s="1"/>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x14ac:dyDescent="0.25">
      <c r="A160" s="1"/>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x14ac:dyDescent="0.25">
      <c r="A161" s="1"/>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x14ac:dyDescent="0.25">
      <c r="A162" s="1"/>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x14ac:dyDescent="0.25">
      <c r="A163" s="1"/>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x14ac:dyDescent="0.25">
      <c r="A164" s="1"/>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x14ac:dyDescent="0.25">
      <c r="A165" s="1"/>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x14ac:dyDescent="0.25">
      <c r="A166" s="1"/>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x14ac:dyDescent="0.25">
      <c r="A167" s="1"/>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x14ac:dyDescent="0.25">
      <c r="A168" s="1"/>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x14ac:dyDescent="0.25">
      <c r="A169" s="1"/>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x14ac:dyDescent="0.25">
      <c r="A170" s="1"/>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x14ac:dyDescent="0.25">
      <c r="A171" s="1"/>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x14ac:dyDescent="0.25">
      <c r="A172" s="1"/>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x14ac:dyDescent="0.25">
      <c r="A173" s="1"/>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x14ac:dyDescent="0.25">
      <c r="A174" s="1"/>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x14ac:dyDescent="0.25">
      <c r="A175" s="1"/>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x14ac:dyDescent="0.25">
      <c r="A176" s="1"/>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x14ac:dyDescent="0.25">
      <c r="A177" s="1"/>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x14ac:dyDescent="0.25">
      <c r="A178" s="1"/>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x14ac:dyDescent="0.25">
      <c r="A179" s="1"/>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x14ac:dyDescent="0.25">
      <c r="A180" s="1"/>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x14ac:dyDescent="0.25">
      <c r="A181" s="1"/>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x14ac:dyDescent="0.25">
      <c r="A182" s="1"/>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x14ac:dyDescent="0.25">
      <c r="A183" s="1"/>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x14ac:dyDescent="0.25">
      <c r="A184" s="1"/>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x14ac:dyDescent="0.25">
      <c r="A185" s="1"/>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x14ac:dyDescent="0.25">
      <c r="A186" s="1"/>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x14ac:dyDescent="0.25">
      <c r="A187" s="1"/>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x14ac:dyDescent="0.25">
      <c r="A188" s="1"/>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x14ac:dyDescent="0.25">
      <c r="A189" s="1"/>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x14ac:dyDescent="0.25">
      <c r="A190" s="1"/>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x14ac:dyDescent="0.25">
      <c r="A191" s="1"/>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x14ac:dyDescent="0.25">
      <c r="A192" s="1"/>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x14ac:dyDescent="0.25">
      <c r="A193" s="1"/>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x14ac:dyDescent="0.25">
      <c r="A194" s="1"/>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x14ac:dyDescent="0.25">
      <c r="A195" s="1"/>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x14ac:dyDescent="0.25">
      <c r="A196" s="1"/>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x14ac:dyDescent="0.25">
      <c r="A197" s="1"/>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x14ac:dyDescent="0.25">
      <c r="A198" s="1"/>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x14ac:dyDescent="0.25">
      <c r="A199" s="1"/>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x14ac:dyDescent="0.25">
      <c r="A200" s="1"/>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x14ac:dyDescent="0.25">
      <c r="A201" s="1"/>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x14ac:dyDescent="0.25">
      <c r="A202" s="1"/>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x14ac:dyDescent="0.25">
      <c r="A203" s="1"/>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x14ac:dyDescent="0.25">
      <c r="A204" s="1"/>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x14ac:dyDescent="0.25">
      <c r="A205" s="1"/>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x14ac:dyDescent="0.25">
      <c r="A206" s="1"/>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x14ac:dyDescent="0.25">
      <c r="A207" s="1"/>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x14ac:dyDescent="0.25">
      <c r="A208" s="1"/>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x14ac:dyDescent="0.25">
      <c r="A209" s="1"/>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x14ac:dyDescent="0.25">
      <c r="A210" s="1"/>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x14ac:dyDescent="0.25">
      <c r="A211" s="1"/>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x14ac:dyDescent="0.25">
      <c r="A212" s="1"/>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x14ac:dyDescent="0.25">
      <c r="A213" s="1"/>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x14ac:dyDescent="0.25">
      <c r="A214" s="1"/>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x14ac:dyDescent="0.25">
      <c r="A215" s="1"/>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x14ac:dyDescent="0.25">
      <c r="A216" s="1"/>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x14ac:dyDescent="0.25">
      <c r="A217" s="1"/>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x14ac:dyDescent="0.25">
      <c r="A218" s="1"/>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x14ac:dyDescent="0.25">
      <c r="A219" s="1"/>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x14ac:dyDescent="0.25">
      <c r="A220" s="1"/>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x14ac:dyDescent="0.25">
      <c r="A221" s="1"/>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x14ac:dyDescent="0.25">
      <c r="A222" s="1"/>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x14ac:dyDescent="0.25">
      <c r="A223" s="1"/>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x14ac:dyDescent="0.25">
      <c r="A224" s="1"/>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x14ac:dyDescent="0.25">
      <c r="A225" s="1"/>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x14ac:dyDescent="0.25">
      <c r="A226" s="1"/>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x14ac:dyDescent="0.25">
      <c r="A227" s="1"/>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x14ac:dyDescent="0.25">
      <c r="A228" s="1"/>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x14ac:dyDescent="0.25">
      <c r="A229" s="1"/>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x14ac:dyDescent="0.25">
      <c r="A230" s="1"/>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x14ac:dyDescent="0.25">
      <c r="A231" s="1"/>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x14ac:dyDescent="0.25">
      <c r="A232" s="1"/>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x14ac:dyDescent="0.25">
      <c r="A233" s="1"/>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x14ac:dyDescent="0.25">
      <c r="A234" s="1"/>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x14ac:dyDescent="0.25">
      <c r="A235" s="1"/>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x14ac:dyDescent="0.25">
      <c r="A236" s="1"/>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x14ac:dyDescent="0.25">
      <c r="A237" s="1"/>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x14ac:dyDescent="0.25">
      <c r="A238" s="1"/>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x14ac:dyDescent="0.25">
      <c r="A239" s="1"/>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x14ac:dyDescent="0.25">
      <c r="A240" s="1"/>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x14ac:dyDescent="0.25">
      <c r="A241" s="1"/>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x14ac:dyDescent="0.25">
      <c r="A242" s="1"/>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x14ac:dyDescent="0.25">
      <c r="A243" s="1"/>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x14ac:dyDescent="0.25">
      <c r="A244" s="1"/>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x14ac:dyDescent="0.25">
      <c r="A245" s="1"/>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x14ac:dyDescent="0.25">
      <c r="A246" s="1"/>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x14ac:dyDescent="0.25">
      <c r="A247" s="1"/>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x14ac:dyDescent="0.25">
      <c r="A248" s="1"/>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x14ac:dyDescent="0.25">
      <c r="A249" s="1"/>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x14ac:dyDescent="0.25">
      <c r="A250" s="1"/>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x14ac:dyDescent="0.25">
      <c r="A251" s="1"/>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x14ac:dyDescent="0.25">
      <c r="A252" s="1"/>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x14ac:dyDescent="0.25">
      <c r="A253" s="1"/>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x14ac:dyDescent="0.25">
      <c r="A254" s="1"/>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x14ac:dyDescent="0.25">
      <c r="A255" s="1"/>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x14ac:dyDescent="0.25">
      <c r="A256" s="1"/>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x14ac:dyDescent="0.25">
      <c r="A257" s="1"/>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x14ac:dyDescent="0.25">
      <c r="A258" s="1"/>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x14ac:dyDescent="0.25">
      <c r="A259" s="1"/>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x14ac:dyDescent="0.25">
      <c r="A260" s="1"/>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x14ac:dyDescent="0.25">
      <c r="A261" s="1"/>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x14ac:dyDescent="0.25">
      <c r="A262" s="1"/>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x14ac:dyDescent="0.25">
      <c r="A263" s="1"/>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x14ac:dyDescent="0.25">
      <c r="A264" s="1"/>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x14ac:dyDescent="0.25">
      <c r="A265" s="1"/>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x14ac:dyDescent="0.25">
      <c r="A266" s="1"/>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x14ac:dyDescent="0.25">
      <c r="A267" s="1"/>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x14ac:dyDescent="0.25">
      <c r="A268" s="1"/>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x14ac:dyDescent="0.25">
      <c r="A269" s="1"/>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x14ac:dyDescent="0.25">
      <c r="A270" s="1"/>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x14ac:dyDescent="0.25">
      <c r="A271" s="1"/>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x14ac:dyDescent="0.25">
      <c r="A272" s="1"/>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x14ac:dyDescent="0.25">
      <c r="A273" s="1"/>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x14ac:dyDescent="0.25">
      <c r="A274" s="1"/>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x14ac:dyDescent="0.25">
      <c r="A275" s="1"/>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x14ac:dyDescent="0.25">
      <c r="A276" s="1"/>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x14ac:dyDescent="0.25">
      <c r="A277" s="1"/>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x14ac:dyDescent="0.25">
      <c r="A278" s="1"/>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x14ac:dyDescent="0.25">
      <c r="A279" s="1"/>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x14ac:dyDescent="0.25">
      <c r="A280" s="1"/>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x14ac:dyDescent="0.25">
      <c r="A281" s="1"/>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x14ac:dyDescent="0.25">
      <c r="A282" s="1"/>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x14ac:dyDescent="0.25">
      <c r="A283" s="1"/>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x14ac:dyDescent="0.25">
      <c r="A284" s="1"/>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x14ac:dyDescent="0.25">
      <c r="A285" s="1"/>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x14ac:dyDescent="0.25">
      <c r="A286" s="1"/>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x14ac:dyDescent="0.25">
      <c r="A287" s="1"/>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x14ac:dyDescent="0.25">
      <c r="A288" s="1"/>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x14ac:dyDescent="0.25">
      <c r="A289" s="1"/>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x14ac:dyDescent="0.25">
      <c r="A290" s="1"/>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x14ac:dyDescent="0.25">
      <c r="A291" s="1"/>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x14ac:dyDescent="0.25">
      <c r="A292" s="1"/>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x14ac:dyDescent="0.25">
      <c r="A293" s="1"/>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x14ac:dyDescent="0.25">
      <c r="A294" s="1"/>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x14ac:dyDescent="0.25">
      <c r="A295" s="1"/>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x14ac:dyDescent="0.25">
      <c r="A296" s="1"/>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x14ac:dyDescent="0.25">
      <c r="A297" s="1"/>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x14ac:dyDescent="0.25">
      <c r="A298" s="1"/>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x14ac:dyDescent="0.25">
      <c r="A299" s="1"/>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x14ac:dyDescent="0.25">
      <c r="A300" s="1"/>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x14ac:dyDescent="0.25">
      <c r="A301" s="1"/>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x14ac:dyDescent="0.25">
      <c r="A302" s="1"/>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x14ac:dyDescent="0.25">
      <c r="A303" s="1"/>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x14ac:dyDescent="0.25">
      <c r="A304" s="1"/>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x14ac:dyDescent="0.25">
      <c r="A305" s="1"/>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x14ac:dyDescent="0.25">
      <c r="A306" s="1"/>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x14ac:dyDescent="0.25">
      <c r="A307" s="1"/>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x14ac:dyDescent="0.25">
      <c r="A308" s="1"/>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x14ac:dyDescent="0.25">
      <c r="A309" s="1"/>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x14ac:dyDescent="0.25">
      <c r="A310" s="1"/>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x14ac:dyDescent="0.25">
      <c r="A311" s="1"/>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x14ac:dyDescent="0.25">
      <c r="A312" s="1"/>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x14ac:dyDescent="0.25">
      <c r="A313" s="1"/>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x14ac:dyDescent="0.25">
      <c r="A314" s="1"/>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x14ac:dyDescent="0.25">
      <c r="A315" s="1"/>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x14ac:dyDescent="0.25">
      <c r="A316" s="1"/>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x14ac:dyDescent="0.25">
      <c r="A317" s="1"/>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x14ac:dyDescent="0.25">
      <c r="A318" s="1"/>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x14ac:dyDescent="0.25">
      <c r="A319" s="1"/>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x14ac:dyDescent="0.25">
      <c r="A320" s="1"/>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x14ac:dyDescent="0.25">
      <c r="A321" s="1"/>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x14ac:dyDescent="0.25">
      <c r="A322" s="1"/>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x14ac:dyDescent="0.25">
      <c r="A323" s="1"/>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x14ac:dyDescent="0.25">
      <c r="A324" s="1"/>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x14ac:dyDescent="0.25">
      <c r="A325" s="1"/>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x14ac:dyDescent="0.25">
      <c r="A326" s="1"/>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x14ac:dyDescent="0.25">
      <c r="A327" s="1"/>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x14ac:dyDescent="0.25">
      <c r="A328" s="1"/>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x14ac:dyDescent="0.25">
      <c r="A329" s="1"/>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x14ac:dyDescent="0.25">
      <c r="A330" s="1"/>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x14ac:dyDescent="0.25">
      <c r="A331" s="1"/>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x14ac:dyDescent="0.25">
      <c r="A332" s="1"/>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x14ac:dyDescent="0.25">
      <c r="A333" s="1"/>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x14ac:dyDescent="0.25">
      <c r="A334" s="1"/>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x14ac:dyDescent="0.25">
      <c r="A335" s="1"/>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x14ac:dyDescent="0.25">
      <c r="A336" s="1"/>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x14ac:dyDescent="0.25">
      <c r="A337" s="1"/>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x14ac:dyDescent="0.25">
      <c r="A338" s="1"/>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x14ac:dyDescent="0.25">
      <c r="A339" s="1"/>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x14ac:dyDescent="0.25">
      <c r="A340" s="1"/>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x14ac:dyDescent="0.25">
      <c r="A341" s="1"/>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x14ac:dyDescent="0.25">
      <c r="A342" s="1"/>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x14ac:dyDescent="0.25">
      <c r="A343" s="1"/>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x14ac:dyDescent="0.25">
      <c r="A344" s="1"/>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x14ac:dyDescent="0.25">
      <c r="A345" s="1"/>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x14ac:dyDescent="0.25">
      <c r="A346" s="1"/>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x14ac:dyDescent="0.25">
      <c r="A347" s="1"/>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x14ac:dyDescent="0.25">
      <c r="A348" s="1"/>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x14ac:dyDescent="0.25">
      <c r="A349" s="1"/>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x14ac:dyDescent="0.25">
      <c r="A350" s="1"/>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x14ac:dyDescent="0.25">
      <c r="A351" s="1"/>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x14ac:dyDescent="0.25">
      <c r="A352" s="1"/>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x14ac:dyDescent="0.25">
      <c r="A353" s="1"/>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x14ac:dyDescent="0.25">
      <c r="A354" s="1"/>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x14ac:dyDescent="0.25">
      <c r="A355" s="1"/>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x14ac:dyDescent="0.25">
      <c r="A356" s="1"/>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x14ac:dyDescent="0.25">
      <c r="A357" s="1"/>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x14ac:dyDescent="0.25">
      <c r="A358" s="1"/>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x14ac:dyDescent="0.25">
      <c r="A359" s="1"/>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x14ac:dyDescent="0.25">
      <c r="A360" s="1"/>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x14ac:dyDescent="0.25">
      <c r="A361" s="1"/>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x14ac:dyDescent="0.25">
      <c r="A362" s="1"/>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x14ac:dyDescent="0.25">
      <c r="A363" s="1"/>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x14ac:dyDescent="0.25">
      <c r="A364" s="1"/>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x14ac:dyDescent="0.25">
      <c r="A365" s="1"/>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x14ac:dyDescent="0.25">
      <c r="A366" s="1"/>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x14ac:dyDescent="0.25">
      <c r="A367" s="1"/>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x14ac:dyDescent="0.25">
      <c r="A368" s="1"/>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x14ac:dyDescent="0.25">
      <c r="A369" s="1"/>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x14ac:dyDescent="0.25">
      <c r="A370" s="1"/>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x14ac:dyDescent="0.25">
      <c r="A371" s="1"/>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x14ac:dyDescent="0.25">
      <c r="A372" s="1"/>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x14ac:dyDescent="0.25">
      <c r="A373" s="1"/>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x14ac:dyDescent="0.25">
      <c r="A374" s="1"/>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x14ac:dyDescent="0.25">
      <c r="A375" s="1"/>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x14ac:dyDescent="0.25">
      <c r="A376" s="1"/>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x14ac:dyDescent="0.25">
      <c r="A377" s="1"/>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x14ac:dyDescent="0.25">
      <c r="A378" s="1"/>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x14ac:dyDescent="0.25">
      <c r="A379" s="1"/>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x14ac:dyDescent="0.25">
      <c r="A380" s="1"/>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x14ac:dyDescent="0.25">
      <c r="A381" s="1"/>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x14ac:dyDescent="0.25">
      <c r="A382" s="1"/>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x14ac:dyDescent="0.25">
      <c r="A383" s="1"/>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x14ac:dyDescent="0.25">
      <c r="A384" s="1"/>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x14ac:dyDescent="0.25">
      <c r="A385" s="1"/>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x14ac:dyDescent="0.25">
      <c r="A386" s="1"/>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x14ac:dyDescent="0.25">
      <c r="A387" s="1"/>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x14ac:dyDescent="0.25">
      <c r="A388" s="1"/>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x14ac:dyDescent="0.25">
      <c r="A389" s="1"/>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x14ac:dyDescent="0.25">
      <c r="A390" s="1"/>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x14ac:dyDescent="0.25">
      <c r="A391" s="1"/>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x14ac:dyDescent="0.25">
      <c r="A392" s="1"/>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x14ac:dyDescent="0.25">
      <c r="A393" s="1"/>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x14ac:dyDescent="0.25">
      <c r="A394" s="1"/>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x14ac:dyDescent="0.25">
      <c r="A395" s="1"/>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x14ac:dyDescent="0.25">
      <c r="A396" s="1"/>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x14ac:dyDescent="0.25">
      <c r="A397" s="1"/>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x14ac:dyDescent="0.25">
      <c r="A398" s="1"/>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x14ac:dyDescent="0.25">
      <c r="A399" s="1"/>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x14ac:dyDescent="0.25">
      <c r="A400" s="1"/>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x14ac:dyDescent="0.25">
      <c r="A401" s="1"/>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x14ac:dyDescent="0.25">
      <c r="A402" s="1"/>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x14ac:dyDescent="0.25">
      <c r="A403" s="1"/>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x14ac:dyDescent="0.25">
      <c r="A404" s="1"/>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x14ac:dyDescent="0.25">
      <c r="A405" s="1"/>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x14ac:dyDescent="0.25">
      <c r="A406" s="1"/>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x14ac:dyDescent="0.25">
      <c r="A407" s="1"/>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x14ac:dyDescent="0.25">
      <c r="A408" s="1"/>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x14ac:dyDescent="0.25">
      <c r="A409" s="1"/>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x14ac:dyDescent="0.25">
      <c r="A410" s="1"/>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x14ac:dyDescent="0.25">
      <c r="A411" s="1"/>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x14ac:dyDescent="0.25">
      <c r="A412" s="1"/>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x14ac:dyDescent="0.25">
      <c r="A413" s="1"/>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x14ac:dyDescent="0.25">
      <c r="A414" s="1"/>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x14ac:dyDescent="0.25">
      <c r="A415" s="1"/>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x14ac:dyDescent="0.25">
      <c r="A416" s="1"/>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x14ac:dyDescent="0.25">
      <c r="A417" s="1"/>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x14ac:dyDescent="0.25">
      <c r="A418" s="1"/>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x14ac:dyDescent="0.25">
      <c r="A419" s="1"/>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x14ac:dyDescent="0.25">
      <c r="A420" s="1"/>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x14ac:dyDescent="0.25">
      <c r="A421" s="1"/>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x14ac:dyDescent="0.25">
      <c r="A422" s="1"/>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x14ac:dyDescent="0.25">
      <c r="A423" s="1"/>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x14ac:dyDescent="0.25">
      <c r="A424" s="1"/>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x14ac:dyDescent="0.25">
      <c r="A425" s="1"/>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x14ac:dyDescent="0.25">
      <c r="A426" s="1"/>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x14ac:dyDescent="0.25">
      <c r="A427" s="1"/>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x14ac:dyDescent="0.25">
      <c r="A428" s="1"/>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x14ac:dyDescent="0.25">
      <c r="A429" s="1"/>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x14ac:dyDescent="0.25">
      <c r="A430" s="1"/>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x14ac:dyDescent="0.25">
      <c r="A431" s="1"/>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x14ac:dyDescent="0.25">
      <c r="A432" s="1"/>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x14ac:dyDescent="0.25">
      <c r="A433" s="1"/>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x14ac:dyDescent="0.25">
      <c r="A434" s="1"/>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x14ac:dyDescent="0.25">
      <c r="A435" s="1"/>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x14ac:dyDescent="0.25">
      <c r="A436" s="1"/>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x14ac:dyDescent="0.25">
      <c r="A437" s="1"/>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x14ac:dyDescent="0.25">
      <c r="A438" s="1"/>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x14ac:dyDescent="0.25">
      <c r="A439" s="1"/>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x14ac:dyDescent="0.25">
      <c r="A440" s="1"/>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x14ac:dyDescent="0.25">
      <c r="A441" s="1"/>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x14ac:dyDescent="0.25">
      <c r="A442" s="1"/>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x14ac:dyDescent="0.25">
      <c r="A443" s="1"/>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x14ac:dyDescent="0.25">
      <c r="A444" s="1"/>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x14ac:dyDescent="0.25">
      <c r="A445" s="1"/>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x14ac:dyDescent="0.25">
      <c r="A446" s="1"/>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x14ac:dyDescent="0.25">
      <c r="A447" s="1"/>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x14ac:dyDescent="0.25">
      <c r="A448" s="1"/>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x14ac:dyDescent="0.25">
      <c r="A449" s="1"/>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x14ac:dyDescent="0.25">
      <c r="A450" s="1"/>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x14ac:dyDescent="0.25">
      <c r="A451" s="1"/>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x14ac:dyDescent="0.25">
      <c r="A452" s="1"/>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x14ac:dyDescent="0.25">
      <c r="A453" s="1"/>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x14ac:dyDescent="0.25">
      <c r="A454" s="1"/>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x14ac:dyDescent="0.25">
      <c r="A455" s="1"/>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x14ac:dyDescent="0.25">
      <c r="A456" s="1"/>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x14ac:dyDescent="0.25">
      <c r="A457" s="1"/>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x14ac:dyDescent="0.25">
      <c r="A458" s="1"/>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x14ac:dyDescent="0.25">
      <c r="A459" s="1"/>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x14ac:dyDescent="0.25">
      <c r="A460" s="1"/>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x14ac:dyDescent="0.25">
      <c r="A461" s="1"/>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x14ac:dyDescent="0.25">
      <c r="A462" s="1"/>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x14ac:dyDescent="0.25">
      <c r="A463" s="1"/>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x14ac:dyDescent="0.25">
      <c r="A464" s="1"/>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x14ac:dyDescent="0.25">
      <c r="A465" s="1"/>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x14ac:dyDescent="0.25">
      <c r="A466" s="1"/>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x14ac:dyDescent="0.25">
      <c r="A467" s="1"/>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x14ac:dyDescent="0.25">
      <c r="A468" s="1"/>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x14ac:dyDescent="0.25">
      <c r="A469" s="1"/>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x14ac:dyDescent="0.25">
      <c r="A470" s="1"/>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x14ac:dyDescent="0.25">
      <c r="A471" s="1"/>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x14ac:dyDescent="0.25">
      <c r="A472" s="1"/>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x14ac:dyDescent="0.25">
      <c r="A473" s="1"/>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x14ac:dyDescent="0.25">
      <c r="A474" s="1"/>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x14ac:dyDescent="0.25">
      <c r="A475" s="1"/>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x14ac:dyDescent="0.25">
      <c r="A476" s="1"/>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x14ac:dyDescent="0.25">
      <c r="A477" s="1"/>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x14ac:dyDescent="0.25">
      <c r="A478" s="1"/>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x14ac:dyDescent="0.25">
      <c r="A479" s="1"/>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x14ac:dyDescent="0.25">
      <c r="A480" s="1"/>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x14ac:dyDescent="0.25">
      <c r="A481" s="1"/>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x14ac:dyDescent="0.25">
      <c r="A482" s="1"/>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x14ac:dyDescent="0.25">
      <c r="A483" s="1"/>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x14ac:dyDescent="0.25">
      <c r="A484" s="1"/>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x14ac:dyDescent="0.25">
      <c r="A485" s="1"/>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x14ac:dyDescent="0.25">
      <c r="A486" s="1"/>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x14ac:dyDescent="0.25">
      <c r="A487" s="1"/>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x14ac:dyDescent="0.25">
      <c r="A488" s="1"/>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x14ac:dyDescent="0.25">
      <c r="A489" s="1"/>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x14ac:dyDescent="0.25">
      <c r="A490" s="1"/>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x14ac:dyDescent="0.25">
      <c r="A491" s="1"/>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x14ac:dyDescent="0.25">
      <c r="A492" s="1"/>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x14ac:dyDescent="0.25">
      <c r="A493" s="1"/>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x14ac:dyDescent="0.25">
      <c r="A494" s="1"/>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x14ac:dyDescent="0.25">
      <c r="A495" s="1"/>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x14ac:dyDescent="0.25">
      <c r="A496" s="1"/>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x14ac:dyDescent="0.25">
      <c r="A497" s="1"/>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x14ac:dyDescent="0.25">
      <c r="A498" s="1"/>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x14ac:dyDescent="0.25">
      <c r="A499" s="1"/>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x14ac:dyDescent="0.25">
      <c r="A500" s="1"/>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x14ac:dyDescent="0.25">
      <c r="A501" s="1"/>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x14ac:dyDescent="0.25">
      <c r="A502" s="1"/>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x14ac:dyDescent="0.25">
      <c r="A503" s="1"/>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x14ac:dyDescent="0.25">
      <c r="A504" s="1"/>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x14ac:dyDescent="0.25">
      <c r="A505" s="1"/>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x14ac:dyDescent="0.25">
      <c r="A506" s="1"/>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x14ac:dyDescent="0.25">
      <c r="A507" s="1"/>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x14ac:dyDescent="0.25">
      <c r="A508" s="1"/>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x14ac:dyDescent="0.25">
      <c r="A509" s="1"/>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x14ac:dyDescent="0.25">
      <c r="A510" s="1"/>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x14ac:dyDescent="0.25">
      <c r="A511" s="1"/>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x14ac:dyDescent="0.25">
      <c r="A512" s="1"/>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x14ac:dyDescent="0.25">
      <c r="A513" s="1"/>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x14ac:dyDescent="0.25">
      <c r="A514" s="1"/>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x14ac:dyDescent="0.25">
      <c r="A515" s="1"/>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x14ac:dyDescent="0.25">
      <c r="A516" s="1"/>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x14ac:dyDescent="0.25">
      <c r="A517" s="1"/>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x14ac:dyDescent="0.25">
      <c r="A518" s="1"/>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x14ac:dyDescent="0.25">
      <c r="A519" s="1"/>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x14ac:dyDescent="0.25">
      <c r="A520" s="1"/>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x14ac:dyDescent="0.25">
      <c r="A521" s="1"/>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x14ac:dyDescent="0.25">
      <c r="A522" s="1"/>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x14ac:dyDescent="0.25">
      <c r="A523" s="1"/>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x14ac:dyDescent="0.25">
      <c r="A524" s="1"/>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x14ac:dyDescent="0.25">
      <c r="A525" s="1"/>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x14ac:dyDescent="0.25">
      <c r="A526" s="1"/>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x14ac:dyDescent="0.25">
      <c r="A527" s="1"/>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x14ac:dyDescent="0.25">
      <c r="A528" s="1"/>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x14ac:dyDescent="0.25">
      <c r="A529" s="1"/>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x14ac:dyDescent="0.25">
      <c r="A530" s="1"/>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x14ac:dyDescent="0.25">
      <c r="A531" s="1"/>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x14ac:dyDescent="0.25">
      <c r="A532" s="1"/>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x14ac:dyDescent="0.25">
      <c r="A533" s="1"/>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x14ac:dyDescent="0.25">
      <c r="A534" s="1"/>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x14ac:dyDescent="0.25">
      <c r="A535" s="1"/>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x14ac:dyDescent="0.25">
      <c r="A536" s="1"/>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x14ac:dyDescent="0.25">
      <c r="A537" s="1"/>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x14ac:dyDescent="0.25">
      <c r="A538" s="1"/>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x14ac:dyDescent="0.25">
      <c r="A539" s="1"/>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x14ac:dyDescent="0.25">
      <c r="A540" s="1"/>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x14ac:dyDescent="0.25">
      <c r="A541" s="1"/>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x14ac:dyDescent="0.25">
      <c r="A542" s="1"/>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x14ac:dyDescent="0.25">
      <c r="A543" s="1"/>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x14ac:dyDescent="0.25">
      <c r="A544" s="1"/>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x14ac:dyDescent="0.25">
      <c r="A545" s="1"/>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x14ac:dyDescent="0.25">
      <c r="A546" s="1"/>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x14ac:dyDescent="0.25">
      <c r="A547" s="1"/>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x14ac:dyDescent="0.25">
      <c r="A548" s="1"/>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x14ac:dyDescent="0.25">
      <c r="A549" s="1"/>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x14ac:dyDescent="0.25">
      <c r="A550" s="1"/>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x14ac:dyDescent="0.25">
      <c r="A551" s="1"/>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x14ac:dyDescent="0.25">
      <c r="A552" s="1"/>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x14ac:dyDescent="0.25">
      <c r="A553" s="1"/>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x14ac:dyDescent="0.25">
      <c r="A554" s="1"/>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x14ac:dyDescent="0.25">
      <c r="A555" s="1"/>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x14ac:dyDescent="0.25">
      <c r="A556" s="1"/>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x14ac:dyDescent="0.25">
      <c r="A557" s="1"/>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x14ac:dyDescent="0.25">
      <c r="A558" s="1"/>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x14ac:dyDescent="0.25">
      <c r="A559" s="1"/>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x14ac:dyDescent="0.25">
      <c r="A560" s="1"/>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x14ac:dyDescent="0.25">
      <c r="A561" s="1"/>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x14ac:dyDescent="0.25">
      <c r="A562" s="1"/>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x14ac:dyDescent="0.25">
      <c r="A563" s="1"/>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x14ac:dyDescent="0.25">
      <c r="A564" s="1"/>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x14ac:dyDescent="0.25">
      <c r="A565" s="1"/>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x14ac:dyDescent="0.25">
      <c r="A566" s="1"/>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x14ac:dyDescent="0.25">
      <c r="A567" s="1"/>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x14ac:dyDescent="0.25">
      <c r="A568" s="1"/>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x14ac:dyDescent="0.25">
      <c r="A569" s="1"/>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x14ac:dyDescent="0.25">
      <c r="A570" s="1"/>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x14ac:dyDescent="0.25">
      <c r="A571" s="1"/>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x14ac:dyDescent="0.25">
      <c r="A572" s="1"/>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x14ac:dyDescent="0.25">
      <c r="A573" s="1"/>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x14ac:dyDescent="0.25">
      <c r="A574" s="1"/>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x14ac:dyDescent="0.25">
      <c r="A575" s="1"/>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x14ac:dyDescent="0.25">
      <c r="A576" s="1"/>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x14ac:dyDescent="0.25">
      <c r="A577" s="1"/>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x14ac:dyDescent="0.25">
      <c r="A578" s="1"/>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x14ac:dyDescent="0.25">
      <c r="A579" s="1"/>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x14ac:dyDescent="0.25">
      <c r="A580" s="1"/>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x14ac:dyDescent="0.25">
      <c r="A581" s="1"/>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x14ac:dyDescent="0.25">
      <c r="A582" s="1"/>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x14ac:dyDescent="0.25">
      <c r="A583" s="1"/>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x14ac:dyDescent="0.25">
      <c r="A584" s="1"/>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x14ac:dyDescent="0.25">
      <c r="A585" s="1"/>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x14ac:dyDescent="0.25">
      <c r="A586" s="1"/>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x14ac:dyDescent="0.25">
      <c r="A587" s="1"/>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x14ac:dyDescent="0.25">
      <c r="A588" s="1"/>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x14ac:dyDescent="0.25">
      <c r="A589" s="1"/>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x14ac:dyDescent="0.25">
      <c r="A590" s="1"/>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x14ac:dyDescent="0.25">
      <c r="A591" s="1"/>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x14ac:dyDescent="0.25">
      <c r="A592" s="1"/>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x14ac:dyDescent="0.25">
      <c r="A593" s="1"/>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x14ac:dyDescent="0.25">
      <c r="A594" s="1"/>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x14ac:dyDescent="0.25">
      <c r="A595" s="1"/>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x14ac:dyDescent="0.25">
      <c r="A596" s="1"/>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x14ac:dyDescent="0.25">
      <c r="A597" s="1"/>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x14ac:dyDescent="0.25">
      <c r="A598" s="1"/>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x14ac:dyDescent="0.25">
      <c r="A599" s="1"/>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x14ac:dyDescent="0.25">
      <c r="A600" s="1"/>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x14ac:dyDescent="0.25">
      <c r="A601" s="1"/>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x14ac:dyDescent="0.25">
      <c r="A602" s="1"/>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x14ac:dyDescent="0.25">
      <c r="A603" s="1"/>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x14ac:dyDescent="0.25">
      <c r="A604" s="1"/>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x14ac:dyDescent="0.25">
      <c r="A605" s="1"/>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x14ac:dyDescent="0.25">
      <c r="A606" s="1"/>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x14ac:dyDescent="0.25">
      <c r="A607" s="1"/>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x14ac:dyDescent="0.25">
      <c r="A608" s="1"/>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x14ac:dyDescent="0.25">
      <c r="A609" s="1"/>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x14ac:dyDescent="0.25">
      <c r="A610" s="1"/>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x14ac:dyDescent="0.25">
      <c r="A611" s="1"/>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x14ac:dyDescent="0.25">
      <c r="A612" s="1"/>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x14ac:dyDescent="0.25">
      <c r="A613" s="1"/>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x14ac:dyDescent="0.25">
      <c r="A614" s="1"/>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x14ac:dyDescent="0.25">
      <c r="A615" s="1"/>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x14ac:dyDescent="0.25">
      <c r="A616" s="1"/>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x14ac:dyDescent="0.25">
      <c r="A617" s="1"/>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x14ac:dyDescent="0.25">
      <c r="A618" s="1"/>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x14ac:dyDescent="0.25">
      <c r="A619" s="1"/>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x14ac:dyDescent="0.25">
      <c r="A620" s="1"/>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x14ac:dyDescent="0.25">
      <c r="A621" s="1"/>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x14ac:dyDescent="0.25">
      <c r="A622" s="1"/>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x14ac:dyDescent="0.25">
      <c r="A623" s="1"/>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x14ac:dyDescent="0.25">
      <c r="A624" s="1"/>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x14ac:dyDescent="0.25">
      <c r="A625" s="1"/>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x14ac:dyDescent="0.25">
      <c r="A626" s="1"/>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x14ac:dyDescent="0.25">
      <c r="A627" s="1"/>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x14ac:dyDescent="0.25">
      <c r="A628" s="1"/>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x14ac:dyDescent="0.25">
      <c r="A629" s="1"/>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x14ac:dyDescent="0.25">
      <c r="A630" s="1"/>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x14ac:dyDescent="0.25">
      <c r="A631" s="1"/>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x14ac:dyDescent="0.25">
      <c r="A632" s="1"/>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x14ac:dyDescent="0.25">
      <c r="A633" s="1"/>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x14ac:dyDescent="0.25">
      <c r="A634" s="1"/>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x14ac:dyDescent="0.25">
      <c r="A635" s="1"/>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x14ac:dyDescent="0.25">
      <c r="A636" s="1"/>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x14ac:dyDescent="0.25">
      <c r="A637" s="1"/>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x14ac:dyDescent="0.25">
      <c r="A638" s="1"/>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x14ac:dyDescent="0.25">
      <c r="A639" s="1"/>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x14ac:dyDescent="0.25">
      <c r="A640" s="1"/>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x14ac:dyDescent="0.25">
      <c r="A641" s="1"/>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x14ac:dyDescent="0.25">
      <c r="A642" s="1"/>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x14ac:dyDescent="0.25">
      <c r="A643" s="1"/>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x14ac:dyDescent="0.25">
      <c r="A644" s="1"/>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x14ac:dyDescent="0.25">
      <c r="A645" s="1"/>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x14ac:dyDescent="0.25">
      <c r="A646" s="1"/>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x14ac:dyDescent="0.25">
      <c r="A647" s="1"/>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x14ac:dyDescent="0.25">
      <c r="A648" s="1"/>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x14ac:dyDescent="0.25">
      <c r="A649" s="1"/>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x14ac:dyDescent="0.25">
      <c r="A650" s="1"/>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x14ac:dyDescent="0.25">
      <c r="A651" s="1"/>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x14ac:dyDescent="0.25">
      <c r="A652" s="1"/>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x14ac:dyDescent="0.25">
      <c r="A653" s="1"/>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x14ac:dyDescent="0.25">
      <c r="A654" s="1"/>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x14ac:dyDescent="0.25">
      <c r="A655" s="1"/>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x14ac:dyDescent="0.25">
      <c r="A656" s="1"/>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x14ac:dyDescent="0.25">
      <c r="A657" s="1"/>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x14ac:dyDescent="0.25">
      <c r="A658" s="1"/>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x14ac:dyDescent="0.25">
      <c r="A659" s="1"/>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x14ac:dyDescent="0.25">
      <c r="A660" s="1"/>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x14ac:dyDescent="0.25">
      <c r="A661" s="1"/>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x14ac:dyDescent="0.25">
      <c r="A662" s="1"/>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x14ac:dyDescent="0.25">
      <c r="A663" s="1"/>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x14ac:dyDescent="0.25">
      <c r="A664" s="1"/>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x14ac:dyDescent="0.25">
      <c r="A665" s="1"/>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x14ac:dyDescent="0.25">
      <c r="A666" s="1"/>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x14ac:dyDescent="0.25">
      <c r="A667" s="1"/>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x14ac:dyDescent="0.25">
      <c r="A668" s="1"/>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x14ac:dyDescent="0.25">
      <c r="A669" s="1"/>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x14ac:dyDescent="0.25">
      <c r="A670" s="1"/>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x14ac:dyDescent="0.25">
      <c r="A671" s="1"/>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x14ac:dyDescent="0.25">
      <c r="A672" s="1"/>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x14ac:dyDescent="0.25">
      <c r="A673" s="1"/>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x14ac:dyDescent="0.25">
      <c r="A674" s="1"/>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x14ac:dyDescent="0.25">
      <c r="A675" s="1"/>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x14ac:dyDescent="0.25">
      <c r="A676" s="1"/>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x14ac:dyDescent="0.25">
      <c r="A677" s="1"/>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x14ac:dyDescent="0.25">
      <c r="A678" s="1"/>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x14ac:dyDescent="0.25">
      <c r="A679" s="1"/>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x14ac:dyDescent="0.25">
      <c r="A680" s="1"/>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x14ac:dyDescent="0.25">
      <c r="A681" s="1"/>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x14ac:dyDescent="0.25">
      <c r="A682" s="1"/>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x14ac:dyDescent="0.25">
      <c r="A683" s="1"/>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x14ac:dyDescent="0.25">
      <c r="A684" s="1"/>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x14ac:dyDescent="0.25">
      <c r="A685" s="1"/>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x14ac:dyDescent="0.25">
      <c r="A686" s="1"/>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x14ac:dyDescent="0.25">
      <c r="A687" s="1"/>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x14ac:dyDescent="0.25">
      <c r="A688" s="1"/>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x14ac:dyDescent="0.25">
      <c r="A689" s="1"/>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x14ac:dyDescent="0.25">
      <c r="A690" s="1"/>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x14ac:dyDescent="0.25">
      <c r="A691" s="1"/>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x14ac:dyDescent="0.25">
      <c r="A692" s="1"/>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x14ac:dyDescent="0.25">
      <c r="A693" s="1"/>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x14ac:dyDescent="0.25">
      <c r="A694" s="1"/>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x14ac:dyDescent="0.25">
      <c r="A695" s="1"/>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x14ac:dyDescent="0.25">
      <c r="A696" s="1"/>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x14ac:dyDescent="0.25">
      <c r="A697" s="1"/>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x14ac:dyDescent="0.25">
      <c r="A698" s="1"/>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x14ac:dyDescent="0.25">
      <c r="A699" s="1"/>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x14ac:dyDescent="0.25">
      <c r="A700" s="1"/>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x14ac:dyDescent="0.25">
      <c r="A701" s="1"/>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x14ac:dyDescent="0.25">
      <c r="A702" s="1"/>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x14ac:dyDescent="0.25">
      <c r="A703" s="1"/>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x14ac:dyDescent="0.25">
      <c r="A704" s="1"/>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x14ac:dyDescent="0.25">
      <c r="A705" s="1"/>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x14ac:dyDescent="0.25">
      <c r="A706" s="1"/>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x14ac:dyDescent="0.25">
      <c r="A707" s="1"/>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x14ac:dyDescent="0.25">
      <c r="A708" s="1"/>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x14ac:dyDescent="0.25">
      <c r="A709" s="1"/>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x14ac:dyDescent="0.25">
      <c r="A710" s="1"/>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x14ac:dyDescent="0.25">
      <c r="A711" s="1"/>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x14ac:dyDescent="0.25">
      <c r="A712" s="1"/>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x14ac:dyDescent="0.25">
      <c r="A713" s="1"/>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x14ac:dyDescent="0.25">
      <c r="A714" s="1"/>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x14ac:dyDescent="0.25">
      <c r="A715" s="1"/>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x14ac:dyDescent="0.25">
      <c r="A716" s="1"/>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x14ac:dyDescent="0.25">
      <c r="A717" s="1"/>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x14ac:dyDescent="0.25">
      <c r="A718" s="1"/>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x14ac:dyDescent="0.25">
      <c r="A719" s="1"/>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x14ac:dyDescent="0.25">
      <c r="A720" s="1"/>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x14ac:dyDescent="0.25">
      <c r="A721" s="1"/>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x14ac:dyDescent="0.25">
      <c r="A722" s="1"/>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x14ac:dyDescent="0.25">
      <c r="A723" s="1"/>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x14ac:dyDescent="0.25">
      <c r="A724" s="1"/>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x14ac:dyDescent="0.25">
      <c r="A725" s="1"/>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x14ac:dyDescent="0.25">
      <c r="A726" s="1"/>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x14ac:dyDescent="0.25">
      <c r="A727" s="1"/>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x14ac:dyDescent="0.25">
      <c r="A728" s="1"/>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x14ac:dyDescent="0.25">
      <c r="A729" s="1"/>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x14ac:dyDescent="0.25">
      <c r="A730" s="1"/>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x14ac:dyDescent="0.25">
      <c r="A731" s="1"/>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x14ac:dyDescent="0.25">
      <c r="A732" s="1"/>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x14ac:dyDescent="0.25">
      <c r="A733" s="1"/>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x14ac:dyDescent="0.25">
      <c r="A734" s="1"/>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x14ac:dyDescent="0.25">
      <c r="A735" s="1"/>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x14ac:dyDescent="0.25">
      <c r="A736" s="1"/>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x14ac:dyDescent="0.25">
      <c r="A737" s="1"/>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x14ac:dyDescent="0.25">
      <c r="A738" s="1"/>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x14ac:dyDescent="0.25">
      <c r="A739" s="1"/>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x14ac:dyDescent="0.25">
      <c r="A740" s="1"/>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x14ac:dyDescent="0.25">
      <c r="A741" s="1"/>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x14ac:dyDescent="0.25">
      <c r="A742" s="1"/>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x14ac:dyDescent="0.25">
      <c r="A743" s="1"/>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x14ac:dyDescent="0.25">
      <c r="A744" s="1"/>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x14ac:dyDescent="0.25">
      <c r="A745" s="1"/>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x14ac:dyDescent="0.25">
      <c r="A746" s="1"/>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x14ac:dyDescent="0.25">
      <c r="A747" s="1"/>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x14ac:dyDescent="0.25">
      <c r="A748" s="1"/>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x14ac:dyDescent="0.25">
      <c r="A749" s="1"/>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x14ac:dyDescent="0.25">
      <c r="A750" s="1"/>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x14ac:dyDescent="0.25">
      <c r="A751" s="1"/>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x14ac:dyDescent="0.25">
      <c r="A752" s="1"/>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x14ac:dyDescent="0.25">
      <c r="A753" s="1"/>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x14ac:dyDescent="0.25">
      <c r="A754" s="1"/>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x14ac:dyDescent="0.25">
      <c r="A755" s="1"/>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x14ac:dyDescent="0.25">
      <c r="A756" s="1"/>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x14ac:dyDescent="0.25">
      <c r="A757" s="1"/>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x14ac:dyDescent="0.25">
      <c r="A758" s="1"/>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x14ac:dyDescent="0.25">
      <c r="A759" s="1"/>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x14ac:dyDescent="0.25">
      <c r="A760" s="1"/>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x14ac:dyDescent="0.25">
      <c r="A761" s="1"/>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x14ac:dyDescent="0.25">
      <c r="A762" s="1"/>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x14ac:dyDescent="0.25">
      <c r="A763" s="1"/>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x14ac:dyDescent="0.25">
      <c r="A764" s="1"/>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x14ac:dyDescent="0.25">
      <c r="A765" s="1"/>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x14ac:dyDescent="0.25">
      <c r="A766" s="1"/>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x14ac:dyDescent="0.25">
      <c r="A767" s="1"/>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x14ac:dyDescent="0.25">
      <c r="A768" s="1"/>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x14ac:dyDescent="0.25">
      <c r="A769" s="1"/>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x14ac:dyDescent="0.25">
      <c r="A770" s="1"/>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x14ac:dyDescent="0.25">
      <c r="A771" s="1"/>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x14ac:dyDescent="0.25">
      <c r="A772" s="1"/>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x14ac:dyDescent="0.25">
      <c r="A773" s="1"/>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x14ac:dyDescent="0.25">
      <c r="A774" s="1"/>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x14ac:dyDescent="0.25">
      <c r="A775" s="1"/>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x14ac:dyDescent="0.25">
      <c r="A776" s="1"/>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x14ac:dyDescent="0.25">
      <c r="A777" s="1"/>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x14ac:dyDescent="0.25">
      <c r="A778" s="1"/>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x14ac:dyDescent="0.25">
      <c r="A779" s="1"/>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x14ac:dyDescent="0.25">
      <c r="A780" s="1"/>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x14ac:dyDescent="0.25">
      <c r="A781" s="1"/>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x14ac:dyDescent="0.25">
      <c r="A782" s="1"/>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x14ac:dyDescent="0.25">
      <c r="A783" s="1"/>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x14ac:dyDescent="0.25">
      <c r="A784" s="1"/>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x14ac:dyDescent="0.25">
      <c r="A785" s="1"/>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x14ac:dyDescent="0.25">
      <c r="A786" s="1"/>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x14ac:dyDescent="0.25">
      <c r="A787" s="1"/>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x14ac:dyDescent="0.25">
      <c r="A788" s="1"/>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x14ac:dyDescent="0.25">
      <c r="A789" s="1"/>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x14ac:dyDescent="0.25">
      <c r="A790" s="1"/>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x14ac:dyDescent="0.25">
      <c r="A791" s="1"/>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x14ac:dyDescent="0.25">
      <c r="A792" s="1"/>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x14ac:dyDescent="0.25">
      <c r="A793" s="1"/>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x14ac:dyDescent="0.25">
      <c r="A794" s="1"/>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x14ac:dyDescent="0.25">
      <c r="A795" s="1"/>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x14ac:dyDescent="0.25">
      <c r="A796" s="1"/>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x14ac:dyDescent="0.25">
      <c r="A797" s="1"/>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x14ac:dyDescent="0.25">
      <c r="A798" s="1"/>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x14ac:dyDescent="0.25">
      <c r="A799" s="1"/>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x14ac:dyDescent="0.25">
      <c r="A800" s="1"/>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x14ac:dyDescent="0.25">
      <c r="A801" s="1"/>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x14ac:dyDescent="0.25">
      <c r="A802" s="1"/>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x14ac:dyDescent="0.25">
      <c r="A803" s="1"/>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x14ac:dyDescent="0.25">
      <c r="A804" s="1"/>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x14ac:dyDescent="0.25">
      <c r="A805" s="1"/>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x14ac:dyDescent="0.25">
      <c r="A806" s="1"/>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x14ac:dyDescent="0.25">
      <c r="A807" s="1"/>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x14ac:dyDescent="0.25">
      <c r="A808" s="1"/>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x14ac:dyDescent="0.25">
      <c r="A809" s="1"/>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x14ac:dyDescent="0.25">
      <c r="A810" s="1"/>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x14ac:dyDescent="0.25">
      <c r="A811" s="1"/>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x14ac:dyDescent="0.25">
      <c r="A812" s="1"/>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x14ac:dyDescent="0.25">
      <c r="A813" s="1"/>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x14ac:dyDescent="0.25">
      <c r="A814" s="1"/>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x14ac:dyDescent="0.25">
      <c r="A815" s="1"/>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x14ac:dyDescent="0.25">
      <c r="A816" s="1"/>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x14ac:dyDescent="0.25">
      <c r="A817" s="1"/>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x14ac:dyDescent="0.25">
      <c r="A818" s="1"/>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x14ac:dyDescent="0.25">
      <c r="A819" s="1"/>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x14ac:dyDescent="0.25">
      <c r="A820" s="1"/>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x14ac:dyDescent="0.25">
      <c r="A821" s="1"/>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x14ac:dyDescent="0.25">
      <c r="A822" s="1"/>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x14ac:dyDescent="0.25">
      <c r="A823" s="1"/>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x14ac:dyDescent="0.25">
      <c r="A824" s="1"/>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x14ac:dyDescent="0.25">
      <c r="A825" s="1"/>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x14ac:dyDescent="0.25">
      <c r="A826" s="1"/>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x14ac:dyDescent="0.25">
      <c r="A827" s="1"/>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x14ac:dyDescent="0.25">
      <c r="A828" s="1"/>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x14ac:dyDescent="0.25">
      <c r="A829" s="1"/>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x14ac:dyDescent="0.25">
      <c r="A830" s="1"/>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x14ac:dyDescent="0.25">
      <c r="A831" s="1"/>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x14ac:dyDescent="0.25">
      <c r="A832" s="1"/>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x14ac:dyDescent="0.25">
      <c r="A833" s="1"/>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x14ac:dyDescent="0.25">
      <c r="A834" s="1"/>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x14ac:dyDescent="0.25">
      <c r="A835" s="1"/>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x14ac:dyDescent="0.25">
      <c r="A836" s="1"/>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x14ac:dyDescent="0.25">
      <c r="A837" s="1"/>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x14ac:dyDescent="0.25">
      <c r="A838" s="1"/>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x14ac:dyDescent="0.25">
      <c r="A839" s="1"/>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x14ac:dyDescent="0.25">
      <c r="A840" s="1"/>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x14ac:dyDescent="0.25">
      <c r="A841" s="1"/>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x14ac:dyDescent="0.25">
      <c r="A842" s="1"/>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x14ac:dyDescent="0.25">
      <c r="A843" s="1"/>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x14ac:dyDescent="0.25">
      <c r="A844" s="1"/>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x14ac:dyDescent="0.25">
      <c r="A845" s="1"/>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x14ac:dyDescent="0.25">
      <c r="A846" s="1"/>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x14ac:dyDescent="0.25">
      <c r="A847" s="1"/>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x14ac:dyDescent="0.25">
      <c r="A848" s="1"/>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x14ac:dyDescent="0.25">
      <c r="A849" s="1"/>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x14ac:dyDescent="0.25">
      <c r="A850" s="1"/>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x14ac:dyDescent="0.25">
      <c r="A851" s="1"/>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x14ac:dyDescent="0.25">
      <c r="A852" s="1"/>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x14ac:dyDescent="0.25">
      <c r="A853" s="1"/>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x14ac:dyDescent="0.25">
      <c r="A854" s="1"/>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x14ac:dyDescent="0.25">
      <c r="A855" s="1"/>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x14ac:dyDescent="0.25">
      <c r="A856" s="1"/>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x14ac:dyDescent="0.25">
      <c r="A857" s="1"/>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x14ac:dyDescent="0.25">
      <c r="A858" s="1"/>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x14ac:dyDescent="0.25">
      <c r="A859" s="1"/>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x14ac:dyDescent="0.25">
      <c r="A860" s="1"/>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x14ac:dyDescent="0.25">
      <c r="A861" s="1"/>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x14ac:dyDescent="0.25">
      <c r="A862" s="1"/>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x14ac:dyDescent="0.25">
      <c r="A863" s="1"/>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x14ac:dyDescent="0.25">
      <c r="A864" s="1"/>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x14ac:dyDescent="0.25">
      <c r="A865" s="1"/>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x14ac:dyDescent="0.25">
      <c r="A866" s="1"/>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x14ac:dyDescent="0.25">
      <c r="A867" s="1"/>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x14ac:dyDescent="0.25">
      <c r="A868" s="1"/>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x14ac:dyDescent="0.25">
      <c r="A869" s="1"/>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x14ac:dyDescent="0.25">
      <c r="A870" s="1"/>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x14ac:dyDescent="0.25">
      <c r="A871" s="1"/>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x14ac:dyDescent="0.25">
      <c r="A872" s="1"/>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x14ac:dyDescent="0.25">
      <c r="A873" s="1"/>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x14ac:dyDescent="0.25">
      <c r="A874" s="1"/>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x14ac:dyDescent="0.25">
      <c r="A875" s="1"/>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x14ac:dyDescent="0.25">
      <c r="A876" s="1"/>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x14ac:dyDescent="0.25">
      <c r="A877" s="1"/>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x14ac:dyDescent="0.25">
      <c r="A878" s="1"/>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x14ac:dyDescent="0.25">
      <c r="A879" s="1"/>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x14ac:dyDescent="0.25">
      <c r="A880" s="1"/>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x14ac:dyDescent="0.25">
      <c r="A881" s="1"/>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x14ac:dyDescent="0.25">
      <c r="A882" s="1"/>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x14ac:dyDescent="0.25">
      <c r="A883" s="1"/>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x14ac:dyDescent="0.25">
      <c r="A884" s="1"/>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x14ac:dyDescent="0.25">
      <c r="A885" s="1"/>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x14ac:dyDescent="0.25">
      <c r="A886" s="1"/>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x14ac:dyDescent="0.25">
      <c r="A887" s="1"/>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x14ac:dyDescent="0.25">
      <c r="A888" s="1"/>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x14ac:dyDescent="0.25">
      <c r="A889" s="1"/>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x14ac:dyDescent="0.25">
      <c r="A890" s="1"/>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x14ac:dyDescent="0.25">
      <c r="A891" s="1"/>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x14ac:dyDescent="0.25">
      <c r="A892" s="1"/>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x14ac:dyDescent="0.25">
      <c r="A893" s="1"/>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x14ac:dyDescent="0.25">
      <c r="A894" s="1"/>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x14ac:dyDescent="0.25">
      <c r="A895" s="1"/>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x14ac:dyDescent="0.25">
      <c r="A896" s="1"/>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x14ac:dyDescent="0.25">
      <c r="A897" s="1"/>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x14ac:dyDescent="0.25">
      <c r="A898" s="1"/>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x14ac:dyDescent="0.25">
      <c r="A899" s="1"/>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x14ac:dyDescent="0.25">
      <c r="A900" s="1"/>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x14ac:dyDescent="0.25">
      <c r="A901" s="1"/>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x14ac:dyDescent="0.25">
      <c r="A902" s="1"/>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x14ac:dyDescent="0.25">
      <c r="A903" s="1"/>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x14ac:dyDescent="0.25">
      <c r="A904" s="1"/>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x14ac:dyDescent="0.25">
      <c r="A905" s="1"/>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x14ac:dyDescent="0.25">
      <c r="A906" s="1"/>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x14ac:dyDescent="0.25">
      <c r="A907" s="1"/>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x14ac:dyDescent="0.25">
      <c r="A908" s="1"/>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x14ac:dyDescent="0.25">
      <c r="A909" s="1"/>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x14ac:dyDescent="0.25">
      <c r="A910" s="1"/>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x14ac:dyDescent="0.25">
      <c r="A911" s="1"/>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x14ac:dyDescent="0.25">
      <c r="A912" s="1"/>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x14ac:dyDescent="0.25">
      <c r="A913" s="1"/>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x14ac:dyDescent="0.25">
      <c r="A914" s="1"/>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x14ac:dyDescent="0.25">
      <c r="A915" s="1"/>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x14ac:dyDescent="0.25">
      <c r="A916" s="1"/>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x14ac:dyDescent="0.25">
      <c r="A917" s="1"/>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x14ac:dyDescent="0.25">
      <c r="A918" s="1"/>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x14ac:dyDescent="0.25">
      <c r="A919" s="1"/>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x14ac:dyDescent="0.25">
      <c r="A920" s="1"/>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x14ac:dyDescent="0.25">
      <c r="A921" s="1"/>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x14ac:dyDescent="0.25">
      <c r="A922" s="1"/>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x14ac:dyDescent="0.25">
      <c r="A923" s="1"/>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x14ac:dyDescent="0.25">
      <c r="A924" s="1"/>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x14ac:dyDescent="0.25">
      <c r="A925" s="1"/>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x14ac:dyDescent="0.25">
      <c r="A926" s="1"/>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x14ac:dyDescent="0.25">
      <c r="A927" s="1"/>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x14ac:dyDescent="0.25">
      <c r="A928" s="1"/>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x14ac:dyDescent="0.25">
      <c r="A929" s="1"/>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x14ac:dyDescent="0.25">
      <c r="A930" s="1"/>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x14ac:dyDescent="0.25">
      <c r="A931" s="1"/>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x14ac:dyDescent="0.25">
      <c r="A932" s="1"/>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x14ac:dyDescent="0.25">
      <c r="A933" s="1"/>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x14ac:dyDescent="0.25">
      <c r="A934" s="1"/>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x14ac:dyDescent="0.25">
      <c r="A935" s="1"/>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x14ac:dyDescent="0.25">
      <c r="A936" s="1"/>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x14ac:dyDescent="0.25">
      <c r="A937" s="1"/>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x14ac:dyDescent="0.25">
      <c r="A938" s="1"/>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x14ac:dyDescent="0.25">
      <c r="A939" s="1"/>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x14ac:dyDescent="0.25">
      <c r="A940" s="1"/>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x14ac:dyDescent="0.25">
      <c r="A941" s="1"/>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x14ac:dyDescent="0.25">
      <c r="A942" s="1"/>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x14ac:dyDescent="0.25">
      <c r="A943" s="1"/>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x14ac:dyDescent="0.25">
      <c r="A944" s="1"/>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x14ac:dyDescent="0.25">
      <c r="A945" s="1"/>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x14ac:dyDescent="0.25">
      <c r="A946" s="1"/>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x14ac:dyDescent="0.25">
      <c r="A947" s="1"/>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x14ac:dyDescent="0.25">
      <c r="A948" s="1"/>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x14ac:dyDescent="0.25">
      <c r="A949" s="1"/>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x14ac:dyDescent="0.25">
      <c r="A950" s="1"/>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x14ac:dyDescent="0.25">
      <c r="A951" s="1"/>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x14ac:dyDescent="0.25">
      <c r="A952" s="1"/>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x14ac:dyDescent="0.25">
      <c r="A953" s="1"/>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x14ac:dyDescent="0.25">
      <c r="A954" s="1"/>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x14ac:dyDescent="0.25">
      <c r="A955" s="1"/>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x14ac:dyDescent="0.25">
      <c r="A956" s="1"/>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x14ac:dyDescent="0.25">
      <c r="A957" s="1"/>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x14ac:dyDescent="0.25">
      <c r="A958" s="1"/>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x14ac:dyDescent="0.25">
      <c r="A959" s="1"/>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x14ac:dyDescent="0.25">
      <c r="A960" s="1"/>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x14ac:dyDescent="0.25">
      <c r="A961" s="1"/>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x14ac:dyDescent="0.25">
      <c r="A962" s="1"/>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x14ac:dyDescent="0.25">
      <c r="A963" s="1"/>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x14ac:dyDescent="0.25">
      <c r="A964" s="1"/>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x14ac:dyDescent="0.25">
      <c r="A965" s="1"/>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x14ac:dyDescent="0.25">
      <c r="A966" s="1"/>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x14ac:dyDescent="0.25">
      <c r="A967" s="1"/>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x14ac:dyDescent="0.25">
      <c r="A968" s="1"/>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x14ac:dyDescent="0.25">
      <c r="A969" s="1"/>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x14ac:dyDescent="0.25">
      <c r="A970" s="1"/>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x14ac:dyDescent="0.25">
      <c r="A971" s="1"/>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x14ac:dyDescent="0.25">
      <c r="A972" s="1"/>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x14ac:dyDescent="0.25">
      <c r="A973" s="1"/>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x14ac:dyDescent="0.25">
      <c r="A974" s="1"/>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x14ac:dyDescent="0.25">
      <c r="A975" s="1"/>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x14ac:dyDescent="0.25">
      <c r="A976" s="1"/>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x14ac:dyDescent="0.25">
      <c r="A977" s="1"/>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x14ac:dyDescent="0.25">
      <c r="A978" s="1"/>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x14ac:dyDescent="0.25">
      <c r="A979" s="1"/>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x14ac:dyDescent="0.25">
      <c r="A980" s="1"/>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x14ac:dyDescent="0.25">
      <c r="A981" s="1"/>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x14ac:dyDescent="0.25">
      <c r="A982" s="1"/>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x14ac:dyDescent="0.25">
      <c r="A983" s="1"/>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x14ac:dyDescent="0.25">
      <c r="A984" s="1"/>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x14ac:dyDescent="0.25">
      <c r="A985" s="1"/>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x14ac:dyDescent="0.25">
      <c r="A986" s="1"/>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x14ac:dyDescent="0.25">
      <c r="A987" s="1"/>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x14ac:dyDescent="0.25">
      <c r="A988" s="1"/>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x14ac:dyDescent="0.25">
      <c r="A989" s="1"/>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x14ac:dyDescent="0.25">
      <c r="A990" s="1"/>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x14ac:dyDescent="0.25">
      <c r="A991" s="1"/>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x14ac:dyDescent="0.25">
      <c r="A992" s="1"/>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x14ac:dyDescent="0.25">
      <c r="A993" s="1"/>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x14ac:dyDescent="0.25">
      <c r="A994" s="1"/>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x14ac:dyDescent="0.25">
      <c r="A995" s="1"/>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x14ac:dyDescent="0.25">
      <c r="A996" s="1"/>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x14ac:dyDescent="0.25">
      <c r="A997" s="1"/>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x14ac:dyDescent="0.25">
      <c r="A998" s="1"/>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x14ac:dyDescent="0.25">
      <c r="A999" s="1"/>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x14ac:dyDescent="0.25">
      <c r="A1000" s="1"/>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hyperlinks>
    <hyperlink ref="A73" r:id="rId1" xr:uid="{00000000-0004-0000-0300-000000000000}"/>
    <hyperlink ref="A74" r:id="rId2" xr:uid="{00000000-0004-0000-0300-000001000000}"/>
    <hyperlink ref="A75" r:id="rId3" xr:uid="{00000000-0004-0000-0300-000002000000}"/>
  </hyperlinks>
  <pageMargins left="0.7" right="0.7" top="0.75" bottom="0.75" header="0" footer="0"/>
  <pageSetup orientation="portrait" r:id="rId4"/>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showGridLines="0" topLeftCell="A60" workbookViewId="0">
      <selection activeCell="D1" sqref="D1"/>
    </sheetView>
  </sheetViews>
  <sheetFormatPr defaultColWidth="14.42578125" defaultRowHeight="15" customHeight="1" x14ac:dyDescent="0.25"/>
  <cols>
    <col min="1" max="1" width="12.7109375" customWidth="1"/>
    <col min="2" max="2" width="82.85546875" customWidth="1"/>
    <col min="3" max="3" width="15.140625" customWidth="1"/>
    <col min="4" max="4" width="12.5703125" customWidth="1"/>
    <col min="5" max="5" width="8.28515625" customWidth="1"/>
    <col min="6" max="6" width="9.28515625" customWidth="1"/>
    <col min="7" max="7" width="10.85546875" customWidth="1"/>
    <col min="8" max="26" width="8.85546875" customWidth="1"/>
  </cols>
  <sheetData>
    <row r="1" spans="1:26" ht="60" customHeight="1" x14ac:dyDescent="0.25">
      <c r="A1" s="1" t="s">
        <v>184</v>
      </c>
      <c r="B1" s="3"/>
      <c r="H1" s="3"/>
      <c r="I1" s="3"/>
      <c r="J1" s="3"/>
      <c r="K1" s="3"/>
      <c r="L1" s="3"/>
      <c r="M1" s="3"/>
      <c r="N1" s="3"/>
      <c r="O1" s="3"/>
      <c r="P1" s="3"/>
      <c r="Q1" s="3"/>
      <c r="R1" s="3"/>
      <c r="S1" s="3"/>
      <c r="T1" s="3"/>
      <c r="U1" s="3"/>
      <c r="V1" s="3"/>
      <c r="W1" s="3"/>
      <c r="X1" s="3"/>
      <c r="Y1" s="3"/>
      <c r="Z1" s="3"/>
    </row>
    <row r="2" spans="1:26" ht="15" customHeight="1" x14ac:dyDescent="0.25">
      <c r="A2" s="1" t="s">
        <v>185</v>
      </c>
      <c r="B2" s="3"/>
      <c r="C2" s="3"/>
      <c r="D2" s="3"/>
      <c r="E2" s="3"/>
      <c r="F2" s="3"/>
      <c r="G2" s="3"/>
      <c r="H2" s="3"/>
      <c r="I2" s="3"/>
      <c r="J2" s="3"/>
      <c r="K2" s="3"/>
      <c r="L2" s="3"/>
      <c r="M2" s="3"/>
      <c r="N2" s="3"/>
      <c r="O2" s="3"/>
      <c r="P2" s="3"/>
      <c r="Q2" s="3"/>
      <c r="R2" s="3"/>
      <c r="S2" s="3"/>
      <c r="T2" s="3"/>
      <c r="U2" s="3"/>
      <c r="V2" s="3"/>
      <c r="W2" s="3"/>
      <c r="X2" s="3"/>
      <c r="Y2" s="3"/>
      <c r="Z2" s="3"/>
    </row>
    <row r="3" spans="1:26" ht="15" customHeight="1" x14ac:dyDescent="0.25">
      <c r="A3" s="1" t="s">
        <v>186</v>
      </c>
      <c r="B3" s="3"/>
      <c r="H3" s="3"/>
      <c r="I3" s="3"/>
      <c r="J3" s="3"/>
      <c r="K3" s="3"/>
      <c r="L3" s="3"/>
      <c r="M3" s="3"/>
      <c r="N3" s="3"/>
      <c r="O3" s="3"/>
      <c r="P3" s="3"/>
      <c r="Q3" s="3"/>
      <c r="R3" s="3"/>
      <c r="S3" s="3"/>
      <c r="T3" s="3"/>
      <c r="U3" s="3"/>
      <c r="V3" s="3"/>
      <c r="W3" s="3"/>
      <c r="X3" s="3"/>
      <c r="Y3" s="3"/>
      <c r="Z3" s="3"/>
    </row>
    <row r="4" spans="1:26" ht="15" customHeight="1" x14ac:dyDescent="0.25">
      <c r="A4" s="1" t="s">
        <v>187</v>
      </c>
      <c r="B4" s="3"/>
      <c r="H4" s="3"/>
      <c r="I4" s="3"/>
      <c r="J4" s="3"/>
      <c r="K4" s="3"/>
      <c r="L4" s="3"/>
      <c r="M4" s="3"/>
      <c r="N4" s="3"/>
      <c r="O4" s="3"/>
      <c r="P4" s="3"/>
      <c r="Q4" s="3"/>
      <c r="R4" s="3"/>
      <c r="S4" s="3"/>
      <c r="T4" s="3"/>
      <c r="U4" s="3"/>
      <c r="V4" s="3"/>
      <c r="W4" s="3"/>
      <c r="X4" s="3"/>
      <c r="Y4" s="3"/>
      <c r="Z4" s="3"/>
    </row>
    <row r="5" spans="1:26" ht="15" customHeight="1" x14ac:dyDescent="0.25">
      <c r="A5" s="1" t="s">
        <v>188</v>
      </c>
      <c r="B5" s="3"/>
      <c r="C5" s="5" t="s">
        <v>189</v>
      </c>
      <c r="D5" s="5" t="s">
        <v>86</v>
      </c>
      <c r="E5" s="5" t="s">
        <v>190</v>
      </c>
      <c r="F5" s="5" t="s">
        <v>191</v>
      </c>
      <c r="G5" s="5" t="s">
        <v>192</v>
      </c>
      <c r="H5" s="7"/>
      <c r="I5" s="7"/>
      <c r="J5" s="7"/>
      <c r="K5" s="7"/>
      <c r="L5" s="7"/>
      <c r="M5" s="7"/>
      <c r="N5" s="7"/>
      <c r="O5" s="7"/>
      <c r="P5" s="7"/>
      <c r="Q5" s="7"/>
      <c r="R5" s="7"/>
      <c r="S5" s="7"/>
      <c r="T5" s="7"/>
      <c r="U5" s="7"/>
      <c r="V5" s="7"/>
      <c r="W5" s="7"/>
      <c r="X5" s="7"/>
      <c r="Y5" s="7"/>
      <c r="Z5" s="7"/>
    </row>
    <row r="6" spans="1:26" ht="15" customHeight="1" x14ac:dyDescent="0.25">
      <c r="A6" s="1" t="s">
        <v>193</v>
      </c>
      <c r="B6" s="3"/>
      <c r="C6" s="35" t="s">
        <v>5</v>
      </c>
      <c r="D6" s="35" t="s">
        <v>11</v>
      </c>
      <c r="E6" s="37">
        <v>75000</v>
      </c>
      <c r="F6" s="37">
        <v>82000</v>
      </c>
      <c r="G6" s="37">
        <v>2000000</v>
      </c>
      <c r="H6" s="7"/>
      <c r="I6" s="7"/>
      <c r="J6" s="7"/>
      <c r="K6" s="7"/>
      <c r="L6" s="7"/>
      <c r="M6" s="7"/>
      <c r="N6" s="7"/>
      <c r="O6" s="7"/>
      <c r="P6" s="7"/>
      <c r="Q6" s="7"/>
      <c r="R6" s="7"/>
      <c r="S6" s="7"/>
      <c r="T6" s="7"/>
      <c r="U6" s="7"/>
      <c r="V6" s="7"/>
      <c r="W6" s="7"/>
      <c r="X6" s="7"/>
      <c r="Y6" s="7"/>
      <c r="Z6" s="7"/>
    </row>
    <row r="7" spans="1:26" ht="15" customHeight="1" x14ac:dyDescent="0.25">
      <c r="A7" s="1" t="s">
        <v>194</v>
      </c>
      <c r="B7" s="3"/>
      <c r="C7" s="3" t="s">
        <v>195</v>
      </c>
      <c r="D7" s="3" t="s">
        <v>196</v>
      </c>
      <c r="E7" s="24">
        <v>25000</v>
      </c>
      <c r="F7" s="24">
        <v>80000</v>
      </c>
      <c r="G7" s="24">
        <v>120000</v>
      </c>
      <c r="H7" s="7"/>
      <c r="I7" s="7"/>
      <c r="J7" s="7"/>
      <c r="K7" s="7"/>
      <c r="L7" s="7"/>
      <c r="M7" s="7"/>
      <c r="N7" s="7"/>
      <c r="O7" s="7"/>
      <c r="P7" s="7"/>
      <c r="Q7" s="7"/>
      <c r="R7" s="7"/>
      <c r="S7" s="7"/>
      <c r="T7" s="7"/>
      <c r="U7" s="7"/>
      <c r="V7" s="7"/>
      <c r="W7" s="7"/>
      <c r="X7" s="7"/>
      <c r="Y7" s="7"/>
      <c r="Z7" s="7"/>
    </row>
    <row r="8" spans="1:26" ht="15" customHeight="1" x14ac:dyDescent="0.25">
      <c r="A8" s="1" t="s">
        <v>26</v>
      </c>
      <c r="B8" s="3"/>
      <c r="C8" s="6" t="s">
        <v>5</v>
      </c>
      <c r="D8" s="6" t="s">
        <v>8</v>
      </c>
      <c r="E8" s="23">
        <v>90000</v>
      </c>
      <c r="F8" s="23">
        <v>110000</v>
      </c>
      <c r="G8" s="23">
        <v>120000</v>
      </c>
      <c r="H8" s="7"/>
      <c r="I8" s="7"/>
      <c r="J8" s="7"/>
      <c r="K8" s="7"/>
      <c r="L8" s="7"/>
      <c r="M8" s="7"/>
      <c r="N8" s="7"/>
      <c r="O8" s="7"/>
      <c r="P8" s="7"/>
      <c r="Q8" s="7"/>
      <c r="R8" s="7"/>
      <c r="S8" s="7"/>
      <c r="T8" s="7"/>
      <c r="U8" s="7"/>
      <c r="V8" s="7"/>
      <c r="W8" s="7"/>
      <c r="X8" s="7"/>
      <c r="Y8" s="7"/>
      <c r="Z8" s="7"/>
    </row>
    <row r="9" spans="1:26" ht="15" customHeight="1" x14ac:dyDescent="0.25">
      <c r="A9" s="1"/>
      <c r="B9" s="3"/>
      <c r="C9" s="36" t="s">
        <v>89</v>
      </c>
      <c r="D9" s="36" t="s">
        <v>3</v>
      </c>
      <c r="E9" s="38">
        <v>10000</v>
      </c>
      <c r="F9" s="38">
        <v>30000</v>
      </c>
      <c r="G9" s="38">
        <v>40000</v>
      </c>
      <c r="H9" s="7"/>
      <c r="I9" s="7"/>
      <c r="J9" s="7"/>
      <c r="K9" s="7"/>
      <c r="L9" s="7"/>
      <c r="M9" s="7"/>
      <c r="N9" s="7"/>
      <c r="O9" s="7"/>
      <c r="P9" s="7"/>
      <c r="Q9" s="7"/>
      <c r="R9" s="7"/>
      <c r="S9" s="7"/>
      <c r="T9" s="7"/>
      <c r="U9" s="7"/>
      <c r="V9" s="7"/>
      <c r="W9" s="7"/>
      <c r="X9" s="7"/>
      <c r="Y9" s="7"/>
      <c r="Z9" s="7"/>
    </row>
    <row r="10" spans="1:26" ht="15" customHeight="1" x14ac:dyDescent="0.25">
      <c r="A10" s="1"/>
      <c r="B10" s="3"/>
      <c r="C10" s="35" t="s">
        <v>89</v>
      </c>
      <c r="D10" s="35" t="s">
        <v>197</v>
      </c>
      <c r="E10" s="37">
        <v>30000</v>
      </c>
      <c r="F10" s="37">
        <v>80000</v>
      </c>
      <c r="G10" s="37">
        <v>30000</v>
      </c>
      <c r="H10" s="7"/>
      <c r="I10" s="7"/>
      <c r="J10" s="7"/>
      <c r="K10" s="7"/>
      <c r="L10" s="7"/>
      <c r="M10" s="7"/>
      <c r="N10" s="7"/>
      <c r="O10" s="7"/>
      <c r="P10" s="7"/>
      <c r="Q10" s="7"/>
      <c r="R10" s="7"/>
      <c r="S10" s="7"/>
      <c r="T10" s="7"/>
      <c r="U10" s="7"/>
      <c r="V10" s="7"/>
      <c r="W10" s="7"/>
      <c r="X10" s="7"/>
      <c r="Y10" s="7"/>
      <c r="Z10" s="7"/>
    </row>
    <row r="11" spans="1:26" ht="15" customHeight="1" x14ac:dyDescent="0.25">
      <c r="A11" s="1"/>
      <c r="B11" s="3"/>
      <c r="C11" s="36" t="s">
        <v>198</v>
      </c>
      <c r="D11" s="36" t="s">
        <v>199</v>
      </c>
      <c r="E11" s="38">
        <v>90000</v>
      </c>
      <c r="F11" s="38">
        <v>35000</v>
      </c>
      <c r="G11" s="38">
        <v>25000</v>
      </c>
      <c r="H11" s="7"/>
      <c r="I11" s="7"/>
      <c r="J11" s="7"/>
      <c r="K11" s="7"/>
      <c r="L11" s="7"/>
      <c r="M11" s="7"/>
      <c r="N11" s="7"/>
      <c r="O11" s="7"/>
      <c r="P11" s="7"/>
      <c r="Q11" s="7"/>
      <c r="R11" s="7"/>
      <c r="S11" s="7"/>
      <c r="T11" s="7"/>
      <c r="U11" s="7"/>
      <c r="V11" s="7"/>
      <c r="W11" s="7"/>
      <c r="X11" s="7"/>
      <c r="Y11" s="7"/>
      <c r="Z11" s="7"/>
    </row>
    <row r="12" spans="1:26" ht="15" customHeight="1" x14ac:dyDescent="0.25">
      <c r="A12" s="1"/>
      <c r="B12" s="3"/>
      <c r="C12" s="6" t="s">
        <v>195</v>
      </c>
      <c r="D12" s="6" t="s">
        <v>200</v>
      </c>
      <c r="E12" s="23">
        <v>30000</v>
      </c>
      <c r="F12" s="23">
        <v>15000</v>
      </c>
      <c r="G12" s="23">
        <v>20000</v>
      </c>
      <c r="H12" s="7"/>
      <c r="I12" s="7"/>
      <c r="J12" s="7"/>
      <c r="K12" s="7"/>
      <c r="L12" s="7"/>
      <c r="M12" s="7"/>
      <c r="N12" s="7"/>
      <c r="O12" s="7"/>
      <c r="P12" s="7"/>
      <c r="Q12" s="7"/>
      <c r="R12" s="7"/>
      <c r="S12" s="7"/>
      <c r="T12" s="7"/>
      <c r="U12" s="7"/>
      <c r="V12" s="7"/>
      <c r="W12" s="7"/>
      <c r="X12" s="7"/>
      <c r="Y12" s="7"/>
      <c r="Z12" s="7"/>
    </row>
    <row r="13" spans="1:26" ht="15" customHeight="1" x14ac:dyDescent="0.25">
      <c r="A13" s="1"/>
      <c r="B13" s="3"/>
      <c r="C13" s="3" t="s">
        <v>198</v>
      </c>
      <c r="D13" s="3" t="s">
        <v>201</v>
      </c>
      <c r="E13" s="24">
        <v>80000</v>
      </c>
      <c r="F13" s="24">
        <v>40000</v>
      </c>
      <c r="G13" s="24">
        <v>20000</v>
      </c>
      <c r="H13" s="7"/>
      <c r="I13" s="7"/>
      <c r="J13" s="7"/>
      <c r="K13" s="7"/>
      <c r="L13" s="7"/>
      <c r="M13" s="7"/>
      <c r="N13" s="7"/>
      <c r="O13" s="7"/>
      <c r="P13" s="7"/>
      <c r="Q13" s="7"/>
      <c r="R13" s="7"/>
      <c r="S13" s="7"/>
      <c r="T13" s="7"/>
      <c r="U13" s="7"/>
      <c r="V13" s="7"/>
      <c r="W13" s="7"/>
      <c r="X13" s="7"/>
      <c r="Y13" s="7"/>
      <c r="Z13" s="7"/>
    </row>
    <row r="14" spans="1:26" ht="15" customHeight="1" x14ac:dyDescent="0.25">
      <c r="A14" s="1"/>
      <c r="B14" s="3"/>
      <c r="H14" s="7"/>
      <c r="I14" s="7"/>
      <c r="J14" s="7"/>
      <c r="K14" s="7"/>
      <c r="L14" s="7"/>
      <c r="M14" s="7"/>
      <c r="N14" s="7"/>
      <c r="O14" s="7"/>
      <c r="P14" s="7"/>
      <c r="Q14" s="7"/>
      <c r="R14" s="7"/>
      <c r="S14" s="7"/>
      <c r="T14" s="7"/>
      <c r="U14" s="7"/>
      <c r="V14" s="7"/>
      <c r="W14" s="7"/>
      <c r="X14" s="7"/>
      <c r="Y14" s="7"/>
      <c r="Z14" s="7"/>
    </row>
    <row r="15" spans="1:26" ht="15" customHeight="1" x14ac:dyDescent="0.25">
      <c r="A15" s="1"/>
      <c r="B15" s="3"/>
      <c r="H15" s="7"/>
      <c r="I15" s="7"/>
      <c r="J15" s="7"/>
      <c r="K15" s="7"/>
      <c r="L15" s="7"/>
      <c r="M15" s="7"/>
      <c r="N15" s="7"/>
      <c r="O15" s="7"/>
      <c r="P15" s="7"/>
      <c r="Q15" s="7"/>
      <c r="R15" s="7"/>
      <c r="S15" s="7"/>
      <c r="T15" s="7"/>
      <c r="U15" s="7"/>
      <c r="V15" s="7"/>
      <c r="W15" s="7"/>
      <c r="X15" s="7"/>
      <c r="Y15" s="7"/>
      <c r="Z15" s="7"/>
    </row>
    <row r="16" spans="1:26" ht="15" customHeight="1" x14ac:dyDescent="0.25">
      <c r="A16" s="1"/>
      <c r="B16" s="3"/>
      <c r="H16" s="7"/>
      <c r="I16" s="7"/>
      <c r="J16" s="7"/>
      <c r="K16" s="7"/>
      <c r="L16" s="7"/>
      <c r="M16" s="7"/>
      <c r="N16" s="7"/>
      <c r="O16" s="7"/>
      <c r="P16" s="7"/>
      <c r="Q16" s="7"/>
      <c r="R16" s="7"/>
      <c r="S16" s="7"/>
      <c r="T16" s="7"/>
      <c r="U16" s="7"/>
      <c r="V16" s="7"/>
      <c r="W16" s="7"/>
      <c r="X16" s="7"/>
      <c r="Y16" s="7"/>
      <c r="Z16" s="7"/>
    </row>
    <row r="17" spans="1:26" ht="15" customHeight="1" x14ac:dyDescent="0.25">
      <c r="A17" s="1"/>
      <c r="B17" s="3"/>
      <c r="H17" s="7"/>
      <c r="I17" s="7"/>
      <c r="J17" s="7"/>
      <c r="K17" s="7"/>
      <c r="L17" s="7"/>
      <c r="M17" s="7"/>
      <c r="N17" s="7"/>
      <c r="O17" s="7"/>
      <c r="P17" s="7"/>
      <c r="Q17" s="7"/>
      <c r="R17" s="7"/>
      <c r="S17" s="7"/>
      <c r="T17" s="7"/>
      <c r="U17" s="7"/>
      <c r="V17" s="7"/>
      <c r="W17" s="7"/>
      <c r="X17" s="7"/>
      <c r="Y17" s="7"/>
      <c r="Z17" s="7"/>
    </row>
    <row r="18" spans="1:26" ht="15" customHeight="1" x14ac:dyDescent="0.25">
      <c r="A18" s="1"/>
      <c r="B18" s="3"/>
      <c r="H18" s="7"/>
      <c r="I18" s="7"/>
      <c r="J18" s="7"/>
      <c r="K18" s="7"/>
      <c r="L18" s="7"/>
      <c r="M18" s="7"/>
      <c r="N18" s="7"/>
      <c r="O18" s="7"/>
      <c r="P18" s="7"/>
      <c r="Q18" s="7"/>
      <c r="R18" s="7"/>
      <c r="S18" s="7"/>
      <c r="T18" s="7"/>
      <c r="U18" s="7"/>
      <c r="V18" s="7"/>
      <c r="W18" s="7"/>
      <c r="X18" s="7"/>
      <c r="Y18" s="7"/>
      <c r="Z18" s="7"/>
    </row>
    <row r="19" spans="1:26" ht="15" customHeight="1" x14ac:dyDescent="0.25">
      <c r="A19" s="1"/>
      <c r="B19" s="3"/>
      <c r="H19" s="7"/>
      <c r="I19" s="7"/>
      <c r="J19" s="7"/>
      <c r="K19" s="7"/>
      <c r="L19" s="7"/>
      <c r="M19" s="7"/>
      <c r="N19" s="7"/>
      <c r="O19" s="7"/>
      <c r="P19" s="7"/>
      <c r="Q19" s="7"/>
      <c r="R19" s="7"/>
      <c r="S19" s="7"/>
      <c r="T19" s="7"/>
      <c r="U19" s="7"/>
      <c r="V19" s="7"/>
      <c r="W19" s="7"/>
      <c r="X19" s="7"/>
      <c r="Y19" s="7"/>
      <c r="Z19" s="7"/>
    </row>
    <row r="20" spans="1:26" ht="15" customHeight="1" x14ac:dyDescent="0.25">
      <c r="A20" s="1"/>
      <c r="B20" s="3"/>
      <c r="H20" s="7"/>
      <c r="I20" s="7"/>
      <c r="J20" s="7"/>
      <c r="K20" s="7"/>
      <c r="L20" s="7"/>
      <c r="M20" s="7"/>
      <c r="N20" s="7"/>
      <c r="O20" s="7"/>
      <c r="P20" s="7"/>
      <c r="Q20" s="7"/>
      <c r="R20" s="7"/>
      <c r="S20" s="7"/>
      <c r="T20" s="7"/>
      <c r="U20" s="7"/>
      <c r="V20" s="7"/>
      <c r="W20" s="7"/>
      <c r="X20" s="7"/>
      <c r="Y20" s="7"/>
      <c r="Z20" s="7"/>
    </row>
    <row r="21" spans="1:26" ht="15" customHeight="1" x14ac:dyDescent="0.25">
      <c r="A21" s="1"/>
      <c r="B21" s="3"/>
      <c r="H21" s="7"/>
      <c r="I21" s="7"/>
      <c r="J21" s="7"/>
      <c r="K21" s="7"/>
      <c r="L21" s="7"/>
      <c r="M21" s="7"/>
      <c r="N21" s="7"/>
      <c r="O21" s="7"/>
      <c r="P21" s="7"/>
      <c r="Q21" s="7"/>
      <c r="R21" s="7"/>
      <c r="S21" s="7"/>
      <c r="T21" s="7"/>
      <c r="U21" s="7"/>
      <c r="V21" s="7"/>
      <c r="W21" s="7"/>
      <c r="X21" s="7"/>
      <c r="Y21" s="7"/>
      <c r="Z21" s="7"/>
    </row>
    <row r="22" spans="1:26" ht="15" customHeight="1" x14ac:dyDescent="0.25">
      <c r="A22" s="1"/>
      <c r="B22" s="3"/>
      <c r="C22" s="7"/>
      <c r="D22" s="7"/>
      <c r="E22" s="7"/>
      <c r="F22" s="7"/>
      <c r="G22" s="7"/>
      <c r="H22" s="7"/>
      <c r="I22" s="7"/>
      <c r="J22" s="7"/>
      <c r="K22" s="7"/>
      <c r="L22" s="7"/>
      <c r="M22" s="7"/>
      <c r="N22" s="7"/>
      <c r="O22" s="7"/>
      <c r="P22" s="7"/>
      <c r="Q22" s="7"/>
      <c r="R22" s="7"/>
      <c r="S22" s="7"/>
      <c r="T22" s="7"/>
      <c r="U22" s="7"/>
      <c r="V22" s="7"/>
      <c r="W22" s="7"/>
      <c r="X22" s="7"/>
      <c r="Y22" s="7"/>
      <c r="Z22" s="7"/>
    </row>
    <row r="23" spans="1:26" ht="15" customHeight="1" x14ac:dyDescent="0.25">
      <c r="A23" s="1"/>
      <c r="B23" s="3"/>
      <c r="C23" s="7"/>
      <c r="D23" s="7"/>
      <c r="E23" s="7"/>
      <c r="F23" s="7"/>
      <c r="G23" s="7"/>
      <c r="H23" s="7"/>
      <c r="I23" s="7"/>
      <c r="J23" s="7"/>
      <c r="K23" s="7"/>
      <c r="L23" s="7"/>
      <c r="M23" s="7"/>
      <c r="N23" s="7"/>
      <c r="O23" s="7"/>
      <c r="P23" s="7"/>
      <c r="Q23" s="7"/>
      <c r="R23" s="7"/>
      <c r="S23" s="7"/>
      <c r="T23" s="7"/>
      <c r="U23" s="7"/>
      <c r="V23" s="7"/>
      <c r="W23" s="7"/>
      <c r="X23" s="7"/>
      <c r="Y23" s="7"/>
      <c r="Z23" s="7"/>
    </row>
    <row r="24" spans="1:26" ht="15" customHeight="1" x14ac:dyDescent="0.25">
      <c r="A24" s="1"/>
      <c r="B24" s="3"/>
      <c r="C24" s="7"/>
      <c r="D24" s="7"/>
      <c r="E24" s="7"/>
      <c r="F24" s="7"/>
      <c r="G24" s="7"/>
      <c r="H24" s="7"/>
      <c r="I24" s="7"/>
      <c r="J24" s="7"/>
      <c r="K24" s="7"/>
      <c r="L24" s="7"/>
      <c r="M24" s="7"/>
      <c r="N24" s="7"/>
      <c r="O24" s="7"/>
      <c r="P24" s="7"/>
      <c r="Q24" s="7"/>
      <c r="R24" s="7"/>
      <c r="S24" s="7"/>
      <c r="T24" s="7"/>
      <c r="U24" s="7"/>
      <c r="V24" s="7"/>
      <c r="W24" s="7"/>
      <c r="X24" s="7"/>
      <c r="Y24" s="7"/>
      <c r="Z24" s="7"/>
    </row>
    <row r="25" spans="1:26" ht="15.75" customHeight="1" x14ac:dyDescent="0.25">
      <c r="A25" s="1"/>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x14ac:dyDescent="0.25">
      <c r="A26" s="1"/>
      <c r="B26" s="3"/>
      <c r="C26" s="3"/>
      <c r="D26" s="3"/>
      <c r="E26" s="3"/>
      <c r="F26" s="3"/>
      <c r="G26" s="3"/>
      <c r="H26" s="3"/>
      <c r="I26" s="3"/>
      <c r="J26" s="3"/>
      <c r="K26" s="3"/>
      <c r="L26" s="3"/>
      <c r="M26" s="3"/>
      <c r="N26" s="3"/>
      <c r="O26" s="3"/>
      <c r="P26" s="3"/>
      <c r="Q26" s="3"/>
      <c r="R26" s="3"/>
      <c r="S26" s="3"/>
      <c r="T26" s="3"/>
      <c r="U26" s="3"/>
      <c r="V26" s="3"/>
      <c r="W26" s="3"/>
      <c r="X26" s="3"/>
      <c r="Y26" s="3"/>
      <c r="Z26" s="3"/>
    </row>
    <row r="27" spans="1:26" ht="15" customHeight="1" x14ac:dyDescent="0.25">
      <c r="A27" s="1" t="s">
        <v>202</v>
      </c>
      <c r="B27" s="3"/>
      <c r="H27" s="3"/>
      <c r="I27" s="3"/>
      <c r="J27" s="3"/>
      <c r="K27" s="3"/>
      <c r="L27" s="3"/>
      <c r="M27" s="3"/>
      <c r="N27" s="3"/>
      <c r="O27" s="3"/>
      <c r="P27" s="3"/>
      <c r="Q27" s="3"/>
      <c r="R27" s="3"/>
      <c r="S27" s="3"/>
      <c r="T27" s="3"/>
      <c r="U27" s="3"/>
      <c r="V27" s="3"/>
      <c r="W27" s="3"/>
      <c r="X27" s="3"/>
      <c r="Y27" s="3"/>
      <c r="Z27" s="3"/>
    </row>
    <row r="28" spans="1:26" ht="15" customHeight="1" x14ac:dyDescent="0.25">
      <c r="A28" s="1" t="s">
        <v>203</v>
      </c>
      <c r="B28" s="3"/>
      <c r="H28" s="3"/>
      <c r="I28" s="3"/>
      <c r="J28" s="3"/>
      <c r="K28" s="3"/>
      <c r="L28" s="3"/>
      <c r="M28" s="3"/>
      <c r="N28" s="3"/>
      <c r="O28" s="3"/>
      <c r="P28" s="3"/>
      <c r="Q28" s="3"/>
      <c r="R28" s="3"/>
      <c r="S28" s="3"/>
      <c r="T28" s="3"/>
      <c r="U28" s="3"/>
      <c r="V28" s="3"/>
      <c r="W28" s="3"/>
      <c r="X28" s="3"/>
      <c r="Y28" s="3"/>
      <c r="Z28" s="3"/>
    </row>
    <row r="29" spans="1:26" ht="15" customHeight="1" x14ac:dyDescent="0.25">
      <c r="A29" s="1" t="s">
        <v>204</v>
      </c>
      <c r="B29" s="3"/>
      <c r="H29" s="3"/>
      <c r="I29" s="3"/>
      <c r="J29" s="3"/>
      <c r="K29" s="3"/>
      <c r="L29" s="3"/>
      <c r="M29" s="3"/>
      <c r="N29" s="3"/>
      <c r="O29" s="3"/>
      <c r="P29" s="3"/>
      <c r="Q29" s="3"/>
      <c r="R29" s="3"/>
      <c r="S29" s="3"/>
      <c r="T29" s="3"/>
      <c r="U29" s="3"/>
      <c r="V29" s="3"/>
      <c r="W29" s="3"/>
      <c r="X29" s="3"/>
      <c r="Y29" s="3"/>
      <c r="Z29" s="3"/>
    </row>
    <row r="30" spans="1:26" ht="15" customHeight="1" x14ac:dyDescent="0.25">
      <c r="A30" s="1" t="s">
        <v>205</v>
      </c>
      <c r="B30" s="3"/>
      <c r="H30" s="3"/>
      <c r="I30" s="3"/>
      <c r="J30" s="3"/>
      <c r="K30" s="3"/>
      <c r="L30" s="3"/>
      <c r="M30" s="3"/>
      <c r="N30" s="3"/>
      <c r="O30" s="3"/>
      <c r="P30" s="3"/>
      <c r="Q30" s="3"/>
      <c r="R30" s="3"/>
      <c r="S30" s="3"/>
      <c r="T30" s="3"/>
      <c r="U30" s="3"/>
      <c r="V30" s="3"/>
      <c r="W30" s="3"/>
      <c r="X30" s="3"/>
      <c r="Y30" s="3"/>
      <c r="Z30" s="3"/>
    </row>
    <row r="31" spans="1:26" ht="15" customHeight="1" x14ac:dyDescent="0.25">
      <c r="A31" s="1" t="s">
        <v>206</v>
      </c>
      <c r="B31" s="3"/>
      <c r="C31" s="25" t="s">
        <v>207</v>
      </c>
      <c r="D31" s="25" t="s">
        <v>208</v>
      </c>
      <c r="E31" s="25" t="s">
        <v>209</v>
      </c>
      <c r="F31" s="25" t="s">
        <v>210</v>
      </c>
      <c r="H31" s="3"/>
      <c r="I31" s="3"/>
      <c r="J31" s="3"/>
      <c r="K31" s="3"/>
      <c r="L31" s="3"/>
      <c r="M31" s="3"/>
      <c r="N31" s="3"/>
      <c r="O31" s="3"/>
      <c r="P31" s="3"/>
      <c r="Q31" s="3"/>
      <c r="R31" s="3"/>
      <c r="S31" s="3"/>
      <c r="T31" s="3"/>
      <c r="U31" s="3"/>
      <c r="V31" s="3"/>
      <c r="W31" s="3"/>
      <c r="X31" s="3"/>
      <c r="Y31" s="3"/>
      <c r="Z31" s="3"/>
    </row>
    <row r="32" spans="1:26" ht="15" customHeight="1" x14ac:dyDescent="0.25">
      <c r="A32" s="1" t="s">
        <v>211</v>
      </c>
      <c r="B32" s="3"/>
      <c r="C32" s="26">
        <f ca="1">TODAY()-5</f>
        <v>45142</v>
      </c>
      <c r="D32" s="3" t="s">
        <v>218</v>
      </c>
      <c r="E32" s="27">
        <v>45</v>
      </c>
      <c r="F32" s="28">
        <v>5050</v>
      </c>
      <c r="H32" s="3"/>
      <c r="I32" s="3"/>
      <c r="J32" s="3"/>
      <c r="K32" s="3"/>
      <c r="L32" s="3"/>
      <c r="M32" s="3"/>
      <c r="N32" s="3"/>
      <c r="O32" s="3"/>
      <c r="P32" s="3"/>
      <c r="Q32" s="3"/>
      <c r="R32" s="3"/>
      <c r="S32" s="3"/>
      <c r="T32" s="3"/>
      <c r="U32" s="3"/>
      <c r="V32" s="3"/>
      <c r="W32" s="3"/>
      <c r="X32" s="3"/>
      <c r="Y32" s="3"/>
      <c r="Z32" s="3"/>
    </row>
    <row r="33" spans="1:26" ht="15" customHeight="1" x14ac:dyDescent="0.25">
      <c r="A33" s="1" t="s">
        <v>213</v>
      </c>
      <c r="B33" s="3"/>
      <c r="C33" s="26">
        <f ca="1">TODAY()-2</f>
        <v>45145</v>
      </c>
      <c r="D33" s="3" t="s">
        <v>212</v>
      </c>
      <c r="E33" s="27">
        <v>21</v>
      </c>
      <c r="F33" s="40">
        <v>3820</v>
      </c>
      <c r="H33" s="3"/>
      <c r="I33" s="3"/>
      <c r="J33" s="3"/>
      <c r="K33" s="3"/>
      <c r="L33" s="3"/>
      <c r="M33" s="3"/>
      <c r="N33" s="3"/>
      <c r="O33" s="3"/>
      <c r="P33" s="3"/>
      <c r="Q33" s="3"/>
      <c r="R33" s="3"/>
      <c r="S33" s="3"/>
      <c r="T33" s="3"/>
      <c r="U33" s="3"/>
      <c r="V33" s="3"/>
      <c r="W33" s="3"/>
      <c r="X33" s="3"/>
      <c r="Y33" s="3"/>
      <c r="Z33" s="3"/>
    </row>
    <row r="34" spans="1:26" ht="15" customHeight="1" x14ac:dyDescent="0.25">
      <c r="A34" s="1"/>
      <c r="B34" s="3"/>
      <c r="C34" s="26">
        <f ca="1">TODAY()</f>
        <v>45147</v>
      </c>
      <c r="D34" s="3" t="s">
        <v>216</v>
      </c>
      <c r="E34" s="27">
        <v>30</v>
      </c>
      <c r="F34" s="40">
        <v>3085</v>
      </c>
      <c r="H34" s="3"/>
      <c r="I34" s="3"/>
      <c r="J34" s="3"/>
      <c r="K34" s="3"/>
      <c r="L34" s="3"/>
      <c r="M34" s="3"/>
      <c r="N34" s="3"/>
      <c r="O34" s="3"/>
      <c r="P34" s="3"/>
      <c r="Q34" s="3"/>
      <c r="R34" s="3"/>
      <c r="S34" s="3"/>
      <c r="T34" s="3"/>
      <c r="U34" s="3"/>
      <c r="V34" s="3"/>
      <c r="W34" s="3"/>
      <c r="X34" s="3"/>
      <c r="Y34" s="3"/>
      <c r="Z34" s="3"/>
    </row>
    <row r="35" spans="1:26" ht="15" customHeight="1" x14ac:dyDescent="0.25">
      <c r="A35" s="1"/>
      <c r="B35" s="3"/>
      <c r="C35" s="26">
        <f ca="1">TODAY()-6</f>
        <v>45141</v>
      </c>
      <c r="D35" s="3" t="s">
        <v>215</v>
      </c>
      <c r="E35" s="27">
        <v>25</v>
      </c>
      <c r="F35" s="39">
        <v>1611</v>
      </c>
      <c r="H35" s="3"/>
      <c r="I35" s="3"/>
      <c r="J35" s="3"/>
      <c r="K35" s="3"/>
      <c r="L35" s="3"/>
      <c r="M35" s="3"/>
      <c r="N35" s="3"/>
      <c r="O35" s="3"/>
      <c r="P35" s="3"/>
      <c r="Q35" s="3"/>
      <c r="R35" s="3"/>
      <c r="S35" s="3"/>
      <c r="T35" s="3"/>
      <c r="U35" s="3"/>
      <c r="V35" s="3"/>
      <c r="W35" s="3"/>
      <c r="X35" s="3"/>
      <c r="Y35" s="3"/>
      <c r="Z35" s="3"/>
    </row>
    <row r="36" spans="1:26" ht="15" customHeight="1" x14ac:dyDescent="0.25">
      <c r="A36" s="1"/>
      <c r="B36" s="3"/>
      <c r="C36" s="26">
        <f ca="1">TODAY()-4</f>
        <v>45143</v>
      </c>
      <c r="D36" s="3" t="s">
        <v>217</v>
      </c>
      <c r="E36" s="27">
        <v>69</v>
      </c>
      <c r="F36" s="27">
        <v>528</v>
      </c>
      <c r="H36" s="3"/>
      <c r="I36" s="3"/>
      <c r="J36" s="3"/>
      <c r="K36" s="3"/>
      <c r="L36" s="3"/>
      <c r="M36" s="3"/>
      <c r="N36" s="3"/>
      <c r="O36" s="3"/>
      <c r="P36" s="3"/>
      <c r="Q36" s="3"/>
      <c r="R36" s="3"/>
      <c r="S36" s="3"/>
      <c r="T36" s="3"/>
      <c r="U36" s="3"/>
      <c r="V36" s="3"/>
      <c r="W36" s="3"/>
      <c r="X36" s="3"/>
      <c r="Y36" s="3"/>
      <c r="Z36" s="3"/>
    </row>
    <row r="37" spans="1:26" ht="15" customHeight="1" x14ac:dyDescent="0.25">
      <c r="A37" s="1"/>
      <c r="B37" s="3"/>
      <c r="C37" s="26">
        <f ca="1">TODAY()-3</f>
        <v>45144</v>
      </c>
      <c r="D37" s="3" t="s">
        <v>214</v>
      </c>
      <c r="E37" s="27">
        <v>62</v>
      </c>
      <c r="F37" s="39">
        <v>2112</v>
      </c>
      <c r="H37" s="3"/>
      <c r="I37" s="3"/>
      <c r="J37" s="3"/>
      <c r="K37" s="3"/>
      <c r="L37" s="3"/>
      <c r="M37" s="3"/>
      <c r="N37" s="3"/>
      <c r="O37" s="3"/>
      <c r="P37" s="3"/>
      <c r="Q37" s="3"/>
      <c r="R37" s="3"/>
      <c r="S37" s="3"/>
      <c r="T37" s="3"/>
      <c r="U37" s="3"/>
      <c r="V37" s="3"/>
      <c r="W37" s="3"/>
      <c r="X37" s="3"/>
      <c r="Y37" s="3"/>
      <c r="Z37" s="3"/>
    </row>
    <row r="38" spans="1:26" ht="15" customHeight="1" x14ac:dyDescent="0.25">
      <c r="A38" s="1"/>
      <c r="B38" s="3"/>
      <c r="H38" s="3"/>
      <c r="I38" s="3"/>
      <c r="J38" s="3"/>
      <c r="K38" s="3"/>
      <c r="L38" s="3"/>
      <c r="M38" s="3"/>
      <c r="N38" s="3"/>
      <c r="O38" s="3"/>
      <c r="P38" s="3"/>
      <c r="Q38" s="3"/>
      <c r="R38" s="3"/>
      <c r="S38" s="3"/>
      <c r="T38" s="3"/>
      <c r="U38" s="3"/>
      <c r="V38" s="3"/>
      <c r="W38" s="3"/>
      <c r="X38" s="3"/>
      <c r="Y38" s="3"/>
      <c r="Z38" s="3"/>
    </row>
    <row r="39" spans="1:26" ht="15" customHeight="1" x14ac:dyDescent="0.25">
      <c r="A39" s="1"/>
      <c r="B39" s="3"/>
      <c r="H39" s="3"/>
      <c r="I39" s="3"/>
      <c r="J39" s="3"/>
      <c r="K39" s="3"/>
      <c r="L39" s="3"/>
      <c r="M39" s="3"/>
      <c r="N39" s="3"/>
      <c r="O39" s="3"/>
      <c r="P39" s="3"/>
      <c r="Q39" s="3"/>
      <c r="R39" s="3"/>
      <c r="S39" s="3"/>
      <c r="T39" s="3"/>
      <c r="U39" s="3"/>
      <c r="V39" s="3"/>
      <c r="W39" s="3"/>
      <c r="X39" s="3"/>
      <c r="Y39" s="3"/>
      <c r="Z39" s="3"/>
    </row>
    <row r="40" spans="1:26" ht="15" customHeight="1" x14ac:dyDescent="0.25">
      <c r="A40" s="1"/>
      <c r="B40" s="3"/>
      <c r="H40" s="3"/>
      <c r="I40" s="3"/>
      <c r="J40" s="3"/>
      <c r="K40" s="3"/>
      <c r="L40" s="3"/>
      <c r="M40" s="3"/>
      <c r="N40" s="3"/>
      <c r="O40" s="3"/>
      <c r="P40" s="3"/>
      <c r="Q40" s="3"/>
      <c r="R40" s="3"/>
      <c r="S40" s="3"/>
      <c r="T40" s="3"/>
      <c r="U40" s="3"/>
      <c r="V40" s="3"/>
      <c r="W40" s="3"/>
      <c r="X40" s="3"/>
      <c r="Y40" s="3"/>
      <c r="Z40" s="3"/>
    </row>
    <row r="41" spans="1:26" ht="15" customHeight="1" x14ac:dyDescent="0.25">
      <c r="A41" s="1"/>
      <c r="B41" s="3"/>
      <c r="H41" s="3"/>
      <c r="I41" s="3"/>
      <c r="J41" s="3"/>
      <c r="K41" s="3"/>
      <c r="L41" s="3"/>
      <c r="M41" s="3"/>
      <c r="N41" s="3"/>
      <c r="O41" s="3"/>
      <c r="P41" s="3"/>
      <c r="Q41" s="3"/>
      <c r="R41" s="3"/>
      <c r="S41" s="3"/>
      <c r="T41" s="3"/>
      <c r="U41" s="3"/>
      <c r="V41" s="3"/>
      <c r="W41" s="3"/>
      <c r="X41" s="3"/>
      <c r="Y41" s="3"/>
      <c r="Z41" s="3"/>
    </row>
    <row r="42" spans="1:26" ht="15" customHeight="1" x14ac:dyDescent="0.25">
      <c r="A42" s="1"/>
      <c r="B42" s="3"/>
      <c r="H42" s="3"/>
      <c r="I42" s="3"/>
      <c r="J42" s="3"/>
      <c r="K42" s="3"/>
      <c r="L42" s="3"/>
      <c r="M42" s="3"/>
      <c r="N42" s="3"/>
      <c r="O42" s="3"/>
      <c r="P42" s="3"/>
      <c r="Q42" s="3"/>
      <c r="R42" s="3"/>
      <c r="S42" s="3"/>
      <c r="T42" s="3"/>
      <c r="U42" s="3"/>
      <c r="V42" s="3"/>
      <c r="W42" s="3"/>
      <c r="X42" s="3"/>
      <c r="Y42" s="3"/>
      <c r="Z42" s="3"/>
    </row>
    <row r="43" spans="1:26" ht="15" customHeight="1" x14ac:dyDescent="0.25">
      <c r="A43" s="1" t="s">
        <v>219</v>
      </c>
      <c r="B43" s="3"/>
      <c r="H43" s="3"/>
      <c r="I43" s="3"/>
      <c r="J43" s="3"/>
      <c r="K43" s="3"/>
      <c r="L43" s="3"/>
      <c r="M43" s="3"/>
      <c r="N43" s="3"/>
      <c r="O43" s="3"/>
      <c r="P43" s="3"/>
      <c r="Q43" s="3"/>
      <c r="R43" s="3"/>
      <c r="S43" s="3"/>
      <c r="T43" s="3"/>
      <c r="U43" s="3"/>
      <c r="V43" s="3"/>
      <c r="W43" s="3"/>
      <c r="X43" s="3"/>
      <c r="Y43" s="3"/>
      <c r="Z43" s="3"/>
    </row>
    <row r="44" spans="1:26" ht="15" customHeight="1" x14ac:dyDescent="0.25">
      <c r="A44" s="1" t="s">
        <v>220</v>
      </c>
      <c r="B44" s="3"/>
      <c r="H44" s="3"/>
      <c r="I44" s="3"/>
      <c r="J44" s="3"/>
      <c r="K44" s="3"/>
      <c r="L44" s="3"/>
      <c r="M44" s="3"/>
      <c r="N44" s="3"/>
      <c r="O44" s="3"/>
      <c r="P44" s="3"/>
      <c r="Q44" s="3"/>
      <c r="R44" s="3"/>
      <c r="S44" s="3"/>
      <c r="T44" s="3"/>
      <c r="U44" s="3"/>
      <c r="V44" s="3"/>
      <c r="W44" s="3"/>
      <c r="X44" s="3"/>
      <c r="Y44" s="3"/>
      <c r="Z44" s="3"/>
    </row>
    <row r="45" spans="1:26" ht="15" customHeight="1" x14ac:dyDescent="0.25">
      <c r="A45" s="1" t="s">
        <v>221</v>
      </c>
      <c r="B45" s="3"/>
      <c r="H45" s="3"/>
      <c r="I45" s="3"/>
      <c r="J45" s="3"/>
      <c r="K45" s="3"/>
      <c r="L45" s="3"/>
      <c r="M45" s="3"/>
      <c r="N45" s="3"/>
      <c r="O45" s="3"/>
      <c r="P45" s="3"/>
      <c r="Q45" s="3"/>
      <c r="R45" s="3"/>
      <c r="S45" s="3"/>
      <c r="T45" s="3"/>
      <c r="U45" s="3"/>
      <c r="V45" s="3"/>
      <c r="W45" s="3"/>
      <c r="X45" s="3"/>
      <c r="Y45" s="3"/>
      <c r="Z45" s="3"/>
    </row>
    <row r="46" spans="1:26" ht="15" customHeight="1" x14ac:dyDescent="0.25">
      <c r="A46" s="1" t="s">
        <v>222</v>
      </c>
      <c r="B46" s="3"/>
      <c r="H46" s="3"/>
      <c r="I46" s="3"/>
      <c r="J46" s="3"/>
      <c r="K46" s="3"/>
      <c r="L46" s="3"/>
      <c r="M46" s="3"/>
      <c r="N46" s="3"/>
      <c r="O46" s="3"/>
      <c r="P46" s="3"/>
      <c r="Q46" s="3"/>
      <c r="R46" s="3"/>
      <c r="S46" s="3"/>
      <c r="T46" s="3"/>
      <c r="U46" s="3"/>
      <c r="V46" s="3"/>
      <c r="W46" s="3"/>
      <c r="X46" s="3"/>
      <c r="Y46" s="3"/>
      <c r="Z46" s="3"/>
    </row>
    <row r="47" spans="1:26" ht="15" customHeight="1" x14ac:dyDescent="0.25">
      <c r="A47" s="1" t="s">
        <v>223</v>
      </c>
      <c r="B47" s="3"/>
      <c r="H47" s="3"/>
      <c r="I47" s="3"/>
      <c r="J47" s="3"/>
      <c r="K47" s="3"/>
      <c r="L47" s="3"/>
      <c r="M47" s="3"/>
      <c r="N47" s="3"/>
      <c r="O47" s="3"/>
      <c r="P47" s="3"/>
      <c r="Q47" s="3"/>
      <c r="R47" s="3"/>
      <c r="S47" s="3"/>
      <c r="T47" s="3"/>
      <c r="U47" s="3"/>
      <c r="V47" s="3"/>
      <c r="W47" s="3"/>
      <c r="X47" s="3"/>
      <c r="Y47" s="3"/>
      <c r="Z47" s="3"/>
    </row>
    <row r="48" spans="1:26" ht="15" customHeight="1" x14ac:dyDescent="0.25">
      <c r="A48" s="1"/>
      <c r="B48" s="3"/>
      <c r="H48" s="3"/>
      <c r="I48" s="3"/>
      <c r="J48" s="3"/>
      <c r="K48" s="3"/>
      <c r="L48" s="3"/>
      <c r="M48" s="3"/>
      <c r="N48" s="3"/>
      <c r="O48" s="3"/>
      <c r="P48" s="3"/>
      <c r="Q48" s="3"/>
      <c r="R48" s="3"/>
      <c r="S48" s="3"/>
      <c r="T48" s="3"/>
      <c r="U48" s="3"/>
      <c r="V48" s="3"/>
      <c r="W48" s="3"/>
      <c r="X48" s="3"/>
      <c r="Y48" s="3"/>
      <c r="Z48" s="3"/>
    </row>
    <row r="49" spans="1:26" ht="15" customHeight="1" x14ac:dyDescent="0.25">
      <c r="A49" s="1"/>
      <c r="B49" s="3"/>
      <c r="C49" s="25" t="s">
        <v>207</v>
      </c>
      <c r="D49" s="25" t="s">
        <v>208</v>
      </c>
      <c r="E49" s="25" t="s">
        <v>209</v>
      </c>
      <c r="F49" s="25" t="s">
        <v>210</v>
      </c>
      <c r="H49" s="3"/>
      <c r="I49" s="3"/>
      <c r="J49" s="3"/>
      <c r="K49" s="3"/>
      <c r="L49" s="3"/>
      <c r="M49" s="3"/>
      <c r="N49" s="3"/>
      <c r="O49" s="3"/>
      <c r="P49" s="3"/>
      <c r="Q49" s="3"/>
      <c r="R49" s="3"/>
      <c r="S49" s="3"/>
      <c r="T49" s="3"/>
      <c r="U49" s="3"/>
      <c r="V49" s="3"/>
      <c r="W49" s="3"/>
      <c r="X49" s="3"/>
      <c r="Y49" s="3"/>
      <c r="Z49" s="3"/>
    </row>
    <row r="50" spans="1:26" ht="15" hidden="1" customHeight="1" x14ac:dyDescent="0.25">
      <c r="A50" s="1"/>
      <c r="B50" s="3"/>
      <c r="C50" s="26">
        <f ca="1">TODAY()-2</f>
        <v>45145</v>
      </c>
      <c r="D50" s="3" t="s">
        <v>212</v>
      </c>
      <c r="E50" s="27">
        <v>21</v>
      </c>
      <c r="F50" s="27">
        <v>3820</v>
      </c>
      <c r="H50" s="3"/>
      <c r="I50" s="3"/>
      <c r="J50" s="3"/>
      <c r="K50" s="3"/>
      <c r="L50" s="3"/>
      <c r="M50" s="3"/>
      <c r="N50" s="3"/>
      <c r="O50" s="3"/>
      <c r="P50" s="3"/>
      <c r="Q50" s="3"/>
      <c r="R50" s="3"/>
      <c r="S50" s="3"/>
      <c r="T50" s="3"/>
      <c r="U50" s="3"/>
      <c r="V50" s="3"/>
      <c r="W50" s="3"/>
      <c r="X50" s="3"/>
      <c r="Y50" s="3"/>
      <c r="Z50" s="3"/>
    </row>
    <row r="51" spans="1:26" ht="15" hidden="1" customHeight="1" x14ac:dyDescent="0.25">
      <c r="A51" s="1"/>
      <c r="B51" s="3"/>
      <c r="C51" s="26">
        <f ca="1">TODAY()-3</f>
        <v>45144</v>
      </c>
      <c r="D51" s="3" t="s">
        <v>214</v>
      </c>
      <c r="E51" s="27">
        <v>62</v>
      </c>
      <c r="F51" s="27">
        <v>2112</v>
      </c>
      <c r="H51" s="3"/>
      <c r="I51" s="3"/>
      <c r="J51" s="3"/>
      <c r="K51" s="3"/>
      <c r="L51" s="3"/>
      <c r="M51" s="3"/>
      <c r="N51" s="3"/>
      <c r="O51" s="3"/>
      <c r="P51" s="3"/>
      <c r="Q51" s="3"/>
      <c r="R51" s="3"/>
      <c r="S51" s="3"/>
      <c r="T51" s="3"/>
      <c r="U51" s="3"/>
      <c r="V51" s="3"/>
      <c r="W51" s="3"/>
      <c r="X51" s="3"/>
      <c r="Y51" s="3"/>
      <c r="Z51" s="3"/>
    </row>
    <row r="52" spans="1:26" ht="15" customHeight="1" x14ac:dyDescent="0.25">
      <c r="A52" s="1"/>
      <c r="B52" s="3"/>
      <c r="C52" s="26">
        <f ca="1">TODAY()</f>
        <v>45147</v>
      </c>
      <c r="D52" s="3" t="s">
        <v>216</v>
      </c>
      <c r="E52" s="27">
        <v>30</v>
      </c>
      <c r="F52" s="27">
        <v>3085</v>
      </c>
      <c r="H52" s="3"/>
      <c r="I52" s="3"/>
      <c r="J52" s="3"/>
      <c r="K52" s="3"/>
      <c r="L52" s="3"/>
      <c r="M52" s="3"/>
      <c r="N52" s="3"/>
      <c r="O52" s="3"/>
      <c r="P52" s="3"/>
      <c r="Q52" s="3"/>
      <c r="R52" s="3"/>
      <c r="S52" s="3"/>
      <c r="T52" s="3"/>
      <c r="U52" s="3"/>
      <c r="V52" s="3"/>
      <c r="W52" s="3"/>
      <c r="X52" s="3"/>
      <c r="Y52" s="3"/>
      <c r="Z52" s="3"/>
    </row>
    <row r="53" spans="1:26" ht="15" hidden="1" customHeight="1" x14ac:dyDescent="0.25">
      <c r="A53" s="1"/>
      <c r="B53" s="3"/>
      <c r="C53" s="26">
        <f ca="1">TODAY()-6</f>
        <v>45141</v>
      </c>
      <c r="D53" s="3" t="s">
        <v>215</v>
      </c>
      <c r="E53" s="27">
        <v>25</v>
      </c>
      <c r="F53" s="27">
        <v>1611</v>
      </c>
      <c r="H53" s="3"/>
      <c r="I53" s="3"/>
      <c r="J53" s="3"/>
      <c r="K53" s="3"/>
      <c r="L53" s="3"/>
      <c r="M53" s="3"/>
      <c r="N53" s="3"/>
      <c r="O53" s="3"/>
      <c r="P53" s="3"/>
      <c r="Q53" s="3"/>
      <c r="R53" s="3"/>
      <c r="S53" s="3"/>
      <c r="T53" s="3"/>
      <c r="U53" s="3"/>
      <c r="V53" s="3"/>
      <c r="W53" s="3"/>
      <c r="X53" s="3"/>
      <c r="Y53" s="3"/>
      <c r="Z53" s="3"/>
    </row>
    <row r="54" spans="1:26" ht="15" customHeight="1" x14ac:dyDescent="0.25">
      <c r="A54" s="1"/>
      <c r="B54" s="3"/>
      <c r="C54" s="26">
        <f ca="1">TODAY()-5</f>
        <v>45142</v>
      </c>
      <c r="D54" s="3" t="s">
        <v>218</v>
      </c>
      <c r="E54" s="27">
        <v>45</v>
      </c>
      <c r="F54" s="27">
        <v>5050</v>
      </c>
      <c r="H54" s="3"/>
      <c r="I54" s="3"/>
      <c r="J54" s="3"/>
      <c r="K54" s="3"/>
      <c r="L54" s="3"/>
      <c r="M54" s="3"/>
      <c r="N54" s="3"/>
      <c r="O54" s="3"/>
      <c r="P54" s="3"/>
      <c r="Q54" s="3"/>
      <c r="R54" s="3"/>
      <c r="S54" s="3"/>
      <c r="T54" s="3"/>
      <c r="U54" s="3"/>
      <c r="V54" s="3"/>
      <c r="W54" s="3"/>
      <c r="X54" s="3"/>
      <c r="Y54" s="3"/>
      <c r="Z54" s="3"/>
    </row>
    <row r="55" spans="1:26" ht="15" hidden="1" customHeight="1" x14ac:dyDescent="0.25">
      <c r="A55" s="1"/>
      <c r="B55" s="3"/>
      <c r="C55" s="26">
        <f ca="1">TODAY()-4</f>
        <v>45143</v>
      </c>
      <c r="D55" s="3" t="s">
        <v>217</v>
      </c>
      <c r="E55" s="27">
        <v>69</v>
      </c>
      <c r="F55" s="27">
        <v>528</v>
      </c>
      <c r="H55" s="3"/>
      <c r="I55" s="3"/>
      <c r="J55" s="3"/>
      <c r="K55" s="3"/>
      <c r="L55" s="3"/>
      <c r="M55" s="3"/>
      <c r="N55" s="3"/>
      <c r="O55" s="3"/>
      <c r="P55" s="3"/>
      <c r="Q55" s="3"/>
      <c r="R55" s="3"/>
      <c r="S55" s="3"/>
      <c r="T55" s="3"/>
      <c r="U55" s="3"/>
      <c r="V55" s="3"/>
      <c r="W55" s="3"/>
      <c r="X55" s="3"/>
      <c r="Y55" s="3"/>
      <c r="Z55" s="3"/>
    </row>
    <row r="56" spans="1:26" ht="15" customHeight="1" x14ac:dyDescent="0.25">
      <c r="A56" s="1"/>
      <c r="B56" s="3"/>
      <c r="C56" s="3"/>
      <c r="D56" s="3"/>
      <c r="E56" s="3"/>
      <c r="F56" s="3"/>
      <c r="H56" s="3"/>
      <c r="I56" s="3"/>
      <c r="J56" s="3"/>
      <c r="K56" s="3"/>
      <c r="L56" s="3"/>
      <c r="M56" s="3"/>
      <c r="N56" s="3"/>
      <c r="O56" s="3"/>
      <c r="P56" s="3"/>
      <c r="Q56" s="3"/>
      <c r="R56" s="3"/>
      <c r="S56" s="3"/>
      <c r="T56" s="3"/>
      <c r="U56" s="3"/>
      <c r="V56" s="3"/>
      <c r="W56" s="3"/>
      <c r="X56" s="3"/>
      <c r="Y56" s="3"/>
      <c r="Z56" s="3"/>
    </row>
    <row r="57" spans="1:26" ht="15" customHeight="1" x14ac:dyDescent="0.25">
      <c r="A57" s="1"/>
      <c r="B57" s="3"/>
      <c r="C57" s="3"/>
      <c r="D57" s="3"/>
      <c r="E57" s="3"/>
      <c r="F57" s="3"/>
      <c r="H57" s="3"/>
      <c r="I57" s="3"/>
      <c r="J57" s="3"/>
      <c r="K57" s="3"/>
      <c r="L57" s="3"/>
      <c r="M57" s="3"/>
      <c r="N57" s="3"/>
      <c r="O57" s="3"/>
      <c r="P57" s="3"/>
      <c r="Q57" s="3"/>
      <c r="R57" s="3"/>
      <c r="S57" s="3"/>
      <c r="T57" s="3"/>
      <c r="U57" s="3"/>
      <c r="V57" s="3"/>
      <c r="W57" s="3"/>
      <c r="X57" s="3"/>
      <c r="Y57" s="3"/>
      <c r="Z57" s="3"/>
    </row>
    <row r="58" spans="1:26" ht="15" customHeight="1" x14ac:dyDescent="0.25">
      <c r="A58" s="1"/>
      <c r="B58" s="3"/>
      <c r="C58" s="3"/>
      <c r="D58" s="3"/>
      <c r="E58" s="3"/>
      <c r="F58" s="3"/>
      <c r="H58" s="3"/>
      <c r="I58" s="3"/>
      <c r="J58" s="3"/>
      <c r="K58" s="3"/>
      <c r="L58" s="3"/>
      <c r="M58" s="3"/>
      <c r="N58" s="3"/>
      <c r="O58" s="3"/>
      <c r="P58" s="3"/>
      <c r="Q58" s="3"/>
      <c r="R58" s="3"/>
      <c r="S58" s="3"/>
      <c r="T58" s="3"/>
      <c r="U58" s="3"/>
      <c r="V58" s="3"/>
      <c r="W58" s="3"/>
      <c r="X58" s="3"/>
      <c r="Y58" s="3"/>
      <c r="Z58" s="3"/>
    </row>
    <row r="59" spans="1:26" ht="15" customHeight="1" x14ac:dyDescent="0.25">
      <c r="A59" s="1"/>
      <c r="B59" s="3"/>
      <c r="C59" s="3"/>
      <c r="D59" s="3"/>
      <c r="E59" s="3"/>
      <c r="F59" s="3"/>
      <c r="H59" s="3"/>
      <c r="I59" s="3"/>
      <c r="J59" s="3"/>
      <c r="K59" s="3"/>
      <c r="L59" s="3"/>
      <c r="M59" s="3"/>
      <c r="N59" s="3"/>
      <c r="O59" s="3"/>
      <c r="P59" s="3"/>
      <c r="Q59" s="3"/>
      <c r="R59" s="3"/>
      <c r="S59" s="3"/>
      <c r="T59" s="3"/>
      <c r="U59" s="3"/>
      <c r="V59" s="3"/>
      <c r="W59" s="3"/>
      <c r="X59" s="3"/>
      <c r="Y59" s="3"/>
      <c r="Z59" s="3"/>
    </row>
    <row r="60" spans="1:26" ht="15" customHeight="1" x14ac:dyDescent="0.25">
      <c r="A60" s="1" t="s">
        <v>62</v>
      </c>
      <c r="B60" s="3"/>
      <c r="H60" s="3"/>
      <c r="I60" s="3"/>
      <c r="J60" s="3"/>
      <c r="K60" s="3"/>
      <c r="L60" s="3"/>
      <c r="M60" s="3"/>
      <c r="N60" s="3"/>
      <c r="O60" s="3"/>
      <c r="P60" s="3"/>
      <c r="Q60" s="3"/>
      <c r="R60" s="3"/>
      <c r="S60" s="3"/>
      <c r="T60" s="3"/>
      <c r="U60" s="3"/>
      <c r="V60" s="3"/>
      <c r="W60" s="3"/>
      <c r="X60" s="3"/>
      <c r="Y60" s="3"/>
      <c r="Z60" s="3"/>
    </row>
    <row r="61" spans="1:26" ht="15" customHeight="1" x14ac:dyDescent="0.25">
      <c r="A61" s="11" t="s">
        <v>224</v>
      </c>
      <c r="B61" s="3"/>
      <c r="H61" s="3"/>
      <c r="I61" s="3"/>
      <c r="J61" s="3"/>
      <c r="K61" s="3"/>
      <c r="L61" s="3"/>
      <c r="M61" s="3"/>
      <c r="N61" s="3"/>
      <c r="O61" s="3"/>
      <c r="P61" s="3"/>
      <c r="Q61" s="3"/>
      <c r="R61" s="3"/>
      <c r="S61" s="3"/>
      <c r="T61" s="3"/>
      <c r="U61" s="3"/>
      <c r="V61" s="3"/>
      <c r="W61" s="3"/>
      <c r="X61" s="3"/>
      <c r="Y61" s="3"/>
      <c r="Z61" s="3"/>
    </row>
    <row r="62" spans="1:26" ht="15" customHeight="1" x14ac:dyDescent="0.25">
      <c r="A62" s="11" t="s">
        <v>225</v>
      </c>
      <c r="B62" s="3"/>
      <c r="H62" s="3"/>
      <c r="I62" s="3"/>
      <c r="J62" s="3"/>
      <c r="K62" s="3"/>
      <c r="L62" s="3"/>
      <c r="M62" s="3"/>
      <c r="N62" s="3"/>
      <c r="O62" s="3"/>
      <c r="P62" s="3"/>
      <c r="Q62" s="3"/>
      <c r="R62" s="3"/>
      <c r="S62" s="3"/>
      <c r="T62" s="3"/>
      <c r="U62" s="3"/>
      <c r="V62" s="3"/>
      <c r="W62" s="3"/>
      <c r="X62" s="3"/>
      <c r="Y62" s="3"/>
      <c r="Z62" s="3"/>
    </row>
    <row r="63" spans="1:26" ht="15" customHeight="1" x14ac:dyDescent="0.25">
      <c r="A63" s="1" t="s">
        <v>67</v>
      </c>
      <c r="B63" s="3"/>
      <c r="H63" s="3"/>
      <c r="I63" s="3"/>
      <c r="J63" s="3"/>
      <c r="K63" s="3"/>
      <c r="L63" s="3"/>
      <c r="M63" s="3"/>
      <c r="N63" s="3"/>
      <c r="O63" s="3"/>
      <c r="P63" s="3"/>
      <c r="Q63" s="3"/>
      <c r="R63" s="3"/>
      <c r="S63" s="3"/>
      <c r="T63" s="3"/>
      <c r="U63" s="3"/>
      <c r="V63" s="3"/>
      <c r="W63" s="3"/>
      <c r="X63" s="3"/>
      <c r="Y63" s="3"/>
      <c r="Z63" s="3"/>
    </row>
    <row r="64" spans="1:26" ht="15.75" customHeight="1" x14ac:dyDescent="0.25">
      <c r="A64" s="1"/>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x14ac:dyDescent="0.25">
      <c r="A65" s="1"/>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x14ac:dyDescent="0.25">
      <c r="A66" s="1"/>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x14ac:dyDescent="0.25">
      <c r="A67" s="1"/>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x14ac:dyDescent="0.25">
      <c r="A68" s="1"/>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x14ac:dyDescent="0.25">
      <c r="A69" s="1"/>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x14ac:dyDescent="0.25">
      <c r="A70" s="1"/>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x14ac:dyDescent="0.25">
      <c r="A71" s="1"/>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x14ac:dyDescent="0.25">
      <c r="A72" s="1"/>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x14ac:dyDescent="0.25">
      <c r="A73" s="1"/>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x14ac:dyDescent="0.25">
      <c r="A74" s="1"/>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x14ac:dyDescent="0.25">
      <c r="A75" s="1"/>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x14ac:dyDescent="0.25">
      <c r="A76" s="1"/>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x14ac:dyDescent="0.25">
      <c r="A77" s="1"/>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x14ac:dyDescent="0.25">
      <c r="A78" s="1"/>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x14ac:dyDescent="0.25">
      <c r="A79" s="1"/>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x14ac:dyDescent="0.25">
      <c r="A80" s="1"/>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x14ac:dyDescent="0.25">
      <c r="A81" s="1"/>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x14ac:dyDescent="0.25">
      <c r="A82" s="1"/>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x14ac:dyDescent="0.25">
      <c r="A83" s="1"/>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x14ac:dyDescent="0.25">
      <c r="A84" s="1"/>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x14ac:dyDescent="0.25">
      <c r="A85" s="1"/>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x14ac:dyDescent="0.25">
      <c r="A86" s="1"/>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x14ac:dyDescent="0.25">
      <c r="A87" s="1"/>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x14ac:dyDescent="0.25">
      <c r="A88" s="1"/>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x14ac:dyDescent="0.25">
      <c r="A89" s="1"/>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x14ac:dyDescent="0.25">
      <c r="A90" s="1"/>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x14ac:dyDescent="0.25">
      <c r="A91" s="1"/>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x14ac:dyDescent="0.25">
      <c r="A92" s="1"/>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x14ac:dyDescent="0.25">
      <c r="A93" s="1"/>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x14ac:dyDescent="0.25">
      <c r="A94" s="1"/>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x14ac:dyDescent="0.25">
      <c r="A95" s="1"/>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x14ac:dyDescent="0.25">
      <c r="A96" s="1"/>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x14ac:dyDescent="0.25">
      <c r="A97" s="1"/>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x14ac:dyDescent="0.25">
      <c r="A98" s="1"/>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x14ac:dyDescent="0.25">
      <c r="A99" s="1"/>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x14ac:dyDescent="0.25">
      <c r="A100" s="1"/>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x14ac:dyDescent="0.25">
      <c r="A101" s="1"/>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x14ac:dyDescent="0.25">
      <c r="A102" s="1"/>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x14ac:dyDescent="0.25">
      <c r="A103" s="1"/>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x14ac:dyDescent="0.25">
      <c r="A104" s="1"/>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x14ac:dyDescent="0.25">
      <c r="A105" s="1"/>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x14ac:dyDescent="0.25">
      <c r="A106" s="1"/>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x14ac:dyDescent="0.25">
      <c r="A107" s="1"/>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x14ac:dyDescent="0.25">
      <c r="A108" s="1"/>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x14ac:dyDescent="0.25">
      <c r="A109" s="1"/>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x14ac:dyDescent="0.25">
      <c r="A110" s="1"/>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x14ac:dyDescent="0.25">
      <c r="A111" s="1"/>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x14ac:dyDescent="0.25">
      <c r="A112" s="1"/>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x14ac:dyDescent="0.25">
      <c r="A113" s="1"/>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x14ac:dyDescent="0.25">
      <c r="A114" s="1"/>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x14ac:dyDescent="0.25">
      <c r="A115" s="1"/>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x14ac:dyDescent="0.25">
      <c r="A116" s="1"/>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x14ac:dyDescent="0.25">
      <c r="A117" s="1"/>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x14ac:dyDescent="0.25">
      <c r="A118" s="1"/>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x14ac:dyDescent="0.25">
      <c r="A119" s="1"/>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x14ac:dyDescent="0.25">
      <c r="A120" s="1"/>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x14ac:dyDescent="0.25">
      <c r="A121" s="1"/>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x14ac:dyDescent="0.25">
      <c r="A122" s="1"/>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x14ac:dyDescent="0.25">
      <c r="A123" s="1"/>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x14ac:dyDescent="0.25">
      <c r="A124" s="1"/>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x14ac:dyDescent="0.25">
      <c r="A125" s="1"/>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x14ac:dyDescent="0.25">
      <c r="A126" s="1"/>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x14ac:dyDescent="0.25">
      <c r="A127" s="1"/>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x14ac:dyDescent="0.25">
      <c r="A128" s="1"/>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x14ac:dyDescent="0.25">
      <c r="A129" s="1"/>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x14ac:dyDescent="0.25">
      <c r="A130" s="1"/>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x14ac:dyDescent="0.25">
      <c r="A131" s="1"/>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x14ac:dyDescent="0.25">
      <c r="A132" s="1"/>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x14ac:dyDescent="0.25">
      <c r="A133" s="1"/>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x14ac:dyDescent="0.25">
      <c r="A134" s="1"/>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x14ac:dyDescent="0.25">
      <c r="A135" s="1"/>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x14ac:dyDescent="0.25">
      <c r="A136" s="1"/>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x14ac:dyDescent="0.25">
      <c r="A137" s="1"/>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x14ac:dyDescent="0.25">
      <c r="A138" s="1"/>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x14ac:dyDescent="0.25">
      <c r="A139" s="1"/>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x14ac:dyDescent="0.25">
      <c r="A140" s="1"/>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x14ac:dyDescent="0.25">
      <c r="A141" s="1"/>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x14ac:dyDescent="0.25">
      <c r="A142" s="1"/>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x14ac:dyDescent="0.25">
      <c r="A143" s="1"/>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x14ac:dyDescent="0.25">
      <c r="A144" s="1"/>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x14ac:dyDescent="0.25">
      <c r="A145" s="1"/>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x14ac:dyDescent="0.25">
      <c r="A146" s="1"/>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x14ac:dyDescent="0.25">
      <c r="A147" s="1"/>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x14ac:dyDescent="0.25">
      <c r="A148" s="1"/>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x14ac:dyDescent="0.25">
      <c r="A149" s="1"/>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x14ac:dyDescent="0.25">
      <c r="A150" s="1"/>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x14ac:dyDescent="0.25">
      <c r="A151" s="1"/>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x14ac:dyDescent="0.25">
      <c r="A152" s="1"/>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x14ac:dyDescent="0.25">
      <c r="A153" s="1"/>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x14ac:dyDescent="0.25">
      <c r="A154" s="1"/>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x14ac:dyDescent="0.25">
      <c r="A155" s="1"/>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x14ac:dyDescent="0.25">
      <c r="A156" s="1"/>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x14ac:dyDescent="0.25">
      <c r="A157" s="1"/>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x14ac:dyDescent="0.25">
      <c r="A158" s="1"/>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x14ac:dyDescent="0.25">
      <c r="A159" s="1"/>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x14ac:dyDescent="0.25">
      <c r="A160" s="1"/>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x14ac:dyDescent="0.25">
      <c r="A161" s="1"/>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x14ac:dyDescent="0.25">
      <c r="A162" s="1"/>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x14ac:dyDescent="0.25">
      <c r="A163" s="1"/>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x14ac:dyDescent="0.25">
      <c r="A164" s="1"/>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x14ac:dyDescent="0.25">
      <c r="A165" s="1"/>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x14ac:dyDescent="0.25">
      <c r="A166" s="1"/>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x14ac:dyDescent="0.25">
      <c r="A167" s="1"/>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x14ac:dyDescent="0.25">
      <c r="A168" s="1"/>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x14ac:dyDescent="0.25">
      <c r="A169" s="1"/>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x14ac:dyDescent="0.25">
      <c r="A170" s="1"/>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x14ac:dyDescent="0.25">
      <c r="A171" s="1"/>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x14ac:dyDescent="0.25">
      <c r="A172" s="1"/>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x14ac:dyDescent="0.25">
      <c r="A173" s="1"/>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x14ac:dyDescent="0.25">
      <c r="A174" s="1"/>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x14ac:dyDescent="0.25">
      <c r="A175" s="1"/>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x14ac:dyDescent="0.25">
      <c r="A176" s="1"/>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x14ac:dyDescent="0.25">
      <c r="A177" s="1"/>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x14ac:dyDescent="0.25">
      <c r="A178" s="1"/>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x14ac:dyDescent="0.25">
      <c r="A179" s="1"/>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x14ac:dyDescent="0.25">
      <c r="A180" s="1"/>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x14ac:dyDescent="0.25">
      <c r="A181" s="1"/>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x14ac:dyDescent="0.25">
      <c r="A182" s="1"/>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x14ac:dyDescent="0.25">
      <c r="A183" s="1"/>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x14ac:dyDescent="0.25">
      <c r="A184" s="1"/>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x14ac:dyDescent="0.25">
      <c r="A185" s="1"/>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x14ac:dyDescent="0.25">
      <c r="A186" s="1"/>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x14ac:dyDescent="0.25">
      <c r="A187" s="1"/>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x14ac:dyDescent="0.25">
      <c r="A188" s="1"/>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x14ac:dyDescent="0.25">
      <c r="A189" s="1"/>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x14ac:dyDescent="0.25">
      <c r="A190" s="1"/>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x14ac:dyDescent="0.25">
      <c r="A191" s="1"/>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x14ac:dyDescent="0.25">
      <c r="A192" s="1"/>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x14ac:dyDescent="0.25">
      <c r="A193" s="1"/>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x14ac:dyDescent="0.25">
      <c r="A194" s="1"/>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x14ac:dyDescent="0.25">
      <c r="A195" s="1"/>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x14ac:dyDescent="0.25">
      <c r="A196" s="1"/>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x14ac:dyDescent="0.25">
      <c r="A197" s="1"/>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x14ac:dyDescent="0.25">
      <c r="A198" s="1"/>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x14ac:dyDescent="0.25">
      <c r="A199" s="1"/>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x14ac:dyDescent="0.25">
      <c r="A200" s="1"/>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x14ac:dyDescent="0.25">
      <c r="A201" s="1"/>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x14ac:dyDescent="0.25">
      <c r="A202" s="1"/>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x14ac:dyDescent="0.25">
      <c r="A203" s="1"/>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x14ac:dyDescent="0.25">
      <c r="A204" s="1"/>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x14ac:dyDescent="0.25">
      <c r="A205" s="1"/>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x14ac:dyDescent="0.25">
      <c r="A206" s="1"/>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x14ac:dyDescent="0.25">
      <c r="A207" s="1"/>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x14ac:dyDescent="0.25">
      <c r="A208" s="1"/>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x14ac:dyDescent="0.25">
      <c r="A209" s="1"/>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x14ac:dyDescent="0.25">
      <c r="A210" s="1"/>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x14ac:dyDescent="0.25">
      <c r="A211" s="1"/>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x14ac:dyDescent="0.25">
      <c r="A212" s="1"/>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x14ac:dyDescent="0.25">
      <c r="A213" s="1"/>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x14ac:dyDescent="0.25">
      <c r="A214" s="1"/>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x14ac:dyDescent="0.25">
      <c r="A215" s="1"/>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x14ac:dyDescent="0.25">
      <c r="A216" s="1"/>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x14ac:dyDescent="0.25">
      <c r="A217" s="1"/>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x14ac:dyDescent="0.25">
      <c r="A218" s="1"/>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x14ac:dyDescent="0.25">
      <c r="A219" s="1"/>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x14ac:dyDescent="0.25">
      <c r="A220" s="1"/>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x14ac:dyDescent="0.25">
      <c r="A221" s="1"/>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x14ac:dyDescent="0.25">
      <c r="A222" s="1"/>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x14ac:dyDescent="0.25">
      <c r="A223" s="1"/>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x14ac:dyDescent="0.25">
      <c r="A224" s="1"/>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x14ac:dyDescent="0.25">
      <c r="A225" s="1"/>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x14ac:dyDescent="0.25">
      <c r="A226" s="1"/>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x14ac:dyDescent="0.25">
      <c r="A227" s="1"/>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x14ac:dyDescent="0.25">
      <c r="A228" s="1"/>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x14ac:dyDescent="0.25">
      <c r="A229" s="1"/>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x14ac:dyDescent="0.25">
      <c r="A230" s="1"/>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x14ac:dyDescent="0.25">
      <c r="A231" s="1"/>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x14ac:dyDescent="0.25">
      <c r="A232" s="1"/>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x14ac:dyDescent="0.25">
      <c r="A233" s="1"/>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x14ac:dyDescent="0.25">
      <c r="A234" s="1"/>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x14ac:dyDescent="0.25">
      <c r="A235" s="1"/>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x14ac:dyDescent="0.25">
      <c r="A236" s="1"/>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x14ac:dyDescent="0.25">
      <c r="A237" s="1"/>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x14ac:dyDescent="0.25">
      <c r="A238" s="1"/>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x14ac:dyDescent="0.25">
      <c r="A239" s="1"/>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x14ac:dyDescent="0.25">
      <c r="A240" s="1"/>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x14ac:dyDescent="0.25">
      <c r="A241" s="1"/>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x14ac:dyDescent="0.25">
      <c r="A242" s="1"/>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x14ac:dyDescent="0.25">
      <c r="A243" s="1"/>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x14ac:dyDescent="0.25">
      <c r="A244" s="1"/>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x14ac:dyDescent="0.25">
      <c r="A245" s="1"/>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x14ac:dyDescent="0.25">
      <c r="A246" s="1"/>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x14ac:dyDescent="0.25">
      <c r="A247" s="1"/>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x14ac:dyDescent="0.25">
      <c r="A248" s="1"/>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x14ac:dyDescent="0.25">
      <c r="A249" s="1"/>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x14ac:dyDescent="0.25">
      <c r="A250" s="1"/>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x14ac:dyDescent="0.25">
      <c r="A251" s="1"/>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x14ac:dyDescent="0.25">
      <c r="A252" s="1"/>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x14ac:dyDescent="0.25">
      <c r="A253" s="1"/>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x14ac:dyDescent="0.25">
      <c r="A254" s="1"/>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x14ac:dyDescent="0.25">
      <c r="A255" s="1"/>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x14ac:dyDescent="0.25">
      <c r="A256" s="1"/>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x14ac:dyDescent="0.25">
      <c r="A257" s="1"/>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x14ac:dyDescent="0.25">
      <c r="A258" s="1"/>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x14ac:dyDescent="0.25">
      <c r="A259" s="1"/>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x14ac:dyDescent="0.25">
      <c r="A260" s="1"/>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x14ac:dyDescent="0.25">
      <c r="A261" s="1"/>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x14ac:dyDescent="0.25">
      <c r="A262" s="1"/>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x14ac:dyDescent="0.25">
      <c r="A263" s="1"/>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x14ac:dyDescent="0.25">
      <c r="A264" s="1"/>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x14ac:dyDescent="0.25">
      <c r="A265" s="1"/>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x14ac:dyDescent="0.25">
      <c r="A266" s="1"/>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x14ac:dyDescent="0.25">
      <c r="A267" s="1"/>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x14ac:dyDescent="0.25">
      <c r="A268" s="1"/>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x14ac:dyDescent="0.25">
      <c r="A269" s="1"/>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x14ac:dyDescent="0.25">
      <c r="A270" s="1"/>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x14ac:dyDescent="0.25">
      <c r="A271" s="1"/>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x14ac:dyDescent="0.25">
      <c r="A272" s="1"/>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x14ac:dyDescent="0.25">
      <c r="A273" s="1"/>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x14ac:dyDescent="0.25">
      <c r="A274" s="1"/>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x14ac:dyDescent="0.25">
      <c r="A275" s="1"/>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x14ac:dyDescent="0.25">
      <c r="A276" s="1"/>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x14ac:dyDescent="0.25">
      <c r="A277" s="1"/>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x14ac:dyDescent="0.25">
      <c r="A278" s="1"/>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x14ac:dyDescent="0.25">
      <c r="A279" s="1"/>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x14ac:dyDescent="0.25">
      <c r="A280" s="1"/>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x14ac:dyDescent="0.25">
      <c r="A281" s="1"/>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x14ac:dyDescent="0.25">
      <c r="A282" s="1"/>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x14ac:dyDescent="0.25">
      <c r="A283" s="1"/>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x14ac:dyDescent="0.25">
      <c r="A284" s="1"/>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x14ac:dyDescent="0.25">
      <c r="A285" s="1"/>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x14ac:dyDescent="0.25">
      <c r="A286" s="1"/>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x14ac:dyDescent="0.25">
      <c r="A287" s="1"/>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x14ac:dyDescent="0.25">
      <c r="A288" s="1"/>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x14ac:dyDescent="0.25">
      <c r="A289" s="1"/>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x14ac:dyDescent="0.25">
      <c r="A290" s="1"/>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x14ac:dyDescent="0.25">
      <c r="A291" s="1"/>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x14ac:dyDescent="0.25">
      <c r="A292" s="1"/>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x14ac:dyDescent="0.25">
      <c r="A293" s="1"/>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x14ac:dyDescent="0.25">
      <c r="A294" s="1"/>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x14ac:dyDescent="0.25">
      <c r="A295" s="1"/>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x14ac:dyDescent="0.25">
      <c r="A296" s="1"/>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x14ac:dyDescent="0.25">
      <c r="A297" s="1"/>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x14ac:dyDescent="0.25">
      <c r="A298" s="1"/>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x14ac:dyDescent="0.25">
      <c r="A299" s="1"/>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x14ac:dyDescent="0.25">
      <c r="A300" s="1"/>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x14ac:dyDescent="0.25">
      <c r="A301" s="1"/>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x14ac:dyDescent="0.25">
      <c r="A302" s="1"/>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x14ac:dyDescent="0.25">
      <c r="A303" s="1"/>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x14ac:dyDescent="0.25">
      <c r="A304" s="1"/>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x14ac:dyDescent="0.25">
      <c r="A305" s="1"/>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x14ac:dyDescent="0.25">
      <c r="A306" s="1"/>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x14ac:dyDescent="0.25">
      <c r="A307" s="1"/>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x14ac:dyDescent="0.25">
      <c r="A308" s="1"/>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x14ac:dyDescent="0.25">
      <c r="A309" s="1"/>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x14ac:dyDescent="0.25">
      <c r="A310" s="1"/>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x14ac:dyDescent="0.25">
      <c r="A311" s="1"/>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x14ac:dyDescent="0.25">
      <c r="A312" s="1"/>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x14ac:dyDescent="0.25">
      <c r="A313" s="1"/>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x14ac:dyDescent="0.25">
      <c r="A314" s="1"/>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x14ac:dyDescent="0.25">
      <c r="A315" s="1"/>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x14ac:dyDescent="0.25">
      <c r="A316" s="1"/>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x14ac:dyDescent="0.25">
      <c r="A317" s="1"/>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x14ac:dyDescent="0.25">
      <c r="A318" s="1"/>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x14ac:dyDescent="0.25">
      <c r="A319" s="1"/>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x14ac:dyDescent="0.25">
      <c r="A320" s="1"/>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x14ac:dyDescent="0.25">
      <c r="A321" s="1"/>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x14ac:dyDescent="0.25">
      <c r="A322" s="1"/>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x14ac:dyDescent="0.25">
      <c r="A323" s="1"/>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x14ac:dyDescent="0.25">
      <c r="A324" s="1"/>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x14ac:dyDescent="0.25">
      <c r="A325" s="1"/>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x14ac:dyDescent="0.25">
      <c r="A326" s="1"/>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x14ac:dyDescent="0.25">
      <c r="A327" s="1"/>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x14ac:dyDescent="0.25">
      <c r="A328" s="1"/>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x14ac:dyDescent="0.25">
      <c r="A329" s="1"/>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x14ac:dyDescent="0.25">
      <c r="A330" s="1"/>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x14ac:dyDescent="0.25">
      <c r="A331" s="1"/>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x14ac:dyDescent="0.25">
      <c r="A332" s="1"/>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x14ac:dyDescent="0.25">
      <c r="A333" s="1"/>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x14ac:dyDescent="0.25">
      <c r="A334" s="1"/>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x14ac:dyDescent="0.25">
      <c r="A335" s="1"/>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x14ac:dyDescent="0.25">
      <c r="A336" s="1"/>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x14ac:dyDescent="0.25">
      <c r="A337" s="1"/>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x14ac:dyDescent="0.25">
      <c r="A338" s="1"/>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x14ac:dyDescent="0.25">
      <c r="A339" s="1"/>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x14ac:dyDescent="0.25">
      <c r="A340" s="1"/>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x14ac:dyDescent="0.25">
      <c r="A341" s="1"/>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x14ac:dyDescent="0.25">
      <c r="A342" s="1"/>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x14ac:dyDescent="0.25">
      <c r="A343" s="1"/>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x14ac:dyDescent="0.25">
      <c r="A344" s="1"/>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x14ac:dyDescent="0.25">
      <c r="A345" s="1"/>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x14ac:dyDescent="0.25">
      <c r="A346" s="1"/>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x14ac:dyDescent="0.25">
      <c r="A347" s="1"/>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x14ac:dyDescent="0.25">
      <c r="A348" s="1"/>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x14ac:dyDescent="0.25">
      <c r="A349" s="1"/>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x14ac:dyDescent="0.25">
      <c r="A350" s="1"/>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x14ac:dyDescent="0.25">
      <c r="A351" s="1"/>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x14ac:dyDescent="0.25">
      <c r="A352" s="1"/>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x14ac:dyDescent="0.25">
      <c r="A353" s="1"/>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x14ac:dyDescent="0.25">
      <c r="A354" s="1"/>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x14ac:dyDescent="0.25">
      <c r="A355" s="1"/>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x14ac:dyDescent="0.25">
      <c r="A356" s="1"/>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x14ac:dyDescent="0.25">
      <c r="A357" s="1"/>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x14ac:dyDescent="0.25">
      <c r="A358" s="1"/>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x14ac:dyDescent="0.25">
      <c r="A359" s="1"/>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x14ac:dyDescent="0.25">
      <c r="A360" s="1"/>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x14ac:dyDescent="0.25">
      <c r="A361" s="1"/>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x14ac:dyDescent="0.25">
      <c r="A362" s="1"/>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x14ac:dyDescent="0.25">
      <c r="A363" s="1"/>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x14ac:dyDescent="0.25">
      <c r="A364" s="1"/>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x14ac:dyDescent="0.25">
      <c r="A365" s="1"/>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x14ac:dyDescent="0.25">
      <c r="A366" s="1"/>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x14ac:dyDescent="0.25">
      <c r="A367" s="1"/>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x14ac:dyDescent="0.25">
      <c r="A368" s="1"/>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x14ac:dyDescent="0.25">
      <c r="A369" s="1"/>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x14ac:dyDescent="0.25">
      <c r="A370" s="1"/>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x14ac:dyDescent="0.25">
      <c r="A371" s="1"/>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x14ac:dyDescent="0.25">
      <c r="A372" s="1"/>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x14ac:dyDescent="0.25">
      <c r="A373" s="1"/>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x14ac:dyDescent="0.25">
      <c r="A374" s="1"/>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x14ac:dyDescent="0.25">
      <c r="A375" s="1"/>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x14ac:dyDescent="0.25">
      <c r="A376" s="1"/>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x14ac:dyDescent="0.25">
      <c r="A377" s="1"/>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x14ac:dyDescent="0.25">
      <c r="A378" s="1"/>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x14ac:dyDescent="0.25">
      <c r="A379" s="1"/>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x14ac:dyDescent="0.25">
      <c r="A380" s="1"/>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x14ac:dyDescent="0.25">
      <c r="A381" s="1"/>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x14ac:dyDescent="0.25">
      <c r="A382" s="1"/>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x14ac:dyDescent="0.25">
      <c r="A383" s="1"/>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x14ac:dyDescent="0.25">
      <c r="A384" s="1"/>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x14ac:dyDescent="0.25">
      <c r="A385" s="1"/>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x14ac:dyDescent="0.25">
      <c r="A386" s="1"/>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x14ac:dyDescent="0.25">
      <c r="A387" s="1"/>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x14ac:dyDescent="0.25">
      <c r="A388" s="1"/>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x14ac:dyDescent="0.25">
      <c r="A389" s="1"/>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x14ac:dyDescent="0.25">
      <c r="A390" s="1"/>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x14ac:dyDescent="0.25">
      <c r="A391" s="1"/>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x14ac:dyDescent="0.25">
      <c r="A392" s="1"/>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x14ac:dyDescent="0.25">
      <c r="A393" s="1"/>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x14ac:dyDescent="0.25">
      <c r="A394" s="1"/>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x14ac:dyDescent="0.25">
      <c r="A395" s="1"/>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x14ac:dyDescent="0.25">
      <c r="A396" s="1"/>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x14ac:dyDescent="0.25">
      <c r="A397" s="1"/>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x14ac:dyDescent="0.25">
      <c r="A398" s="1"/>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x14ac:dyDescent="0.25">
      <c r="A399" s="1"/>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x14ac:dyDescent="0.25">
      <c r="A400" s="1"/>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x14ac:dyDescent="0.25">
      <c r="A401" s="1"/>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x14ac:dyDescent="0.25">
      <c r="A402" s="1"/>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x14ac:dyDescent="0.25">
      <c r="A403" s="1"/>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x14ac:dyDescent="0.25">
      <c r="A404" s="1"/>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x14ac:dyDescent="0.25">
      <c r="A405" s="1"/>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x14ac:dyDescent="0.25">
      <c r="A406" s="1"/>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x14ac:dyDescent="0.25">
      <c r="A407" s="1"/>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x14ac:dyDescent="0.25">
      <c r="A408" s="1"/>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x14ac:dyDescent="0.25">
      <c r="A409" s="1"/>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x14ac:dyDescent="0.25">
      <c r="A410" s="1"/>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x14ac:dyDescent="0.25">
      <c r="A411" s="1"/>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x14ac:dyDescent="0.25">
      <c r="A412" s="1"/>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x14ac:dyDescent="0.25">
      <c r="A413" s="1"/>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x14ac:dyDescent="0.25">
      <c r="A414" s="1"/>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x14ac:dyDescent="0.25">
      <c r="A415" s="1"/>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x14ac:dyDescent="0.25">
      <c r="A416" s="1"/>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x14ac:dyDescent="0.25">
      <c r="A417" s="1"/>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x14ac:dyDescent="0.25">
      <c r="A418" s="1"/>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x14ac:dyDescent="0.25">
      <c r="A419" s="1"/>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x14ac:dyDescent="0.25">
      <c r="A420" s="1"/>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x14ac:dyDescent="0.25">
      <c r="A421" s="1"/>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x14ac:dyDescent="0.25">
      <c r="A422" s="1"/>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x14ac:dyDescent="0.25">
      <c r="A423" s="1"/>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x14ac:dyDescent="0.25">
      <c r="A424" s="1"/>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x14ac:dyDescent="0.25">
      <c r="A425" s="1"/>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x14ac:dyDescent="0.25">
      <c r="A426" s="1"/>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x14ac:dyDescent="0.25">
      <c r="A427" s="1"/>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x14ac:dyDescent="0.25">
      <c r="A428" s="1"/>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x14ac:dyDescent="0.25">
      <c r="A429" s="1"/>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x14ac:dyDescent="0.25">
      <c r="A430" s="1"/>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x14ac:dyDescent="0.25">
      <c r="A431" s="1"/>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x14ac:dyDescent="0.25">
      <c r="A432" s="1"/>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x14ac:dyDescent="0.25">
      <c r="A433" s="1"/>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x14ac:dyDescent="0.25">
      <c r="A434" s="1"/>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x14ac:dyDescent="0.25">
      <c r="A435" s="1"/>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x14ac:dyDescent="0.25">
      <c r="A436" s="1"/>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x14ac:dyDescent="0.25">
      <c r="A437" s="1"/>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x14ac:dyDescent="0.25">
      <c r="A438" s="1"/>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x14ac:dyDescent="0.25">
      <c r="A439" s="1"/>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x14ac:dyDescent="0.25">
      <c r="A440" s="1"/>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x14ac:dyDescent="0.25">
      <c r="A441" s="1"/>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x14ac:dyDescent="0.25">
      <c r="A442" s="1"/>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x14ac:dyDescent="0.25">
      <c r="A443" s="1"/>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x14ac:dyDescent="0.25">
      <c r="A444" s="1"/>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x14ac:dyDescent="0.25">
      <c r="A445" s="1"/>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x14ac:dyDescent="0.25">
      <c r="A446" s="1"/>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x14ac:dyDescent="0.25">
      <c r="A447" s="1"/>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x14ac:dyDescent="0.25">
      <c r="A448" s="1"/>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x14ac:dyDescent="0.25">
      <c r="A449" s="1"/>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x14ac:dyDescent="0.25">
      <c r="A450" s="1"/>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x14ac:dyDescent="0.25">
      <c r="A451" s="1"/>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x14ac:dyDescent="0.25">
      <c r="A452" s="1"/>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x14ac:dyDescent="0.25">
      <c r="A453" s="1"/>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x14ac:dyDescent="0.25">
      <c r="A454" s="1"/>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x14ac:dyDescent="0.25">
      <c r="A455" s="1"/>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x14ac:dyDescent="0.25">
      <c r="A456" s="1"/>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x14ac:dyDescent="0.25">
      <c r="A457" s="1"/>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x14ac:dyDescent="0.25">
      <c r="A458" s="1"/>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x14ac:dyDescent="0.25">
      <c r="A459" s="1"/>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x14ac:dyDescent="0.25">
      <c r="A460" s="1"/>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x14ac:dyDescent="0.25">
      <c r="A461" s="1"/>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x14ac:dyDescent="0.25">
      <c r="A462" s="1"/>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x14ac:dyDescent="0.25">
      <c r="A463" s="1"/>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x14ac:dyDescent="0.25">
      <c r="A464" s="1"/>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x14ac:dyDescent="0.25">
      <c r="A465" s="1"/>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x14ac:dyDescent="0.25">
      <c r="A466" s="1"/>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x14ac:dyDescent="0.25">
      <c r="A467" s="1"/>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x14ac:dyDescent="0.25">
      <c r="A468" s="1"/>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x14ac:dyDescent="0.25">
      <c r="A469" s="1"/>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x14ac:dyDescent="0.25">
      <c r="A470" s="1"/>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x14ac:dyDescent="0.25">
      <c r="A471" s="1"/>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x14ac:dyDescent="0.25">
      <c r="A472" s="1"/>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x14ac:dyDescent="0.25">
      <c r="A473" s="1"/>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x14ac:dyDescent="0.25">
      <c r="A474" s="1"/>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x14ac:dyDescent="0.25">
      <c r="A475" s="1"/>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x14ac:dyDescent="0.25">
      <c r="A476" s="1"/>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x14ac:dyDescent="0.25">
      <c r="A477" s="1"/>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x14ac:dyDescent="0.25">
      <c r="A478" s="1"/>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x14ac:dyDescent="0.25">
      <c r="A479" s="1"/>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x14ac:dyDescent="0.25">
      <c r="A480" s="1"/>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x14ac:dyDescent="0.25">
      <c r="A481" s="1"/>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x14ac:dyDescent="0.25">
      <c r="A482" s="1"/>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x14ac:dyDescent="0.25">
      <c r="A483" s="1"/>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x14ac:dyDescent="0.25">
      <c r="A484" s="1"/>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x14ac:dyDescent="0.25">
      <c r="A485" s="1"/>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x14ac:dyDescent="0.25">
      <c r="A486" s="1"/>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x14ac:dyDescent="0.25">
      <c r="A487" s="1"/>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x14ac:dyDescent="0.25">
      <c r="A488" s="1"/>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x14ac:dyDescent="0.25">
      <c r="A489" s="1"/>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x14ac:dyDescent="0.25">
      <c r="A490" s="1"/>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x14ac:dyDescent="0.25">
      <c r="A491" s="1"/>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x14ac:dyDescent="0.25">
      <c r="A492" s="1"/>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x14ac:dyDescent="0.25">
      <c r="A493" s="1"/>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x14ac:dyDescent="0.25">
      <c r="A494" s="1"/>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x14ac:dyDescent="0.25">
      <c r="A495" s="1"/>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x14ac:dyDescent="0.25">
      <c r="A496" s="1"/>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x14ac:dyDescent="0.25">
      <c r="A497" s="1"/>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x14ac:dyDescent="0.25">
      <c r="A498" s="1"/>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x14ac:dyDescent="0.25">
      <c r="A499" s="1"/>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x14ac:dyDescent="0.25">
      <c r="A500" s="1"/>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x14ac:dyDescent="0.25">
      <c r="A501" s="1"/>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x14ac:dyDescent="0.25">
      <c r="A502" s="1"/>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x14ac:dyDescent="0.25">
      <c r="A503" s="1"/>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x14ac:dyDescent="0.25">
      <c r="A504" s="1"/>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x14ac:dyDescent="0.25">
      <c r="A505" s="1"/>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x14ac:dyDescent="0.25">
      <c r="A506" s="1"/>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x14ac:dyDescent="0.25">
      <c r="A507" s="1"/>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x14ac:dyDescent="0.25">
      <c r="A508" s="1"/>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x14ac:dyDescent="0.25">
      <c r="A509" s="1"/>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x14ac:dyDescent="0.25">
      <c r="A510" s="1"/>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x14ac:dyDescent="0.25">
      <c r="A511" s="1"/>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x14ac:dyDescent="0.25">
      <c r="A512" s="1"/>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x14ac:dyDescent="0.25">
      <c r="A513" s="1"/>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x14ac:dyDescent="0.25">
      <c r="A514" s="1"/>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x14ac:dyDescent="0.25">
      <c r="A515" s="1"/>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x14ac:dyDescent="0.25">
      <c r="A516" s="1"/>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x14ac:dyDescent="0.25">
      <c r="A517" s="1"/>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x14ac:dyDescent="0.25">
      <c r="A518" s="1"/>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x14ac:dyDescent="0.25">
      <c r="A519" s="1"/>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x14ac:dyDescent="0.25">
      <c r="A520" s="1"/>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x14ac:dyDescent="0.25">
      <c r="A521" s="1"/>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x14ac:dyDescent="0.25">
      <c r="A522" s="1"/>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x14ac:dyDescent="0.25">
      <c r="A523" s="1"/>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x14ac:dyDescent="0.25">
      <c r="A524" s="1"/>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x14ac:dyDescent="0.25">
      <c r="A525" s="1"/>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x14ac:dyDescent="0.25">
      <c r="A526" s="1"/>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x14ac:dyDescent="0.25">
      <c r="A527" s="1"/>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x14ac:dyDescent="0.25">
      <c r="A528" s="1"/>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x14ac:dyDescent="0.25">
      <c r="A529" s="1"/>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x14ac:dyDescent="0.25">
      <c r="A530" s="1"/>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x14ac:dyDescent="0.25">
      <c r="A531" s="1"/>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x14ac:dyDescent="0.25">
      <c r="A532" s="1"/>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x14ac:dyDescent="0.25">
      <c r="A533" s="1"/>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x14ac:dyDescent="0.25">
      <c r="A534" s="1"/>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x14ac:dyDescent="0.25">
      <c r="A535" s="1"/>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x14ac:dyDescent="0.25">
      <c r="A536" s="1"/>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x14ac:dyDescent="0.25">
      <c r="A537" s="1"/>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x14ac:dyDescent="0.25">
      <c r="A538" s="1"/>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x14ac:dyDescent="0.25">
      <c r="A539" s="1"/>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x14ac:dyDescent="0.25">
      <c r="A540" s="1"/>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x14ac:dyDescent="0.25">
      <c r="A541" s="1"/>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x14ac:dyDescent="0.25">
      <c r="A542" s="1"/>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x14ac:dyDescent="0.25">
      <c r="A543" s="1"/>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x14ac:dyDescent="0.25">
      <c r="A544" s="1"/>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x14ac:dyDescent="0.25">
      <c r="A545" s="1"/>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x14ac:dyDescent="0.25">
      <c r="A546" s="1"/>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x14ac:dyDescent="0.25">
      <c r="A547" s="1"/>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x14ac:dyDescent="0.25">
      <c r="A548" s="1"/>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x14ac:dyDescent="0.25">
      <c r="A549" s="1"/>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x14ac:dyDescent="0.25">
      <c r="A550" s="1"/>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x14ac:dyDescent="0.25">
      <c r="A551" s="1"/>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x14ac:dyDescent="0.25">
      <c r="A552" s="1"/>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x14ac:dyDescent="0.25">
      <c r="A553" s="1"/>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x14ac:dyDescent="0.25">
      <c r="A554" s="1"/>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x14ac:dyDescent="0.25">
      <c r="A555" s="1"/>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x14ac:dyDescent="0.25">
      <c r="A556" s="1"/>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x14ac:dyDescent="0.25">
      <c r="A557" s="1"/>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x14ac:dyDescent="0.25">
      <c r="A558" s="1"/>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x14ac:dyDescent="0.25">
      <c r="A559" s="1"/>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x14ac:dyDescent="0.25">
      <c r="A560" s="1"/>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x14ac:dyDescent="0.25">
      <c r="A561" s="1"/>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x14ac:dyDescent="0.25">
      <c r="A562" s="1"/>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x14ac:dyDescent="0.25">
      <c r="A563" s="1"/>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x14ac:dyDescent="0.25">
      <c r="A564" s="1"/>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x14ac:dyDescent="0.25">
      <c r="A565" s="1"/>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x14ac:dyDescent="0.25">
      <c r="A566" s="1"/>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x14ac:dyDescent="0.25">
      <c r="A567" s="1"/>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x14ac:dyDescent="0.25">
      <c r="A568" s="1"/>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x14ac:dyDescent="0.25">
      <c r="A569" s="1"/>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x14ac:dyDescent="0.25">
      <c r="A570" s="1"/>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x14ac:dyDescent="0.25">
      <c r="A571" s="1"/>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x14ac:dyDescent="0.25">
      <c r="A572" s="1"/>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x14ac:dyDescent="0.25">
      <c r="A573" s="1"/>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x14ac:dyDescent="0.25">
      <c r="A574" s="1"/>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x14ac:dyDescent="0.25">
      <c r="A575" s="1"/>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x14ac:dyDescent="0.25">
      <c r="A576" s="1"/>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x14ac:dyDescent="0.25">
      <c r="A577" s="1"/>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x14ac:dyDescent="0.25">
      <c r="A578" s="1"/>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x14ac:dyDescent="0.25">
      <c r="A579" s="1"/>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x14ac:dyDescent="0.25">
      <c r="A580" s="1"/>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x14ac:dyDescent="0.25">
      <c r="A581" s="1"/>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x14ac:dyDescent="0.25">
      <c r="A582" s="1"/>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x14ac:dyDescent="0.25">
      <c r="A583" s="1"/>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x14ac:dyDescent="0.25">
      <c r="A584" s="1"/>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x14ac:dyDescent="0.25">
      <c r="A585" s="1"/>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x14ac:dyDescent="0.25">
      <c r="A586" s="1"/>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x14ac:dyDescent="0.25">
      <c r="A587" s="1"/>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x14ac:dyDescent="0.25">
      <c r="A588" s="1"/>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x14ac:dyDescent="0.25">
      <c r="A589" s="1"/>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x14ac:dyDescent="0.25">
      <c r="A590" s="1"/>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x14ac:dyDescent="0.25">
      <c r="A591" s="1"/>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x14ac:dyDescent="0.25">
      <c r="A592" s="1"/>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x14ac:dyDescent="0.25">
      <c r="A593" s="1"/>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x14ac:dyDescent="0.25">
      <c r="A594" s="1"/>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x14ac:dyDescent="0.25">
      <c r="A595" s="1"/>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x14ac:dyDescent="0.25">
      <c r="A596" s="1"/>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x14ac:dyDescent="0.25">
      <c r="A597" s="1"/>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x14ac:dyDescent="0.25">
      <c r="A598" s="1"/>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x14ac:dyDescent="0.25">
      <c r="A599" s="1"/>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x14ac:dyDescent="0.25">
      <c r="A600" s="1"/>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x14ac:dyDescent="0.25">
      <c r="A601" s="1"/>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x14ac:dyDescent="0.25">
      <c r="A602" s="1"/>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x14ac:dyDescent="0.25">
      <c r="A603" s="1"/>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x14ac:dyDescent="0.25">
      <c r="A604" s="1"/>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x14ac:dyDescent="0.25">
      <c r="A605" s="1"/>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x14ac:dyDescent="0.25">
      <c r="A606" s="1"/>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x14ac:dyDescent="0.25">
      <c r="A607" s="1"/>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x14ac:dyDescent="0.25">
      <c r="A608" s="1"/>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x14ac:dyDescent="0.25">
      <c r="A609" s="1"/>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x14ac:dyDescent="0.25">
      <c r="A610" s="1"/>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x14ac:dyDescent="0.25">
      <c r="A611" s="1"/>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x14ac:dyDescent="0.25">
      <c r="A612" s="1"/>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x14ac:dyDescent="0.25">
      <c r="A613" s="1"/>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x14ac:dyDescent="0.25">
      <c r="A614" s="1"/>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x14ac:dyDescent="0.25">
      <c r="A615" s="1"/>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x14ac:dyDescent="0.25">
      <c r="A616" s="1"/>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x14ac:dyDescent="0.25">
      <c r="A617" s="1"/>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x14ac:dyDescent="0.25">
      <c r="A618" s="1"/>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x14ac:dyDescent="0.25">
      <c r="A619" s="1"/>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x14ac:dyDescent="0.25">
      <c r="A620" s="1"/>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x14ac:dyDescent="0.25">
      <c r="A621" s="1"/>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x14ac:dyDescent="0.25">
      <c r="A622" s="1"/>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x14ac:dyDescent="0.25">
      <c r="A623" s="1"/>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x14ac:dyDescent="0.25">
      <c r="A624" s="1"/>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x14ac:dyDescent="0.25">
      <c r="A625" s="1"/>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x14ac:dyDescent="0.25">
      <c r="A626" s="1"/>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x14ac:dyDescent="0.25">
      <c r="A627" s="1"/>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x14ac:dyDescent="0.25">
      <c r="A628" s="1"/>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x14ac:dyDescent="0.25">
      <c r="A629" s="1"/>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x14ac:dyDescent="0.25">
      <c r="A630" s="1"/>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x14ac:dyDescent="0.25">
      <c r="A631" s="1"/>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x14ac:dyDescent="0.25">
      <c r="A632" s="1"/>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x14ac:dyDescent="0.25">
      <c r="A633" s="1"/>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x14ac:dyDescent="0.25">
      <c r="A634" s="1"/>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x14ac:dyDescent="0.25">
      <c r="A635" s="1"/>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x14ac:dyDescent="0.25">
      <c r="A636" s="1"/>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x14ac:dyDescent="0.25">
      <c r="A637" s="1"/>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x14ac:dyDescent="0.25">
      <c r="A638" s="1"/>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x14ac:dyDescent="0.25">
      <c r="A639" s="1"/>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x14ac:dyDescent="0.25">
      <c r="A640" s="1"/>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x14ac:dyDescent="0.25">
      <c r="A641" s="1"/>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x14ac:dyDescent="0.25">
      <c r="A642" s="1"/>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x14ac:dyDescent="0.25">
      <c r="A643" s="1"/>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x14ac:dyDescent="0.25">
      <c r="A644" s="1"/>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x14ac:dyDescent="0.25">
      <c r="A645" s="1"/>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x14ac:dyDescent="0.25">
      <c r="A646" s="1"/>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x14ac:dyDescent="0.25">
      <c r="A647" s="1"/>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x14ac:dyDescent="0.25">
      <c r="A648" s="1"/>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x14ac:dyDescent="0.25">
      <c r="A649" s="1"/>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x14ac:dyDescent="0.25">
      <c r="A650" s="1"/>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x14ac:dyDescent="0.25">
      <c r="A651" s="1"/>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x14ac:dyDescent="0.25">
      <c r="A652" s="1"/>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x14ac:dyDescent="0.25">
      <c r="A653" s="1"/>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x14ac:dyDescent="0.25">
      <c r="A654" s="1"/>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x14ac:dyDescent="0.25">
      <c r="A655" s="1"/>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x14ac:dyDescent="0.25">
      <c r="A656" s="1"/>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x14ac:dyDescent="0.25">
      <c r="A657" s="1"/>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x14ac:dyDescent="0.25">
      <c r="A658" s="1"/>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x14ac:dyDescent="0.25">
      <c r="A659" s="1"/>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x14ac:dyDescent="0.25">
      <c r="A660" s="1"/>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x14ac:dyDescent="0.25">
      <c r="A661" s="1"/>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x14ac:dyDescent="0.25">
      <c r="A662" s="1"/>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x14ac:dyDescent="0.25">
      <c r="A663" s="1"/>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x14ac:dyDescent="0.25">
      <c r="A664" s="1"/>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x14ac:dyDescent="0.25">
      <c r="A665" s="1"/>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x14ac:dyDescent="0.25">
      <c r="A666" s="1"/>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x14ac:dyDescent="0.25">
      <c r="A667" s="1"/>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x14ac:dyDescent="0.25">
      <c r="A668" s="1"/>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x14ac:dyDescent="0.25">
      <c r="A669" s="1"/>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x14ac:dyDescent="0.25">
      <c r="A670" s="1"/>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x14ac:dyDescent="0.25">
      <c r="A671" s="1"/>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x14ac:dyDescent="0.25">
      <c r="A672" s="1"/>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x14ac:dyDescent="0.25">
      <c r="A673" s="1"/>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x14ac:dyDescent="0.25">
      <c r="A674" s="1"/>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x14ac:dyDescent="0.25">
      <c r="A675" s="1"/>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x14ac:dyDescent="0.25">
      <c r="A676" s="1"/>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x14ac:dyDescent="0.25">
      <c r="A677" s="1"/>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x14ac:dyDescent="0.25">
      <c r="A678" s="1"/>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x14ac:dyDescent="0.25">
      <c r="A679" s="1"/>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x14ac:dyDescent="0.25">
      <c r="A680" s="1"/>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x14ac:dyDescent="0.25">
      <c r="A681" s="1"/>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x14ac:dyDescent="0.25">
      <c r="A682" s="1"/>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x14ac:dyDescent="0.25">
      <c r="A683" s="1"/>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x14ac:dyDescent="0.25">
      <c r="A684" s="1"/>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x14ac:dyDescent="0.25">
      <c r="A685" s="1"/>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x14ac:dyDescent="0.25">
      <c r="A686" s="1"/>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x14ac:dyDescent="0.25">
      <c r="A687" s="1"/>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x14ac:dyDescent="0.25">
      <c r="A688" s="1"/>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x14ac:dyDescent="0.25">
      <c r="A689" s="1"/>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x14ac:dyDescent="0.25">
      <c r="A690" s="1"/>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x14ac:dyDescent="0.25">
      <c r="A691" s="1"/>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x14ac:dyDescent="0.25">
      <c r="A692" s="1"/>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x14ac:dyDescent="0.25">
      <c r="A693" s="1"/>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x14ac:dyDescent="0.25">
      <c r="A694" s="1"/>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x14ac:dyDescent="0.25">
      <c r="A695" s="1"/>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x14ac:dyDescent="0.25">
      <c r="A696" s="1"/>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x14ac:dyDescent="0.25">
      <c r="A697" s="1"/>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x14ac:dyDescent="0.25">
      <c r="A698" s="1"/>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x14ac:dyDescent="0.25">
      <c r="A699" s="1"/>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x14ac:dyDescent="0.25">
      <c r="A700" s="1"/>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x14ac:dyDescent="0.25">
      <c r="A701" s="1"/>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x14ac:dyDescent="0.25">
      <c r="A702" s="1"/>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x14ac:dyDescent="0.25">
      <c r="A703" s="1"/>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x14ac:dyDescent="0.25">
      <c r="A704" s="1"/>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x14ac:dyDescent="0.25">
      <c r="A705" s="1"/>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x14ac:dyDescent="0.25">
      <c r="A706" s="1"/>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x14ac:dyDescent="0.25">
      <c r="A707" s="1"/>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x14ac:dyDescent="0.25">
      <c r="A708" s="1"/>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x14ac:dyDescent="0.25">
      <c r="A709" s="1"/>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x14ac:dyDescent="0.25">
      <c r="A710" s="1"/>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x14ac:dyDescent="0.25">
      <c r="A711" s="1"/>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x14ac:dyDescent="0.25">
      <c r="A712" s="1"/>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x14ac:dyDescent="0.25">
      <c r="A713" s="1"/>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x14ac:dyDescent="0.25">
      <c r="A714" s="1"/>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x14ac:dyDescent="0.25">
      <c r="A715" s="1"/>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x14ac:dyDescent="0.25">
      <c r="A716" s="1"/>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x14ac:dyDescent="0.25">
      <c r="A717" s="1"/>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x14ac:dyDescent="0.25">
      <c r="A718" s="1"/>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x14ac:dyDescent="0.25">
      <c r="A719" s="1"/>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x14ac:dyDescent="0.25">
      <c r="A720" s="1"/>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x14ac:dyDescent="0.25">
      <c r="A721" s="1"/>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x14ac:dyDescent="0.25">
      <c r="A722" s="1"/>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x14ac:dyDescent="0.25">
      <c r="A723" s="1"/>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x14ac:dyDescent="0.25">
      <c r="A724" s="1"/>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x14ac:dyDescent="0.25">
      <c r="A725" s="1"/>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x14ac:dyDescent="0.25">
      <c r="A726" s="1"/>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x14ac:dyDescent="0.25">
      <c r="A727" s="1"/>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x14ac:dyDescent="0.25">
      <c r="A728" s="1"/>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x14ac:dyDescent="0.25">
      <c r="A729" s="1"/>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x14ac:dyDescent="0.25">
      <c r="A730" s="1"/>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x14ac:dyDescent="0.25">
      <c r="A731" s="1"/>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x14ac:dyDescent="0.25">
      <c r="A732" s="1"/>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x14ac:dyDescent="0.25">
      <c r="A733" s="1"/>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x14ac:dyDescent="0.25">
      <c r="A734" s="1"/>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x14ac:dyDescent="0.25">
      <c r="A735" s="1"/>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x14ac:dyDescent="0.25">
      <c r="A736" s="1"/>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x14ac:dyDescent="0.25">
      <c r="A737" s="1"/>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x14ac:dyDescent="0.25">
      <c r="A738" s="1"/>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x14ac:dyDescent="0.25">
      <c r="A739" s="1"/>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x14ac:dyDescent="0.25">
      <c r="A740" s="1"/>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x14ac:dyDescent="0.25">
      <c r="A741" s="1"/>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x14ac:dyDescent="0.25">
      <c r="A742" s="1"/>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x14ac:dyDescent="0.25">
      <c r="A743" s="1"/>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x14ac:dyDescent="0.25">
      <c r="A744" s="1"/>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x14ac:dyDescent="0.25">
      <c r="A745" s="1"/>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x14ac:dyDescent="0.25">
      <c r="A746" s="1"/>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x14ac:dyDescent="0.25">
      <c r="A747" s="1"/>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x14ac:dyDescent="0.25">
      <c r="A748" s="1"/>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x14ac:dyDescent="0.25">
      <c r="A749" s="1"/>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x14ac:dyDescent="0.25">
      <c r="A750" s="1"/>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x14ac:dyDescent="0.25">
      <c r="A751" s="1"/>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x14ac:dyDescent="0.25">
      <c r="A752" s="1"/>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x14ac:dyDescent="0.25">
      <c r="A753" s="1"/>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x14ac:dyDescent="0.25">
      <c r="A754" s="1"/>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x14ac:dyDescent="0.25">
      <c r="A755" s="1"/>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x14ac:dyDescent="0.25">
      <c r="A756" s="1"/>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x14ac:dyDescent="0.25">
      <c r="A757" s="1"/>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x14ac:dyDescent="0.25">
      <c r="A758" s="1"/>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x14ac:dyDescent="0.25">
      <c r="A759" s="1"/>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x14ac:dyDescent="0.25">
      <c r="A760" s="1"/>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x14ac:dyDescent="0.25">
      <c r="A761" s="1"/>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x14ac:dyDescent="0.25">
      <c r="A762" s="1"/>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x14ac:dyDescent="0.25">
      <c r="A763" s="1"/>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x14ac:dyDescent="0.25">
      <c r="A764" s="1"/>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x14ac:dyDescent="0.25">
      <c r="A765" s="1"/>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x14ac:dyDescent="0.25">
      <c r="A766" s="1"/>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x14ac:dyDescent="0.25">
      <c r="A767" s="1"/>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x14ac:dyDescent="0.25">
      <c r="A768" s="1"/>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x14ac:dyDescent="0.25">
      <c r="A769" s="1"/>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x14ac:dyDescent="0.25">
      <c r="A770" s="1"/>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x14ac:dyDescent="0.25">
      <c r="A771" s="1"/>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x14ac:dyDescent="0.25">
      <c r="A772" s="1"/>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x14ac:dyDescent="0.25">
      <c r="A773" s="1"/>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x14ac:dyDescent="0.25">
      <c r="A774" s="1"/>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x14ac:dyDescent="0.25">
      <c r="A775" s="1"/>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x14ac:dyDescent="0.25">
      <c r="A776" s="1"/>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x14ac:dyDescent="0.25">
      <c r="A777" s="1"/>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x14ac:dyDescent="0.25">
      <c r="A778" s="1"/>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x14ac:dyDescent="0.25">
      <c r="A779" s="1"/>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x14ac:dyDescent="0.25">
      <c r="A780" s="1"/>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x14ac:dyDescent="0.25">
      <c r="A781" s="1"/>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x14ac:dyDescent="0.25">
      <c r="A782" s="1"/>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x14ac:dyDescent="0.25">
      <c r="A783" s="1"/>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x14ac:dyDescent="0.25">
      <c r="A784" s="1"/>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x14ac:dyDescent="0.25">
      <c r="A785" s="1"/>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x14ac:dyDescent="0.25">
      <c r="A786" s="1"/>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x14ac:dyDescent="0.25">
      <c r="A787" s="1"/>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x14ac:dyDescent="0.25">
      <c r="A788" s="1"/>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x14ac:dyDescent="0.25">
      <c r="A789" s="1"/>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x14ac:dyDescent="0.25">
      <c r="A790" s="1"/>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x14ac:dyDescent="0.25">
      <c r="A791" s="1"/>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x14ac:dyDescent="0.25">
      <c r="A792" s="1"/>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x14ac:dyDescent="0.25">
      <c r="A793" s="1"/>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x14ac:dyDescent="0.25">
      <c r="A794" s="1"/>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x14ac:dyDescent="0.25">
      <c r="A795" s="1"/>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x14ac:dyDescent="0.25">
      <c r="A796" s="1"/>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x14ac:dyDescent="0.25">
      <c r="A797" s="1"/>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x14ac:dyDescent="0.25">
      <c r="A798" s="1"/>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x14ac:dyDescent="0.25">
      <c r="A799" s="1"/>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x14ac:dyDescent="0.25">
      <c r="A800" s="1"/>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x14ac:dyDescent="0.25">
      <c r="A801" s="1"/>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x14ac:dyDescent="0.25">
      <c r="A802" s="1"/>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x14ac:dyDescent="0.25">
      <c r="A803" s="1"/>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x14ac:dyDescent="0.25">
      <c r="A804" s="1"/>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x14ac:dyDescent="0.25">
      <c r="A805" s="1"/>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x14ac:dyDescent="0.25">
      <c r="A806" s="1"/>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x14ac:dyDescent="0.25">
      <c r="A807" s="1"/>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x14ac:dyDescent="0.25">
      <c r="A808" s="1"/>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x14ac:dyDescent="0.25">
      <c r="A809" s="1"/>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x14ac:dyDescent="0.25">
      <c r="A810" s="1"/>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x14ac:dyDescent="0.25">
      <c r="A811" s="1"/>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x14ac:dyDescent="0.25">
      <c r="A812" s="1"/>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x14ac:dyDescent="0.25">
      <c r="A813" s="1"/>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x14ac:dyDescent="0.25">
      <c r="A814" s="1"/>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x14ac:dyDescent="0.25">
      <c r="A815" s="1"/>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x14ac:dyDescent="0.25">
      <c r="A816" s="1"/>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x14ac:dyDescent="0.25">
      <c r="A817" s="1"/>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x14ac:dyDescent="0.25">
      <c r="A818" s="1"/>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x14ac:dyDescent="0.25">
      <c r="A819" s="1"/>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x14ac:dyDescent="0.25">
      <c r="A820" s="1"/>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x14ac:dyDescent="0.25">
      <c r="A821" s="1"/>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x14ac:dyDescent="0.25">
      <c r="A822" s="1"/>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x14ac:dyDescent="0.25">
      <c r="A823" s="1"/>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x14ac:dyDescent="0.25">
      <c r="A824" s="1"/>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x14ac:dyDescent="0.25">
      <c r="A825" s="1"/>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x14ac:dyDescent="0.25">
      <c r="A826" s="1"/>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x14ac:dyDescent="0.25">
      <c r="A827" s="1"/>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x14ac:dyDescent="0.25">
      <c r="A828" s="1"/>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x14ac:dyDescent="0.25">
      <c r="A829" s="1"/>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x14ac:dyDescent="0.25">
      <c r="A830" s="1"/>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x14ac:dyDescent="0.25">
      <c r="A831" s="1"/>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x14ac:dyDescent="0.25">
      <c r="A832" s="1"/>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x14ac:dyDescent="0.25">
      <c r="A833" s="1"/>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x14ac:dyDescent="0.25">
      <c r="A834" s="1"/>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x14ac:dyDescent="0.25">
      <c r="A835" s="1"/>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x14ac:dyDescent="0.25">
      <c r="A836" s="1"/>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x14ac:dyDescent="0.25">
      <c r="A837" s="1"/>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x14ac:dyDescent="0.25">
      <c r="A838" s="1"/>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x14ac:dyDescent="0.25">
      <c r="A839" s="1"/>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x14ac:dyDescent="0.25">
      <c r="A840" s="1"/>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x14ac:dyDescent="0.25">
      <c r="A841" s="1"/>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x14ac:dyDescent="0.25">
      <c r="A842" s="1"/>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x14ac:dyDescent="0.25">
      <c r="A843" s="1"/>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x14ac:dyDescent="0.25">
      <c r="A844" s="1"/>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x14ac:dyDescent="0.25">
      <c r="A845" s="1"/>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x14ac:dyDescent="0.25">
      <c r="A846" s="1"/>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x14ac:dyDescent="0.25">
      <c r="A847" s="1"/>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x14ac:dyDescent="0.25">
      <c r="A848" s="1"/>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x14ac:dyDescent="0.25">
      <c r="A849" s="1"/>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x14ac:dyDescent="0.25">
      <c r="A850" s="1"/>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x14ac:dyDescent="0.25">
      <c r="A851" s="1"/>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x14ac:dyDescent="0.25">
      <c r="A852" s="1"/>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x14ac:dyDescent="0.25">
      <c r="A853" s="1"/>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x14ac:dyDescent="0.25">
      <c r="A854" s="1"/>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x14ac:dyDescent="0.25">
      <c r="A855" s="1"/>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x14ac:dyDescent="0.25">
      <c r="A856" s="1"/>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x14ac:dyDescent="0.25">
      <c r="A857" s="1"/>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x14ac:dyDescent="0.25">
      <c r="A858" s="1"/>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x14ac:dyDescent="0.25">
      <c r="A859" s="1"/>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x14ac:dyDescent="0.25">
      <c r="A860" s="1"/>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x14ac:dyDescent="0.25">
      <c r="A861" s="1"/>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x14ac:dyDescent="0.25">
      <c r="A862" s="1"/>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x14ac:dyDescent="0.25">
      <c r="A863" s="1"/>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x14ac:dyDescent="0.25">
      <c r="A864" s="1"/>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x14ac:dyDescent="0.25">
      <c r="A865" s="1"/>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x14ac:dyDescent="0.25">
      <c r="A866" s="1"/>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x14ac:dyDescent="0.25">
      <c r="A867" s="1"/>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x14ac:dyDescent="0.25">
      <c r="A868" s="1"/>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x14ac:dyDescent="0.25">
      <c r="A869" s="1"/>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x14ac:dyDescent="0.25">
      <c r="A870" s="1"/>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x14ac:dyDescent="0.25">
      <c r="A871" s="1"/>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x14ac:dyDescent="0.25">
      <c r="A872" s="1"/>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x14ac:dyDescent="0.25">
      <c r="A873" s="1"/>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x14ac:dyDescent="0.25">
      <c r="A874" s="1"/>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x14ac:dyDescent="0.25">
      <c r="A875" s="1"/>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x14ac:dyDescent="0.25">
      <c r="A876" s="1"/>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x14ac:dyDescent="0.25">
      <c r="A877" s="1"/>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x14ac:dyDescent="0.25">
      <c r="A878" s="1"/>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x14ac:dyDescent="0.25">
      <c r="A879" s="1"/>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x14ac:dyDescent="0.25">
      <c r="A880" s="1"/>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x14ac:dyDescent="0.25">
      <c r="A881" s="1"/>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x14ac:dyDescent="0.25">
      <c r="A882" s="1"/>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x14ac:dyDescent="0.25">
      <c r="A883" s="1"/>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x14ac:dyDescent="0.25">
      <c r="A884" s="1"/>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x14ac:dyDescent="0.25">
      <c r="A885" s="1"/>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x14ac:dyDescent="0.25">
      <c r="A886" s="1"/>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x14ac:dyDescent="0.25">
      <c r="A887" s="1"/>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x14ac:dyDescent="0.25">
      <c r="A888" s="1"/>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x14ac:dyDescent="0.25">
      <c r="A889" s="1"/>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x14ac:dyDescent="0.25">
      <c r="A890" s="1"/>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x14ac:dyDescent="0.25">
      <c r="A891" s="1"/>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x14ac:dyDescent="0.25">
      <c r="A892" s="1"/>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x14ac:dyDescent="0.25">
      <c r="A893" s="1"/>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x14ac:dyDescent="0.25">
      <c r="A894" s="1"/>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x14ac:dyDescent="0.25">
      <c r="A895" s="1"/>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x14ac:dyDescent="0.25">
      <c r="A896" s="1"/>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x14ac:dyDescent="0.25">
      <c r="A897" s="1"/>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x14ac:dyDescent="0.25">
      <c r="A898" s="1"/>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x14ac:dyDescent="0.25">
      <c r="A899" s="1"/>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x14ac:dyDescent="0.25">
      <c r="A900" s="1"/>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x14ac:dyDescent="0.25">
      <c r="A901" s="1"/>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x14ac:dyDescent="0.25">
      <c r="A902" s="1"/>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x14ac:dyDescent="0.25">
      <c r="A903" s="1"/>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x14ac:dyDescent="0.25">
      <c r="A904" s="1"/>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x14ac:dyDescent="0.25">
      <c r="A905" s="1"/>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x14ac:dyDescent="0.25">
      <c r="A906" s="1"/>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x14ac:dyDescent="0.25">
      <c r="A907" s="1"/>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x14ac:dyDescent="0.25">
      <c r="A908" s="1"/>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x14ac:dyDescent="0.25">
      <c r="A909" s="1"/>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x14ac:dyDescent="0.25">
      <c r="A910" s="1"/>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x14ac:dyDescent="0.25">
      <c r="A911" s="1"/>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x14ac:dyDescent="0.25">
      <c r="A912" s="1"/>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x14ac:dyDescent="0.25">
      <c r="A913" s="1"/>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x14ac:dyDescent="0.25">
      <c r="A914" s="1"/>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x14ac:dyDescent="0.25">
      <c r="A915" s="1"/>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x14ac:dyDescent="0.25">
      <c r="A916" s="1"/>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x14ac:dyDescent="0.25">
      <c r="A917" s="1"/>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x14ac:dyDescent="0.25">
      <c r="A918" s="1"/>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x14ac:dyDescent="0.25">
      <c r="A919" s="1"/>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x14ac:dyDescent="0.25">
      <c r="A920" s="1"/>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x14ac:dyDescent="0.25">
      <c r="A921" s="1"/>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x14ac:dyDescent="0.25">
      <c r="A922" s="1"/>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x14ac:dyDescent="0.25">
      <c r="A923" s="1"/>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x14ac:dyDescent="0.25">
      <c r="A924" s="1"/>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x14ac:dyDescent="0.25">
      <c r="A925" s="1"/>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x14ac:dyDescent="0.25">
      <c r="A926" s="1"/>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x14ac:dyDescent="0.25">
      <c r="A927" s="1"/>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x14ac:dyDescent="0.25">
      <c r="A928" s="1"/>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x14ac:dyDescent="0.25">
      <c r="A929" s="1"/>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x14ac:dyDescent="0.25">
      <c r="A930" s="1"/>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x14ac:dyDescent="0.25">
      <c r="A931" s="1"/>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x14ac:dyDescent="0.25">
      <c r="A932" s="1"/>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x14ac:dyDescent="0.25">
      <c r="A933" s="1"/>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x14ac:dyDescent="0.25">
      <c r="A934" s="1"/>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x14ac:dyDescent="0.25">
      <c r="A935" s="1"/>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x14ac:dyDescent="0.25">
      <c r="A936" s="1"/>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x14ac:dyDescent="0.25">
      <c r="A937" s="1"/>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x14ac:dyDescent="0.25">
      <c r="A938" s="1"/>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x14ac:dyDescent="0.25">
      <c r="A939" s="1"/>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x14ac:dyDescent="0.25">
      <c r="A940" s="1"/>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x14ac:dyDescent="0.25">
      <c r="A941" s="1"/>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x14ac:dyDescent="0.25">
      <c r="A942" s="1"/>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x14ac:dyDescent="0.25">
      <c r="A943" s="1"/>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x14ac:dyDescent="0.25">
      <c r="A944" s="1"/>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x14ac:dyDescent="0.25">
      <c r="A945" s="1"/>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x14ac:dyDescent="0.25">
      <c r="A946" s="1"/>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x14ac:dyDescent="0.25">
      <c r="A947" s="1"/>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x14ac:dyDescent="0.25">
      <c r="A948" s="1"/>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x14ac:dyDescent="0.25">
      <c r="A949" s="1"/>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x14ac:dyDescent="0.25">
      <c r="A950" s="1"/>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x14ac:dyDescent="0.25">
      <c r="A951" s="1"/>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x14ac:dyDescent="0.25">
      <c r="A952" s="1"/>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x14ac:dyDescent="0.25">
      <c r="A953" s="1"/>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x14ac:dyDescent="0.25">
      <c r="A954" s="1"/>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x14ac:dyDescent="0.25">
      <c r="A955" s="1"/>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x14ac:dyDescent="0.25">
      <c r="A956" s="1"/>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x14ac:dyDescent="0.25">
      <c r="A957" s="1"/>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x14ac:dyDescent="0.25">
      <c r="A958" s="1"/>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x14ac:dyDescent="0.25">
      <c r="A959" s="1"/>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x14ac:dyDescent="0.25">
      <c r="A960" s="1"/>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x14ac:dyDescent="0.25">
      <c r="A961" s="1"/>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x14ac:dyDescent="0.25">
      <c r="A962" s="1"/>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x14ac:dyDescent="0.25">
      <c r="A963" s="1"/>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x14ac:dyDescent="0.25">
      <c r="A964" s="1"/>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x14ac:dyDescent="0.25">
      <c r="A965" s="1"/>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x14ac:dyDescent="0.25">
      <c r="A966" s="1"/>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x14ac:dyDescent="0.25">
      <c r="A967" s="1"/>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x14ac:dyDescent="0.25">
      <c r="A968" s="1"/>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x14ac:dyDescent="0.25">
      <c r="A969" s="1"/>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x14ac:dyDescent="0.25">
      <c r="A970" s="1"/>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x14ac:dyDescent="0.25">
      <c r="A971" s="1"/>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x14ac:dyDescent="0.25">
      <c r="A972" s="1"/>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x14ac:dyDescent="0.25">
      <c r="A973" s="1"/>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x14ac:dyDescent="0.25">
      <c r="A974" s="1"/>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x14ac:dyDescent="0.25">
      <c r="A975" s="1"/>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x14ac:dyDescent="0.25">
      <c r="A976" s="1"/>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x14ac:dyDescent="0.25">
      <c r="A977" s="1"/>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x14ac:dyDescent="0.25">
      <c r="A978" s="1"/>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x14ac:dyDescent="0.25">
      <c r="A979" s="1"/>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x14ac:dyDescent="0.25">
      <c r="A980" s="1"/>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x14ac:dyDescent="0.25">
      <c r="A981" s="1"/>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x14ac:dyDescent="0.25">
      <c r="A982" s="1"/>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x14ac:dyDescent="0.25">
      <c r="A983" s="1"/>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x14ac:dyDescent="0.25">
      <c r="A984" s="1"/>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x14ac:dyDescent="0.25">
      <c r="A985" s="1"/>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x14ac:dyDescent="0.25">
      <c r="A986" s="1"/>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x14ac:dyDescent="0.25">
      <c r="A987" s="1"/>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x14ac:dyDescent="0.25">
      <c r="A988" s="1"/>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x14ac:dyDescent="0.25">
      <c r="A989" s="1"/>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x14ac:dyDescent="0.25">
      <c r="A990" s="1"/>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x14ac:dyDescent="0.25">
      <c r="A991" s="1"/>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x14ac:dyDescent="0.25">
      <c r="A992" s="1"/>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x14ac:dyDescent="0.25">
      <c r="A993" s="1"/>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x14ac:dyDescent="0.25">
      <c r="A994" s="1"/>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x14ac:dyDescent="0.25">
      <c r="A995" s="1"/>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x14ac:dyDescent="0.25">
      <c r="A996" s="1"/>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x14ac:dyDescent="0.25">
      <c r="A997" s="1"/>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x14ac:dyDescent="0.25">
      <c r="A998" s="1"/>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x14ac:dyDescent="0.25">
      <c r="A999" s="1"/>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x14ac:dyDescent="0.25">
      <c r="A1000" s="1"/>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autoFilter ref="C5:G13" xr:uid="{00000000-0001-0000-0400-000000000000}"/>
  <sortState xmlns:xlrd2="http://schemas.microsoft.com/office/spreadsheetml/2017/richdata2" ref="C6:G13">
    <sortCondition descending="1" ref="G6:G13"/>
  </sortState>
  <hyperlinks>
    <hyperlink ref="A61" r:id="rId1" xr:uid="{00000000-0004-0000-0400-000000000000}"/>
    <hyperlink ref="A62" r:id="rId2" xr:uid="{00000000-0004-0000-0400-000001000000}"/>
  </hyperlinks>
  <pageMargins left="0.7" right="0.7" top="0.75" bottom="0.75" header="0" footer="0"/>
  <pageSetup orientation="portrait"/>
  <drawing r:id="rId3"/>
  <tableParts count="2">
    <tablePart r:id="rId4"/>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1"/>
  <sheetViews>
    <sheetView showGridLines="0" topLeftCell="A69" workbookViewId="0">
      <selection activeCell="E9" sqref="E9"/>
    </sheetView>
  </sheetViews>
  <sheetFormatPr defaultColWidth="14.42578125" defaultRowHeight="15" customHeight="1" x14ac:dyDescent="0.25"/>
  <cols>
    <col min="1" max="1" width="12.7109375" customWidth="1"/>
    <col min="2" max="2" width="82.85546875" customWidth="1"/>
    <col min="3" max="3" width="13.85546875" customWidth="1"/>
    <col min="4" max="4" width="11" customWidth="1"/>
    <col min="5" max="7" width="9.28515625" customWidth="1"/>
    <col min="8" max="8" width="12" customWidth="1"/>
    <col min="9" max="26" width="8.85546875" customWidth="1"/>
  </cols>
  <sheetData>
    <row r="1" spans="1:26" ht="60" customHeight="1" x14ac:dyDescent="0.5">
      <c r="A1" s="1" t="s">
        <v>226</v>
      </c>
      <c r="B1" s="29"/>
      <c r="I1" s="3"/>
      <c r="J1" s="3"/>
      <c r="K1" s="3"/>
      <c r="L1" s="3"/>
      <c r="M1" s="3"/>
      <c r="N1" s="3"/>
      <c r="O1" s="3"/>
      <c r="P1" s="3"/>
      <c r="Q1" s="3"/>
      <c r="R1" s="3"/>
      <c r="S1" s="3"/>
      <c r="T1" s="3"/>
      <c r="U1" s="3"/>
      <c r="V1" s="3"/>
      <c r="W1" s="3"/>
      <c r="X1" s="3"/>
      <c r="Y1" s="3"/>
      <c r="Z1" s="3"/>
    </row>
    <row r="2" spans="1:26" ht="15" customHeight="1" x14ac:dyDescent="0.25">
      <c r="A2" s="1" t="s">
        <v>227</v>
      </c>
      <c r="B2" s="3"/>
      <c r="I2" s="3"/>
      <c r="J2" s="3"/>
      <c r="K2" s="3"/>
      <c r="L2" s="3"/>
      <c r="M2" s="3"/>
      <c r="N2" s="3"/>
      <c r="O2" s="3"/>
      <c r="P2" s="3"/>
      <c r="Q2" s="3"/>
      <c r="R2" s="3"/>
      <c r="S2" s="3"/>
      <c r="T2" s="3"/>
      <c r="U2" s="3"/>
      <c r="V2" s="3"/>
      <c r="W2" s="3"/>
      <c r="X2" s="3"/>
      <c r="Y2" s="3"/>
      <c r="Z2" s="3"/>
    </row>
    <row r="3" spans="1:26" ht="15" customHeight="1" x14ac:dyDescent="0.25">
      <c r="A3" s="1" t="s">
        <v>228</v>
      </c>
      <c r="B3" s="30"/>
      <c r="I3" s="3"/>
      <c r="J3" s="3"/>
      <c r="K3" s="3"/>
      <c r="L3" s="3"/>
      <c r="M3" s="3"/>
      <c r="N3" s="3"/>
      <c r="O3" s="3"/>
      <c r="P3" s="3"/>
      <c r="Q3" s="3"/>
      <c r="R3" s="3"/>
      <c r="S3" s="3"/>
      <c r="T3" s="3"/>
      <c r="U3" s="3"/>
      <c r="V3" s="3"/>
      <c r="W3" s="3"/>
      <c r="X3" s="3"/>
      <c r="Y3" s="3"/>
      <c r="Z3" s="3"/>
    </row>
    <row r="4" spans="1:26" ht="15" customHeight="1" x14ac:dyDescent="0.25">
      <c r="A4" s="1" t="s">
        <v>229</v>
      </c>
      <c r="B4" s="3"/>
      <c r="I4" s="3"/>
      <c r="J4" s="3"/>
      <c r="K4" s="3"/>
      <c r="L4" s="3"/>
      <c r="M4" s="3"/>
      <c r="N4" s="3"/>
      <c r="O4" s="3"/>
      <c r="P4" s="3"/>
      <c r="Q4" s="3"/>
      <c r="R4" s="3"/>
      <c r="S4" s="3"/>
      <c r="T4" s="3"/>
      <c r="U4" s="3"/>
      <c r="V4" s="3"/>
      <c r="W4" s="3"/>
      <c r="X4" s="3"/>
      <c r="Y4" s="3"/>
      <c r="Z4" s="3"/>
    </row>
    <row r="5" spans="1:26" ht="15" customHeight="1" x14ac:dyDescent="0.25">
      <c r="A5" s="1" t="s">
        <v>230</v>
      </c>
      <c r="B5" s="7"/>
      <c r="C5" s="25" t="s">
        <v>189</v>
      </c>
      <c r="D5" s="25" t="s">
        <v>86</v>
      </c>
      <c r="E5" s="25" t="s">
        <v>190</v>
      </c>
      <c r="F5" s="25" t="s">
        <v>191</v>
      </c>
      <c r="G5" s="25" t="s">
        <v>192</v>
      </c>
      <c r="I5" s="7"/>
      <c r="J5" s="7"/>
      <c r="K5" s="7"/>
      <c r="L5" s="7"/>
      <c r="M5" s="7"/>
      <c r="N5" s="7"/>
      <c r="O5" s="7"/>
      <c r="P5" s="7"/>
      <c r="Q5" s="7"/>
      <c r="R5" s="7"/>
      <c r="S5" s="7"/>
      <c r="T5" s="7"/>
      <c r="U5" s="7"/>
      <c r="V5" s="7"/>
      <c r="W5" s="7"/>
      <c r="X5" s="7"/>
      <c r="Y5" s="7"/>
      <c r="Z5" s="7"/>
    </row>
    <row r="6" spans="1:26" ht="15" customHeight="1" x14ac:dyDescent="0.25">
      <c r="A6" s="1" t="s">
        <v>231</v>
      </c>
      <c r="B6" s="31"/>
      <c r="C6" s="25" t="s">
        <v>89</v>
      </c>
      <c r="D6" s="25" t="s">
        <v>197</v>
      </c>
      <c r="E6" s="25">
        <v>30000</v>
      </c>
      <c r="F6" s="25">
        <v>80000</v>
      </c>
      <c r="G6" s="25">
        <v>30000</v>
      </c>
      <c r="I6" s="7"/>
      <c r="J6" s="7"/>
      <c r="K6" s="7"/>
      <c r="L6" s="7"/>
      <c r="M6" s="7"/>
      <c r="N6" s="7"/>
      <c r="O6" s="7"/>
      <c r="P6" s="7"/>
      <c r="Q6" s="7"/>
      <c r="R6" s="7"/>
      <c r="S6" s="7"/>
      <c r="T6" s="7"/>
      <c r="U6" s="7"/>
      <c r="V6" s="7"/>
      <c r="W6" s="7"/>
      <c r="X6" s="7"/>
      <c r="Y6" s="7"/>
      <c r="Z6" s="7"/>
    </row>
    <row r="7" spans="1:26" ht="15" customHeight="1" x14ac:dyDescent="0.25">
      <c r="A7" s="1" t="s">
        <v>232</v>
      </c>
      <c r="B7" s="7"/>
      <c r="C7" s="25" t="s">
        <v>89</v>
      </c>
      <c r="D7" s="25" t="s">
        <v>3</v>
      </c>
      <c r="E7" s="25">
        <v>10000</v>
      </c>
      <c r="F7" s="25">
        <v>30000</v>
      </c>
      <c r="G7" s="25">
        <v>40000</v>
      </c>
      <c r="I7" s="7"/>
      <c r="J7" s="7"/>
      <c r="K7" s="7"/>
      <c r="L7" s="7"/>
      <c r="M7" s="7"/>
      <c r="N7" s="7"/>
      <c r="O7" s="7"/>
      <c r="P7" s="7"/>
      <c r="Q7" s="7"/>
      <c r="R7" s="7"/>
      <c r="S7" s="7"/>
      <c r="T7" s="7"/>
      <c r="U7" s="7"/>
      <c r="V7" s="7"/>
      <c r="W7" s="7"/>
      <c r="X7" s="7"/>
      <c r="Y7" s="7"/>
      <c r="Z7" s="7"/>
    </row>
    <row r="8" spans="1:26" ht="15" customHeight="1" x14ac:dyDescent="0.25">
      <c r="A8" s="1" t="s">
        <v>233</v>
      </c>
      <c r="B8" s="7"/>
      <c r="C8" s="25" t="s">
        <v>195</v>
      </c>
      <c r="D8" s="25" t="s">
        <v>200</v>
      </c>
      <c r="E8" s="25">
        <v>30000</v>
      </c>
      <c r="F8" s="25">
        <v>15000</v>
      </c>
      <c r="G8" s="25">
        <v>20000</v>
      </c>
      <c r="I8" s="7"/>
      <c r="J8" s="7"/>
      <c r="K8" s="7"/>
      <c r="L8" s="7"/>
      <c r="M8" s="7"/>
      <c r="N8" s="7"/>
      <c r="O8" s="7"/>
      <c r="P8" s="7"/>
      <c r="Q8" s="7"/>
      <c r="R8" s="7"/>
      <c r="S8" s="7"/>
      <c r="T8" s="7"/>
      <c r="U8" s="7"/>
      <c r="V8" s="7"/>
      <c r="W8" s="7"/>
      <c r="X8" s="7"/>
      <c r="Y8" s="7"/>
      <c r="Z8" s="7"/>
    </row>
    <row r="9" spans="1:26" ht="15" customHeight="1" x14ac:dyDescent="0.25">
      <c r="A9" s="12" t="s">
        <v>234</v>
      </c>
      <c r="B9" s="7"/>
      <c r="C9" s="25" t="s">
        <v>195</v>
      </c>
      <c r="D9" s="25" t="s">
        <v>196</v>
      </c>
      <c r="E9" s="25">
        <v>25000</v>
      </c>
      <c r="F9" s="25">
        <v>80000</v>
      </c>
      <c r="G9" s="25">
        <v>120000</v>
      </c>
      <c r="I9" s="7"/>
      <c r="J9" s="7"/>
      <c r="K9" s="7"/>
      <c r="L9" s="7"/>
      <c r="M9" s="7"/>
      <c r="N9" s="7"/>
      <c r="O9" s="7"/>
      <c r="P9" s="7"/>
      <c r="Q9" s="7"/>
      <c r="R9" s="7"/>
      <c r="S9" s="7"/>
      <c r="T9" s="7"/>
      <c r="U9" s="7"/>
      <c r="V9" s="7"/>
      <c r="W9" s="7"/>
      <c r="X9" s="7"/>
      <c r="Y9" s="7"/>
      <c r="Z9" s="7"/>
    </row>
    <row r="10" spans="1:26" ht="15" customHeight="1" x14ac:dyDescent="0.25">
      <c r="A10" s="1" t="s">
        <v>26</v>
      </c>
      <c r="B10" s="7"/>
      <c r="C10" s="25" t="s">
        <v>198</v>
      </c>
      <c r="D10" s="25" t="s">
        <v>235</v>
      </c>
      <c r="E10" s="25">
        <v>80000</v>
      </c>
      <c r="F10" s="25">
        <v>40000</v>
      </c>
      <c r="G10" s="25">
        <v>20000</v>
      </c>
      <c r="I10" s="7"/>
      <c r="J10" s="7"/>
      <c r="K10" s="7"/>
      <c r="L10" s="7"/>
      <c r="M10" s="7"/>
      <c r="N10" s="7"/>
      <c r="O10" s="7"/>
      <c r="P10" s="7"/>
      <c r="Q10" s="7"/>
      <c r="R10" s="7"/>
      <c r="S10" s="7"/>
      <c r="T10" s="7"/>
      <c r="U10" s="7"/>
      <c r="V10" s="7"/>
      <c r="W10" s="7"/>
      <c r="X10" s="7"/>
      <c r="Y10" s="7"/>
      <c r="Z10" s="7"/>
    </row>
    <row r="11" spans="1:26" ht="15" customHeight="1" x14ac:dyDescent="0.25">
      <c r="A11" s="1"/>
      <c r="B11" s="7"/>
      <c r="C11" s="25" t="s">
        <v>198</v>
      </c>
      <c r="D11" s="25" t="s">
        <v>199</v>
      </c>
      <c r="E11" s="25">
        <v>90000</v>
      </c>
      <c r="F11" s="25">
        <v>35000</v>
      </c>
      <c r="G11" s="25">
        <v>25000</v>
      </c>
      <c r="I11" s="7"/>
      <c r="J11" s="7"/>
      <c r="K11" s="7"/>
      <c r="L11" s="7"/>
      <c r="M11" s="7"/>
      <c r="N11" s="7"/>
      <c r="O11" s="7"/>
      <c r="P11" s="7"/>
      <c r="Q11" s="7"/>
      <c r="R11" s="7"/>
      <c r="S11" s="7"/>
      <c r="T11" s="7"/>
      <c r="U11" s="7"/>
      <c r="V11" s="7"/>
      <c r="W11" s="7"/>
      <c r="X11" s="7"/>
      <c r="Y11" s="7"/>
      <c r="Z11" s="7"/>
    </row>
    <row r="12" spans="1:26" ht="15" customHeight="1" x14ac:dyDescent="0.25">
      <c r="A12" s="1"/>
      <c r="B12" s="7"/>
      <c r="C12" s="25" t="s">
        <v>5</v>
      </c>
      <c r="D12" s="25" t="s">
        <v>8</v>
      </c>
      <c r="E12" s="25">
        <v>90000</v>
      </c>
      <c r="F12" s="25">
        <v>110000</v>
      </c>
      <c r="G12" s="25">
        <v>200000</v>
      </c>
      <c r="I12" s="7"/>
      <c r="J12" s="7"/>
      <c r="K12" s="7"/>
      <c r="L12" s="7"/>
      <c r="M12" s="7"/>
      <c r="N12" s="7"/>
      <c r="O12" s="7"/>
      <c r="P12" s="7"/>
      <c r="Q12" s="7"/>
      <c r="R12" s="7"/>
      <c r="S12" s="7"/>
      <c r="T12" s="7"/>
      <c r="U12" s="7"/>
      <c r="V12" s="7"/>
      <c r="W12" s="7"/>
      <c r="X12" s="7"/>
      <c r="Y12" s="7"/>
      <c r="Z12" s="7"/>
    </row>
    <row r="13" spans="1:26" ht="15" customHeight="1" x14ac:dyDescent="0.25">
      <c r="A13" s="1"/>
      <c r="B13" s="7"/>
      <c r="C13" s="25" t="s">
        <v>5</v>
      </c>
      <c r="D13" s="25" t="s">
        <v>11</v>
      </c>
      <c r="E13" s="25">
        <v>75000</v>
      </c>
      <c r="F13" s="25">
        <v>82000</v>
      </c>
      <c r="G13" s="25">
        <v>150000</v>
      </c>
      <c r="I13" s="7"/>
      <c r="J13" s="7"/>
      <c r="K13" s="7"/>
      <c r="L13" s="7"/>
      <c r="M13" s="7"/>
      <c r="N13" s="7"/>
      <c r="O13" s="7"/>
      <c r="P13" s="7"/>
      <c r="Q13" s="7"/>
      <c r="R13" s="7"/>
      <c r="S13" s="7"/>
      <c r="T13" s="7"/>
      <c r="U13" s="7"/>
      <c r="V13" s="7"/>
      <c r="W13" s="7"/>
      <c r="X13" s="7"/>
      <c r="Y13" s="7"/>
      <c r="Z13" s="7"/>
    </row>
    <row r="14" spans="1:26" ht="15" customHeight="1" x14ac:dyDescent="0.25">
      <c r="A14" s="1"/>
      <c r="B14" s="7"/>
      <c r="C14" s="41"/>
      <c r="D14" s="41"/>
      <c r="E14" s="41"/>
      <c r="F14" s="41"/>
      <c r="G14" s="41"/>
      <c r="I14" s="7"/>
      <c r="J14" s="7"/>
      <c r="K14" s="7"/>
      <c r="L14" s="7"/>
      <c r="M14" s="7"/>
      <c r="N14" s="7"/>
      <c r="O14" s="7"/>
      <c r="P14" s="7"/>
      <c r="Q14" s="7"/>
      <c r="R14" s="7"/>
      <c r="S14" s="7"/>
      <c r="T14" s="7"/>
      <c r="U14" s="7"/>
      <c r="V14" s="7"/>
      <c r="W14" s="7"/>
      <c r="X14" s="7"/>
      <c r="Y14" s="7"/>
      <c r="Z14" s="7"/>
    </row>
    <row r="15" spans="1:26" ht="15" customHeight="1" x14ac:dyDescent="0.25">
      <c r="A15" s="1"/>
      <c r="B15" s="7"/>
      <c r="I15" s="7"/>
      <c r="J15" s="7"/>
      <c r="K15" s="7"/>
      <c r="L15" s="7"/>
      <c r="M15" s="7"/>
      <c r="N15" s="7"/>
      <c r="O15" s="7"/>
      <c r="P15" s="7"/>
      <c r="Q15" s="7"/>
      <c r="R15" s="7"/>
      <c r="S15" s="7"/>
      <c r="T15" s="7"/>
      <c r="U15" s="7"/>
      <c r="V15" s="7"/>
      <c r="W15" s="7"/>
      <c r="X15" s="7"/>
      <c r="Y15" s="7"/>
      <c r="Z15" s="7"/>
    </row>
    <row r="16" spans="1:26" ht="15" customHeight="1" x14ac:dyDescent="0.25">
      <c r="A16" s="1"/>
      <c r="B16" s="7"/>
      <c r="I16" s="7"/>
      <c r="J16" s="7"/>
      <c r="K16" s="7"/>
      <c r="L16" s="7"/>
      <c r="M16" s="7"/>
      <c r="N16" s="7"/>
      <c r="O16" s="7"/>
      <c r="P16" s="7"/>
      <c r="Q16" s="7"/>
      <c r="R16" s="7"/>
      <c r="S16" s="7"/>
      <c r="T16" s="7"/>
      <c r="U16" s="7"/>
      <c r="V16" s="7"/>
      <c r="W16" s="7"/>
      <c r="X16" s="7"/>
      <c r="Y16" s="7"/>
      <c r="Z16" s="7"/>
    </row>
    <row r="17" spans="1:26" ht="15" customHeight="1" x14ac:dyDescent="0.25">
      <c r="A17" s="1"/>
      <c r="B17" s="7"/>
      <c r="I17" s="7"/>
      <c r="J17" s="7"/>
      <c r="K17" s="7"/>
      <c r="L17" s="7"/>
      <c r="M17" s="7"/>
      <c r="N17" s="7"/>
      <c r="O17" s="7"/>
      <c r="P17" s="7"/>
      <c r="Q17" s="7"/>
      <c r="R17" s="7"/>
      <c r="S17" s="7"/>
      <c r="T17" s="7"/>
      <c r="U17" s="7"/>
      <c r="V17" s="7"/>
      <c r="W17" s="7"/>
      <c r="X17" s="7"/>
      <c r="Y17" s="7"/>
      <c r="Z17" s="7"/>
    </row>
    <row r="18" spans="1:26" ht="15" customHeight="1" x14ac:dyDescent="0.25">
      <c r="A18" s="1"/>
      <c r="B18" s="7"/>
      <c r="I18" s="7"/>
      <c r="J18" s="7"/>
      <c r="K18" s="7"/>
      <c r="L18" s="7"/>
      <c r="M18" s="7"/>
      <c r="N18" s="7"/>
      <c r="O18" s="7"/>
      <c r="P18" s="7"/>
      <c r="Q18" s="7"/>
      <c r="R18" s="7"/>
      <c r="S18" s="7"/>
      <c r="T18" s="7"/>
      <c r="U18" s="7"/>
      <c r="V18" s="7"/>
      <c r="W18" s="7"/>
      <c r="X18" s="7"/>
      <c r="Y18" s="7"/>
      <c r="Z18" s="7"/>
    </row>
    <row r="19" spans="1:26" ht="15" customHeight="1" x14ac:dyDescent="0.25">
      <c r="A19" s="1"/>
      <c r="B19" s="7"/>
      <c r="I19" s="7"/>
      <c r="J19" s="7"/>
      <c r="K19" s="7"/>
      <c r="L19" s="7"/>
      <c r="M19" s="7"/>
      <c r="N19" s="7"/>
      <c r="O19" s="7"/>
      <c r="P19" s="7"/>
      <c r="Q19" s="7"/>
      <c r="R19" s="7"/>
      <c r="S19" s="7"/>
      <c r="T19" s="7"/>
      <c r="U19" s="7"/>
      <c r="V19" s="7"/>
      <c r="W19" s="7"/>
      <c r="X19" s="7"/>
      <c r="Y19" s="7"/>
      <c r="Z19" s="7"/>
    </row>
    <row r="20" spans="1:26" ht="15" customHeight="1" x14ac:dyDescent="0.25">
      <c r="A20" s="1"/>
      <c r="B20" s="7"/>
      <c r="I20" s="7"/>
      <c r="J20" s="7"/>
      <c r="K20" s="7"/>
      <c r="L20" s="7"/>
      <c r="M20" s="7"/>
      <c r="N20" s="7"/>
      <c r="O20" s="7"/>
      <c r="P20" s="7"/>
      <c r="Q20" s="7"/>
      <c r="R20" s="7"/>
      <c r="S20" s="7"/>
      <c r="T20" s="7"/>
      <c r="U20" s="7"/>
      <c r="V20" s="7"/>
      <c r="W20" s="7"/>
      <c r="X20" s="7"/>
      <c r="Y20" s="7"/>
      <c r="Z20" s="7"/>
    </row>
    <row r="21" spans="1:26" ht="15" customHeight="1" x14ac:dyDescent="0.25">
      <c r="A21" s="1"/>
      <c r="B21" s="7"/>
      <c r="I21" s="7"/>
      <c r="J21" s="7"/>
      <c r="K21" s="7"/>
      <c r="L21" s="7"/>
      <c r="M21" s="7"/>
      <c r="N21" s="7"/>
      <c r="O21" s="7"/>
      <c r="P21" s="7"/>
      <c r="Q21" s="7"/>
      <c r="R21" s="7"/>
      <c r="S21" s="7"/>
      <c r="T21" s="7"/>
      <c r="U21" s="7"/>
      <c r="V21" s="7"/>
      <c r="W21" s="7"/>
      <c r="X21" s="7"/>
      <c r="Y21" s="7"/>
      <c r="Z21" s="7"/>
    </row>
    <row r="22" spans="1:26" ht="15" customHeight="1" x14ac:dyDescent="0.25">
      <c r="A22" s="1"/>
      <c r="B22" s="7"/>
      <c r="C22" s="7"/>
      <c r="D22" s="7"/>
      <c r="E22" s="7"/>
      <c r="F22" s="7"/>
      <c r="G22" s="7"/>
      <c r="H22" s="7"/>
      <c r="I22" s="7"/>
      <c r="J22" s="7"/>
      <c r="K22" s="7"/>
      <c r="L22" s="7"/>
      <c r="M22" s="7"/>
      <c r="N22" s="7"/>
      <c r="O22" s="7"/>
      <c r="P22" s="7"/>
      <c r="Q22" s="7"/>
      <c r="R22" s="7"/>
      <c r="S22" s="7"/>
      <c r="T22" s="7"/>
      <c r="U22" s="7"/>
      <c r="V22" s="7"/>
      <c r="W22" s="7"/>
      <c r="X22" s="7"/>
      <c r="Y22" s="7"/>
      <c r="Z22" s="7"/>
    </row>
    <row r="23" spans="1:26" ht="15" customHeight="1" x14ac:dyDescent="0.25">
      <c r="A23" s="1"/>
      <c r="B23" s="7"/>
      <c r="C23" s="7"/>
      <c r="D23" s="7"/>
      <c r="E23" s="7"/>
      <c r="F23" s="7"/>
      <c r="G23" s="7"/>
      <c r="H23" s="7"/>
      <c r="I23" s="7"/>
      <c r="J23" s="7"/>
      <c r="K23" s="7"/>
      <c r="L23" s="7"/>
      <c r="M23" s="7"/>
      <c r="N23" s="7"/>
      <c r="O23" s="7"/>
      <c r="P23" s="7"/>
      <c r="Q23" s="7"/>
      <c r="R23" s="7"/>
      <c r="S23" s="7"/>
      <c r="T23" s="7"/>
      <c r="U23" s="7"/>
      <c r="V23" s="7"/>
      <c r="W23" s="7"/>
      <c r="X23" s="7"/>
      <c r="Y23" s="7"/>
      <c r="Z23" s="7"/>
    </row>
    <row r="24" spans="1:26" ht="15" customHeight="1" x14ac:dyDescent="0.25">
      <c r="A24" s="1"/>
      <c r="B24" s="7"/>
      <c r="C24" s="7"/>
      <c r="D24" s="7"/>
      <c r="E24" s="7"/>
      <c r="F24" s="7"/>
      <c r="G24" s="7"/>
      <c r="H24" s="7"/>
      <c r="I24" s="7"/>
      <c r="J24" s="7"/>
      <c r="K24" s="7"/>
      <c r="L24" s="7"/>
      <c r="M24" s="7"/>
      <c r="N24" s="7"/>
      <c r="O24" s="7"/>
      <c r="P24" s="7"/>
      <c r="Q24" s="7"/>
      <c r="R24" s="7"/>
      <c r="S24" s="7"/>
      <c r="T24" s="7"/>
      <c r="U24" s="7"/>
      <c r="V24" s="7"/>
      <c r="W24" s="7"/>
      <c r="X24" s="7"/>
      <c r="Y24" s="7"/>
      <c r="Z24" s="7"/>
    </row>
    <row r="25" spans="1:26" ht="15.75" customHeight="1" x14ac:dyDescent="0.25">
      <c r="A25" s="1"/>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x14ac:dyDescent="0.25">
      <c r="A26" s="1"/>
      <c r="B26" s="3"/>
      <c r="C26" s="3"/>
      <c r="D26" s="3"/>
      <c r="E26" s="3"/>
      <c r="F26" s="3"/>
      <c r="G26" s="3"/>
      <c r="H26" s="3"/>
      <c r="I26" s="3"/>
      <c r="J26" s="3"/>
      <c r="K26" s="3"/>
      <c r="L26" s="3"/>
      <c r="M26" s="3"/>
      <c r="N26" s="3"/>
      <c r="O26" s="3"/>
      <c r="P26" s="3"/>
      <c r="Q26" s="3"/>
      <c r="R26" s="3"/>
      <c r="S26" s="3"/>
      <c r="T26" s="3"/>
      <c r="U26" s="3"/>
      <c r="V26" s="3"/>
      <c r="W26" s="3"/>
      <c r="X26" s="3"/>
      <c r="Y26" s="3"/>
      <c r="Z26" s="3"/>
    </row>
    <row r="27" spans="1:26" ht="15" customHeight="1" x14ac:dyDescent="0.25">
      <c r="A27" s="1" t="s">
        <v>236</v>
      </c>
      <c r="B27" s="3"/>
      <c r="I27" s="3"/>
      <c r="J27" s="3"/>
      <c r="K27" s="3"/>
      <c r="L27" s="3"/>
      <c r="M27" s="3"/>
      <c r="N27" s="3"/>
      <c r="O27" s="3"/>
      <c r="P27" s="3"/>
      <c r="Q27" s="3"/>
      <c r="R27" s="3"/>
      <c r="S27" s="3"/>
      <c r="T27" s="3"/>
      <c r="U27" s="3"/>
      <c r="V27" s="3"/>
      <c r="W27" s="3"/>
      <c r="X27" s="3"/>
      <c r="Y27" s="3"/>
      <c r="Z27" s="3"/>
    </row>
    <row r="28" spans="1:26" ht="15" customHeight="1" x14ac:dyDescent="0.25">
      <c r="A28" s="1" t="s">
        <v>237</v>
      </c>
      <c r="B28" s="3"/>
      <c r="I28" s="3"/>
      <c r="J28" s="3"/>
      <c r="K28" s="3"/>
      <c r="L28" s="3"/>
      <c r="M28" s="3"/>
      <c r="N28" s="3"/>
      <c r="O28" s="3"/>
      <c r="P28" s="3"/>
      <c r="Q28" s="3"/>
      <c r="R28" s="3"/>
      <c r="S28" s="3"/>
      <c r="T28" s="3"/>
      <c r="U28" s="3"/>
      <c r="V28" s="3"/>
      <c r="W28" s="3"/>
      <c r="X28" s="3"/>
      <c r="Y28" s="3"/>
      <c r="Z28" s="3"/>
    </row>
    <row r="29" spans="1:26" ht="15" customHeight="1" x14ac:dyDescent="0.25">
      <c r="A29" s="1" t="s">
        <v>238</v>
      </c>
      <c r="B29" s="3"/>
      <c r="I29" s="3"/>
      <c r="J29" s="3"/>
      <c r="K29" s="3"/>
      <c r="L29" s="3"/>
      <c r="M29" s="3"/>
      <c r="N29" s="3"/>
      <c r="O29" s="3"/>
      <c r="P29" s="3"/>
      <c r="Q29" s="3"/>
      <c r="R29" s="3"/>
      <c r="S29" s="3"/>
      <c r="T29" s="3"/>
      <c r="U29" s="3"/>
      <c r="V29" s="3"/>
      <c r="W29" s="3"/>
      <c r="X29" s="3"/>
      <c r="Y29" s="3"/>
      <c r="Z29" s="3"/>
    </row>
    <row r="30" spans="1:26" ht="15" customHeight="1" x14ac:dyDescent="0.25">
      <c r="A30" s="1" t="s">
        <v>239</v>
      </c>
      <c r="B30" s="3"/>
      <c r="I30" s="3"/>
      <c r="J30" s="3"/>
      <c r="K30" s="3"/>
      <c r="L30" s="3"/>
      <c r="M30" s="3"/>
      <c r="N30" s="3"/>
      <c r="O30" s="3"/>
      <c r="P30" s="3"/>
      <c r="Q30" s="3"/>
      <c r="R30" s="3"/>
      <c r="S30" s="3"/>
      <c r="T30" s="3"/>
      <c r="U30" s="3"/>
      <c r="V30" s="3"/>
      <c r="W30" s="3"/>
      <c r="X30" s="3"/>
      <c r="Y30" s="3"/>
      <c r="Z30" s="3"/>
    </row>
    <row r="31" spans="1:26" ht="15" customHeight="1" x14ac:dyDescent="0.25">
      <c r="A31" s="1" t="s">
        <v>240</v>
      </c>
      <c r="B31" s="3"/>
      <c r="C31" s="3"/>
      <c r="D31" s="3"/>
      <c r="E31" s="3"/>
      <c r="F31" s="3"/>
      <c r="G31" s="3"/>
      <c r="I31" s="3"/>
      <c r="J31" s="3"/>
      <c r="K31" s="3"/>
      <c r="L31" s="3"/>
      <c r="M31" s="3"/>
      <c r="N31" s="3"/>
      <c r="O31" s="3"/>
      <c r="P31" s="3"/>
      <c r="Q31" s="3"/>
      <c r="R31" s="3"/>
      <c r="S31" s="3"/>
      <c r="T31" s="3"/>
      <c r="U31" s="3"/>
      <c r="V31" s="3"/>
      <c r="W31" s="3"/>
      <c r="X31" s="3"/>
      <c r="Y31" s="3"/>
      <c r="Z31" s="3"/>
    </row>
    <row r="32" spans="1:26" ht="15" customHeight="1" x14ac:dyDescent="0.25">
      <c r="A32" s="1" t="s">
        <v>241</v>
      </c>
      <c r="B32" s="3"/>
      <c r="C32" s="3"/>
      <c r="D32" s="3"/>
      <c r="E32" s="3"/>
      <c r="F32" s="3"/>
      <c r="G32" s="3"/>
      <c r="I32" s="3"/>
      <c r="J32" s="3"/>
      <c r="K32" s="3"/>
      <c r="L32" s="3"/>
      <c r="M32" s="3"/>
      <c r="N32" s="3"/>
      <c r="O32" s="3"/>
      <c r="P32" s="3"/>
      <c r="Q32" s="3"/>
      <c r="R32" s="3"/>
      <c r="S32" s="3"/>
      <c r="T32" s="3"/>
      <c r="U32" s="3"/>
      <c r="V32" s="3"/>
      <c r="W32" s="3"/>
      <c r="X32" s="3"/>
      <c r="Y32" s="3"/>
      <c r="Z32" s="3"/>
    </row>
    <row r="33" spans="1:26" ht="15" customHeight="1" x14ac:dyDescent="0.25">
      <c r="A33" s="1" t="s">
        <v>242</v>
      </c>
      <c r="B33" s="3"/>
      <c r="C33" s="5" t="s">
        <v>189</v>
      </c>
      <c r="D33" s="5" t="s">
        <v>86</v>
      </c>
      <c r="E33" s="5" t="s">
        <v>190</v>
      </c>
      <c r="F33" s="5" t="s">
        <v>191</v>
      </c>
      <c r="G33" s="5" t="s">
        <v>192</v>
      </c>
      <c r="H33" s="5" t="s">
        <v>243</v>
      </c>
      <c r="I33" s="3"/>
      <c r="J33" s="3"/>
      <c r="K33" s="3"/>
      <c r="L33" s="3"/>
      <c r="M33" s="3"/>
      <c r="N33" s="3"/>
      <c r="O33" s="3"/>
      <c r="P33" s="3"/>
      <c r="Q33" s="3"/>
      <c r="R33" s="3"/>
      <c r="S33" s="3"/>
      <c r="T33" s="3"/>
      <c r="U33" s="3"/>
      <c r="V33" s="3"/>
      <c r="W33" s="3"/>
      <c r="X33" s="3"/>
      <c r="Y33" s="3"/>
      <c r="Z33" s="3"/>
    </row>
    <row r="34" spans="1:26" ht="15" customHeight="1" x14ac:dyDescent="0.25">
      <c r="A34" s="1"/>
      <c r="B34" s="3"/>
      <c r="C34" s="6" t="s">
        <v>89</v>
      </c>
      <c r="D34" s="6" t="s">
        <v>197</v>
      </c>
      <c r="E34" s="23">
        <v>30000</v>
      </c>
      <c r="F34" s="23">
        <v>80000</v>
      </c>
      <c r="G34" s="23">
        <v>30000</v>
      </c>
      <c r="H34" s="24">
        <f t="shared" ref="H34:H41" si="0">SUM(E34:G34)</f>
        <v>140000</v>
      </c>
      <c r="I34" s="3"/>
      <c r="J34" s="3"/>
      <c r="K34" s="3"/>
      <c r="L34" s="3"/>
      <c r="M34" s="3"/>
      <c r="N34" s="3"/>
      <c r="O34" s="3"/>
      <c r="P34" s="3"/>
      <c r="Q34" s="3"/>
      <c r="R34" s="3"/>
      <c r="S34" s="3"/>
      <c r="T34" s="3"/>
      <c r="U34" s="3"/>
      <c r="V34" s="3"/>
      <c r="W34" s="3"/>
      <c r="X34" s="3"/>
      <c r="Y34" s="3"/>
      <c r="Z34" s="3"/>
    </row>
    <row r="35" spans="1:26" ht="15" customHeight="1" x14ac:dyDescent="0.25">
      <c r="A35" s="1"/>
      <c r="B35" s="3"/>
      <c r="C35" s="25" t="s">
        <v>89</v>
      </c>
      <c r="D35" s="25" t="s">
        <v>3</v>
      </c>
      <c r="E35" s="24">
        <v>10000</v>
      </c>
      <c r="F35" s="24">
        <v>30000</v>
      </c>
      <c r="G35" s="24">
        <v>40000</v>
      </c>
      <c r="H35" s="24">
        <f t="shared" si="0"/>
        <v>80000</v>
      </c>
      <c r="I35" s="3"/>
      <c r="J35" s="3"/>
      <c r="K35" s="3"/>
      <c r="L35" s="3"/>
      <c r="M35" s="3"/>
      <c r="N35" s="3"/>
      <c r="O35" s="3"/>
      <c r="P35" s="3"/>
      <c r="Q35" s="3"/>
      <c r="R35" s="3"/>
      <c r="S35" s="3"/>
      <c r="T35" s="3"/>
      <c r="U35" s="3"/>
      <c r="V35" s="3"/>
      <c r="W35" s="3"/>
      <c r="X35" s="3"/>
      <c r="Y35" s="3"/>
      <c r="Z35" s="3"/>
    </row>
    <row r="36" spans="1:26" ht="15" customHeight="1" x14ac:dyDescent="0.25">
      <c r="A36" s="1"/>
      <c r="B36" s="3"/>
      <c r="C36" s="6" t="s">
        <v>195</v>
      </c>
      <c r="D36" s="6" t="s">
        <v>200</v>
      </c>
      <c r="E36" s="23">
        <v>30000</v>
      </c>
      <c r="F36" s="23">
        <v>15000</v>
      </c>
      <c r="G36" s="23">
        <v>20000</v>
      </c>
      <c r="H36" s="24">
        <f t="shared" si="0"/>
        <v>65000</v>
      </c>
      <c r="I36" s="3"/>
      <c r="J36" s="3"/>
      <c r="K36" s="3"/>
      <c r="L36" s="3"/>
      <c r="M36" s="3"/>
      <c r="N36" s="3"/>
      <c r="O36" s="3"/>
      <c r="P36" s="3"/>
      <c r="Q36" s="3"/>
      <c r="R36" s="3"/>
      <c r="S36" s="3"/>
      <c r="T36" s="3"/>
      <c r="U36" s="3"/>
      <c r="V36" s="3"/>
      <c r="W36" s="3"/>
      <c r="X36" s="3"/>
      <c r="Y36" s="3"/>
      <c r="Z36" s="3"/>
    </row>
    <row r="37" spans="1:26" ht="15" customHeight="1" x14ac:dyDescent="0.25">
      <c r="A37" s="1"/>
      <c r="B37" s="3"/>
      <c r="C37" s="25" t="s">
        <v>195</v>
      </c>
      <c r="D37" s="25" t="s">
        <v>196</v>
      </c>
      <c r="E37" s="24">
        <v>25000</v>
      </c>
      <c r="F37" s="24">
        <v>80000</v>
      </c>
      <c r="G37" s="24">
        <v>120000</v>
      </c>
      <c r="H37" s="24">
        <f t="shared" si="0"/>
        <v>225000</v>
      </c>
      <c r="I37" s="3"/>
      <c r="J37" s="3"/>
      <c r="K37" s="3"/>
      <c r="L37" s="3"/>
      <c r="M37" s="3"/>
      <c r="N37" s="3"/>
      <c r="O37" s="3"/>
      <c r="P37" s="3"/>
      <c r="Q37" s="3"/>
      <c r="R37" s="3"/>
      <c r="S37" s="3"/>
      <c r="T37" s="3"/>
      <c r="U37" s="3"/>
      <c r="V37" s="3"/>
      <c r="W37" s="3"/>
      <c r="X37" s="3"/>
      <c r="Y37" s="3"/>
      <c r="Z37" s="3"/>
    </row>
    <row r="38" spans="1:26" ht="15" customHeight="1" x14ac:dyDescent="0.25">
      <c r="A38" s="1"/>
      <c r="B38" s="3"/>
      <c r="C38" s="6" t="s">
        <v>198</v>
      </c>
      <c r="D38" s="6" t="s">
        <v>201</v>
      </c>
      <c r="E38" s="23">
        <v>80000</v>
      </c>
      <c r="F38" s="23">
        <v>40000</v>
      </c>
      <c r="G38" s="23">
        <v>20000</v>
      </c>
      <c r="H38" s="24">
        <f t="shared" si="0"/>
        <v>140000</v>
      </c>
      <c r="I38" s="3"/>
      <c r="J38" s="3"/>
      <c r="K38" s="3"/>
      <c r="L38" s="3"/>
      <c r="M38" s="3"/>
      <c r="N38" s="3"/>
      <c r="O38" s="3"/>
      <c r="P38" s="3"/>
      <c r="Q38" s="3"/>
      <c r="R38" s="3"/>
      <c r="S38" s="3"/>
      <c r="T38" s="3"/>
      <c r="U38" s="3"/>
      <c r="V38" s="3"/>
      <c r="W38" s="3"/>
      <c r="X38" s="3"/>
      <c r="Y38" s="3"/>
      <c r="Z38" s="3"/>
    </row>
    <row r="39" spans="1:26" ht="15" customHeight="1" x14ac:dyDescent="0.25">
      <c r="A39" s="1"/>
      <c r="B39" s="3"/>
      <c r="C39" s="25" t="s">
        <v>198</v>
      </c>
      <c r="D39" s="25" t="s">
        <v>199</v>
      </c>
      <c r="E39" s="24">
        <v>90000</v>
      </c>
      <c r="F39" s="24">
        <v>35000</v>
      </c>
      <c r="G39" s="24">
        <v>25000</v>
      </c>
      <c r="H39" s="24">
        <f t="shared" si="0"/>
        <v>150000</v>
      </c>
      <c r="I39" s="3"/>
      <c r="J39" s="3"/>
      <c r="K39" s="3"/>
      <c r="L39" s="3"/>
      <c r="M39" s="3"/>
      <c r="N39" s="3"/>
      <c r="O39" s="3"/>
      <c r="P39" s="3"/>
      <c r="Q39" s="3"/>
      <c r="R39" s="3"/>
      <c r="S39" s="3"/>
      <c r="T39" s="3"/>
      <c r="U39" s="3"/>
      <c r="V39" s="3"/>
      <c r="W39" s="3"/>
      <c r="X39" s="3"/>
      <c r="Y39" s="3"/>
      <c r="Z39" s="3"/>
    </row>
    <row r="40" spans="1:26" ht="15" customHeight="1" x14ac:dyDescent="0.25">
      <c r="A40" s="1"/>
      <c r="B40" s="3"/>
      <c r="C40" s="6" t="s">
        <v>5</v>
      </c>
      <c r="D40" s="6" t="s">
        <v>8</v>
      </c>
      <c r="E40" s="23">
        <v>90000</v>
      </c>
      <c r="F40" s="23">
        <v>110000</v>
      </c>
      <c r="G40" s="23">
        <v>200000</v>
      </c>
      <c r="H40" s="24">
        <f t="shared" si="0"/>
        <v>400000</v>
      </c>
      <c r="I40" s="3"/>
      <c r="J40" s="3"/>
      <c r="K40" s="3"/>
      <c r="L40" s="3"/>
      <c r="M40" s="3"/>
      <c r="N40" s="3"/>
      <c r="O40" s="3"/>
      <c r="P40" s="3"/>
      <c r="Q40" s="3"/>
      <c r="R40" s="3"/>
      <c r="S40" s="3"/>
      <c r="T40" s="3"/>
      <c r="U40" s="3"/>
      <c r="V40" s="3"/>
      <c r="W40" s="3"/>
      <c r="X40" s="3"/>
      <c r="Y40" s="3"/>
      <c r="Z40" s="3"/>
    </row>
    <row r="41" spans="1:26" ht="15" customHeight="1" x14ac:dyDescent="0.25">
      <c r="A41" s="1"/>
      <c r="B41" s="3"/>
      <c r="C41" s="25" t="s">
        <v>5</v>
      </c>
      <c r="D41" s="25" t="s">
        <v>11</v>
      </c>
      <c r="E41" s="24">
        <v>75000</v>
      </c>
      <c r="F41" s="24">
        <v>82000</v>
      </c>
      <c r="G41" s="24">
        <v>150000</v>
      </c>
      <c r="H41" s="24">
        <f t="shared" si="0"/>
        <v>307000</v>
      </c>
      <c r="I41" s="3"/>
      <c r="J41" s="3"/>
      <c r="K41" s="3"/>
      <c r="L41" s="3"/>
      <c r="M41" s="3"/>
      <c r="N41" s="3"/>
      <c r="O41" s="3"/>
      <c r="P41" s="3"/>
      <c r="Q41" s="3"/>
      <c r="R41" s="3"/>
      <c r="S41" s="3"/>
      <c r="T41" s="3"/>
      <c r="U41" s="3"/>
      <c r="V41" s="3"/>
      <c r="W41" s="3"/>
      <c r="X41" s="3"/>
      <c r="Y41" s="3"/>
      <c r="Z41" s="3"/>
    </row>
    <row r="42" spans="1:26" ht="15" customHeight="1" x14ac:dyDescent="0.25">
      <c r="A42" s="1"/>
      <c r="B42" s="3"/>
      <c r="I42" s="3"/>
      <c r="J42" s="3"/>
      <c r="K42" s="3"/>
      <c r="L42" s="3"/>
      <c r="M42" s="3"/>
      <c r="N42" s="3"/>
      <c r="O42" s="3"/>
      <c r="P42" s="3"/>
      <c r="Q42" s="3"/>
      <c r="R42" s="3"/>
      <c r="S42" s="3"/>
      <c r="T42" s="3"/>
      <c r="U42" s="3"/>
      <c r="V42" s="3"/>
      <c r="W42" s="3"/>
      <c r="X42" s="3"/>
      <c r="Y42" s="3"/>
      <c r="Z42" s="3"/>
    </row>
    <row r="43" spans="1:26" ht="15" customHeight="1" x14ac:dyDescent="0.25">
      <c r="A43" s="1"/>
      <c r="B43" s="3"/>
      <c r="I43" s="3"/>
      <c r="J43" s="3"/>
      <c r="K43" s="3"/>
      <c r="L43" s="3"/>
      <c r="M43" s="3"/>
      <c r="N43" s="3"/>
      <c r="O43" s="3"/>
      <c r="P43" s="3"/>
      <c r="Q43" s="3"/>
      <c r="R43" s="3"/>
      <c r="S43" s="3"/>
      <c r="T43" s="3"/>
      <c r="U43" s="3"/>
      <c r="V43" s="3"/>
      <c r="W43" s="3"/>
      <c r="X43" s="3"/>
      <c r="Y43" s="3"/>
      <c r="Z43" s="3"/>
    </row>
    <row r="44" spans="1:26" ht="15" customHeight="1" x14ac:dyDescent="0.25">
      <c r="A44" s="1"/>
      <c r="B44" s="3"/>
      <c r="I44" s="3"/>
      <c r="J44" s="3"/>
      <c r="K44" s="3"/>
      <c r="L44" s="3"/>
      <c r="M44" s="3"/>
      <c r="N44" s="3"/>
      <c r="O44" s="3"/>
      <c r="P44" s="3"/>
      <c r="Q44" s="3"/>
      <c r="R44" s="3"/>
      <c r="S44" s="3"/>
      <c r="T44" s="3"/>
      <c r="U44" s="3"/>
      <c r="V44" s="3"/>
      <c r="W44" s="3"/>
      <c r="X44" s="3"/>
      <c r="Y44" s="3"/>
      <c r="Z44" s="3"/>
    </row>
    <row r="45" spans="1:26" ht="15" customHeight="1" x14ac:dyDescent="0.25">
      <c r="A45" s="1"/>
      <c r="B45" s="3"/>
      <c r="I45" s="3"/>
      <c r="J45" s="3"/>
      <c r="K45" s="3"/>
      <c r="L45" s="3"/>
      <c r="M45" s="3"/>
      <c r="N45" s="3"/>
      <c r="O45" s="3"/>
      <c r="P45" s="3"/>
      <c r="Q45" s="3"/>
      <c r="R45" s="3"/>
      <c r="S45" s="3"/>
      <c r="T45" s="3"/>
      <c r="U45" s="3"/>
      <c r="V45" s="3"/>
      <c r="W45" s="3"/>
      <c r="X45" s="3"/>
      <c r="Y45" s="3"/>
      <c r="Z45" s="3"/>
    </row>
    <row r="46" spans="1:26" ht="15" customHeight="1" x14ac:dyDescent="0.25">
      <c r="A46" s="1"/>
      <c r="B46" s="3"/>
      <c r="I46" s="3"/>
      <c r="J46" s="3"/>
      <c r="K46" s="3"/>
      <c r="L46" s="3"/>
      <c r="M46" s="3"/>
      <c r="N46" s="3"/>
      <c r="O46" s="3"/>
      <c r="P46" s="3"/>
      <c r="Q46" s="3"/>
      <c r="R46" s="3"/>
      <c r="S46" s="3"/>
      <c r="T46" s="3"/>
      <c r="U46" s="3"/>
      <c r="V46" s="3"/>
      <c r="W46" s="3"/>
      <c r="X46" s="3"/>
      <c r="Y46" s="3"/>
      <c r="Z46" s="3"/>
    </row>
    <row r="47" spans="1:26" ht="15" customHeight="1" x14ac:dyDescent="0.25">
      <c r="A47" s="1" t="s">
        <v>244</v>
      </c>
      <c r="B47" s="3"/>
      <c r="I47" s="3"/>
      <c r="J47" s="3"/>
      <c r="K47" s="3"/>
      <c r="L47" s="3"/>
      <c r="M47" s="3"/>
      <c r="N47" s="3"/>
      <c r="O47" s="3"/>
      <c r="P47" s="3"/>
      <c r="Q47" s="3"/>
      <c r="R47" s="3"/>
      <c r="S47" s="3"/>
      <c r="T47" s="3"/>
      <c r="U47" s="3"/>
      <c r="V47" s="3"/>
      <c r="W47" s="3"/>
      <c r="X47" s="3"/>
      <c r="Y47" s="3"/>
      <c r="Z47" s="3"/>
    </row>
    <row r="48" spans="1:26" ht="15" customHeight="1" x14ac:dyDescent="0.25">
      <c r="A48" s="1" t="s">
        <v>245</v>
      </c>
      <c r="B48" s="3"/>
      <c r="I48" s="3"/>
      <c r="J48" s="3"/>
      <c r="K48" s="3"/>
      <c r="L48" s="3"/>
      <c r="M48" s="3"/>
      <c r="N48" s="3"/>
      <c r="O48" s="3"/>
      <c r="P48" s="3"/>
      <c r="Q48" s="3"/>
      <c r="R48" s="3"/>
      <c r="S48" s="3"/>
      <c r="T48" s="3"/>
      <c r="U48" s="3"/>
      <c r="V48" s="3"/>
      <c r="W48" s="3"/>
      <c r="X48" s="3"/>
      <c r="Y48" s="3"/>
      <c r="Z48" s="3"/>
    </row>
    <row r="49" spans="1:26" ht="15" customHeight="1" x14ac:dyDescent="0.25">
      <c r="A49" s="1" t="s">
        <v>246</v>
      </c>
      <c r="B49" s="3"/>
      <c r="I49" s="3"/>
      <c r="J49" s="3"/>
      <c r="K49" s="3"/>
      <c r="L49" s="3"/>
      <c r="M49" s="3"/>
      <c r="N49" s="3"/>
      <c r="O49" s="3"/>
      <c r="P49" s="3"/>
      <c r="Q49" s="3"/>
      <c r="R49" s="3"/>
      <c r="S49" s="3"/>
      <c r="T49" s="3"/>
      <c r="U49" s="3"/>
      <c r="V49" s="3"/>
      <c r="W49" s="3"/>
      <c r="X49" s="3"/>
      <c r="Y49" s="3"/>
      <c r="Z49" s="3"/>
    </row>
    <row r="50" spans="1:26" ht="15" customHeight="1" x14ac:dyDescent="0.25">
      <c r="A50" s="1" t="s">
        <v>247</v>
      </c>
      <c r="B50" s="3"/>
      <c r="I50" s="3"/>
      <c r="J50" s="3"/>
      <c r="K50" s="3"/>
      <c r="L50" s="3"/>
      <c r="M50" s="3"/>
      <c r="N50" s="3"/>
      <c r="O50" s="3"/>
      <c r="P50" s="3"/>
      <c r="Q50" s="3"/>
      <c r="R50" s="3"/>
      <c r="S50" s="3"/>
      <c r="T50" s="3"/>
      <c r="U50" s="3"/>
      <c r="V50" s="3"/>
      <c r="W50" s="3"/>
      <c r="X50" s="3"/>
      <c r="Y50" s="3"/>
      <c r="Z50" s="3"/>
    </row>
    <row r="51" spans="1:26" ht="15" customHeight="1" x14ac:dyDescent="0.25">
      <c r="A51" s="1" t="s">
        <v>248</v>
      </c>
      <c r="B51" s="3"/>
      <c r="I51" s="3"/>
      <c r="J51" s="3"/>
      <c r="K51" s="3"/>
      <c r="L51" s="3"/>
      <c r="M51" s="3"/>
      <c r="N51" s="3"/>
      <c r="O51" s="3"/>
      <c r="P51" s="3"/>
      <c r="Q51" s="3"/>
      <c r="R51" s="3"/>
      <c r="S51" s="3"/>
      <c r="T51" s="3"/>
      <c r="U51" s="3"/>
      <c r="V51" s="3"/>
      <c r="W51" s="3"/>
      <c r="X51" s="3"/>
      <c r="Y51" s="3"/>
      <c r="Z51" s="3"/>
    </row>
    <row r="52" spans="1:26" ht="15" customHeight="1" x14ac:dyDescent="0.25">
      <c r="A52" s="1" t="s">
        <v>249</v>
      </c>
      <c r="B52" s="3"/>
      <c r="I52" s="3"/>
      <c r="J52" s="3"/>
      <c r="K52" s="3"/>
      <c r="L52" s="3"/>
      <c r="M52" s="3"/>
      <c r="N52" s="3"/>
      <c r="O52" s="3"/>
      <c r="P52" s="3"/>
      <c r="Q52" s="3"/>
      <c r="R52" s="3"/>
      <c r="S52" s="3"/>
      <c r="T52" s="3"/>
      <c r="U52" s="3"/>
      <c r="V52" s="3"/>
      <c r="W52" s="3"/>
      <c r="X52" s="3"/>
      <c r="Y52" s="3"/>
      <c r="Z52" s="3"/>
    </row>
    <row r="53" spans="1:26" ht="15" customHeight="1" x14ac:dyDescent="0.25">
      <c r="A53" s="1" t="s">
        <v>250</v>
      </c>
      <c r="B53" s="3"/>
      <c r="C53" s="5" t="s">
        <v>189</v>
      </c>
      <c r="D53" s="5" t="s">
        <v>86</v>
      </c>
      <c r="E53" s="5" t="s">
        <v>251</v>
      </c>
      <c r="I53" s="3"/>
      <c r="J53" s="3"/>
      <c r="K53" s="3"/>
      <c r="L53" s="3"/>
      <c r="M53" s="3"/>
      <c r="N53" s="3"/>
      <c r="O53" s="3"/>
      <c r="P53" s="3"/>
      <c r="Q53" s="3"/>
      <c r="R53" s="3"/>
      <c r="S53" s="3"/>
      <c r="T53" s="3"/>
      <c r="U53" s="3"/>
      <c r="V53" s="3"/>
      <c r="W53" s="3"/>
      <c r="X53" s="3"/>
      <c r="Y53" s="3"/>
      <c r="Z53" s="3"/>
    </row>
    <row r="54" spans="1:26" ht="15" customHeight="1" x14ac:dyDescent="0.25">
      <c r="A54" s="1" t="s">
        <v>252</v>
      </c>
      <c r="B54" s="3"/>
      <c r="C54" s="6" t="s">
        <v>89</v>
      </c>
      <c r="D54" s="6" t="s">
        <v>197</v>
      </c>
      <c r="E54" s="24">
        <v>1000</v>
      </c>
      <c r="I54" s="3"/>
      <c r="J54" s="3"/>
      <c r="K54" s="3"/>
      <c r="L54" s="3"/>
      <c r="M54" s="3"/>
      <c r="N54" s="3"/>
      <c r="O54" s="3"/>
      <c r="P54" s="3"/>
      <c r="Q54" s="3"/>
      <c r="R54" s="3"/>
      <c r="S54" s="3"/>
      <c r="T54" s="3"/>
      <c r="U54" s="3"/>
      <c r="V54" s="3"/>
      <c r="W54" s="3"/>
      <c r="X54" s="3"/>
      <c r="Y54" s="3"/>
      <c r="Z54" s="3"/>
    </row>
    <row r="55" spans="1:26" ht="15" customHeight="1" x14ac:dyDescent="0.25">
      <c r="A55" s="1" t="s">
        <v>253</v>
      </c>
      <c r="B55" s="3"/>
      <c r="C55" s="25" t="s">
        <v>89</v>
      </c>
      <c r="D55" s="25" t="s">
        <v>3</v>
      </c>
      <c r="E55" s="24">
        <v>2000</v>
      </c>
      <c r="I55" s="3"/>
      <c r="J55" s="3"/>
      <c r="K55" s="3"/>
      <c r="L55" s="3"/>
      <c r="M55" s="3"/>
      <c r="N55" s="3"/>
      <c r="O55" s="3"/>
      <c r="P55" s="3"/>
      <c r="Q55" s="3"/>
      <c r="R55" s="3"/>
      <c r="S55" s="3"/>
      <c r="T55" s="3"/>
      <c r="U55" s="3"/>
      <c r="V55" s="3"/>
      <c r="W55" s="3"/>
      <c r="X55" s="3"/>
      <c r="Y55" s="3"/>
      <c r="Z55" s="3"/>
    </row>
    <row r="56" spans="1:26" ht="15" customHeight="1" x14ac:dyDescent="0.25">
      <c r="A56" s="1" t="s">
        <v>254</v>
      </c>
      <c r="B56" s="3"/>
      <c r="C56" s="6" t="s">
        <v>195</v>
      </c>
      <c r="D56" s="6" t="s">
        <v>200</v>
      </c>
      <c r="E56" s="24">
        <v>3000</v>
      </c>
      <c r="I56" s="3"/>
      <c r="J56" s="3"/>
      <c r="K56" s="3"/>
      <c r="L56" s="3"/>
      <c r="M56" s="3"/>
      <c r="N56" s="3"/>
      <c r="O56" s="3"/>
      <c r="P56" s="3"/>
      <c r="Q56" s="3"/>
      <c r="R56" s="3"/>
      <c r="S56" s="3"/>
      <c r="T56" s="3"/>
      <c r="U56" s="3"/>
      <c r="V56" s="3"/>
      <c r="W56" s="3"/>
      <c r="X56" s="3"/>
      <c r="Y56" s="3"/>
      <c r="Z56" s="3"/>
    </row>
    <row r="57" spans="1:26" ht="15" customHeight="1" x14ac:dyDescent="0.25">
      <c r="A57" s="1" t="s">
        <v>180</v>
      </c>
      <c r="B57" s="3"/>
      <c r="C57" s="25" t="s">
        <v>195</v>
      </c>
      <c r="D57" s="25" t="s">
        <v>196</v>
      </c>
      <c r="E57" s="24">
        <v>1000</v>
      </c>
      <c r="I57" s="3"/>
      <c r="J57" s="3"/>
      <c r="K57" s="3"/>
      <c r="L57" s="3"/>
      <c r="M57" s="3"/>
      <c r="N57" s="3"/>
      <c r="O57" s="3"/>
      <c r="P57" s="3"/>
      <c r="Q57" s="3"/>
      <c r="R57" s="3"/>
      <c r="S57" s="3"/>
      <c r="T57" s="3"/>
      <c r="U57" s="3"/>
      <c r="V57" s="3"/>
      <c r="W57" s="3"/>
      <c r="X57" s="3"/>
      <c r="Y57" s="3"/>
      <c r="Z57" s="3"/>
    </row>
    <row r="58" spans="1:26" ht="15" customHeight="1" x14ac:dyDescent="0.25">
      <c r="A58" s="1"/>
      <c r="B58" s="3"/>
      <c r="C58" s="6" t="s">
        <v>198</v>
      </c>
      <c r="D58" s="6" t="s">
        <v>201</v>
      </c>
      <c r="E58" s="24">
        <v>2000</v>
      </c>
      <c r="I58" s="3"/>
      <c r="J58" s="3"/>
      <c r="K58" s="3"/>
      <c r="L58" s="3"/>
      <c r="M58" s="3"/>
      <c r="N58" s="3"/>
      <c r="O58" s="3"/>
      <c r="P58" s="3"/>
      <c r="Q58" s="3"/>
      <c r="R58" s="3"/>
      <c r="S58" s="3"/>
      <c r="T58" s="3"/>
      <c r="U58" s="3"/>
      <c r="V58" s="3"/>
      <c r="W58" s="3"/>
      <c r="X58" s="3"/>
      <c r="Y58" s="3"/>
      <c r="Z58" s="3"/>
    </row>
    <row r="59" spans="1:26" ht="15" customHeight="1" x14ac:dyDescent="0.25">
      <c r="A59" s="1"/>
      <c r="B59" s="3"/>
      <c r="C59" s="25" t="s">
        <v>198</v>
      </c>
      <c r="D59" s="25" t="s">
        <v>199</v>
      </c>
      <c r="E59" s="24">
        <v>3000</v>
      </c>
      <c r="F59" s="3"/>
      <c r="G59" s="3"/>
      <c r="H59" s="3"/>
      <c r="I59" s="3"/>
      <c r="J59" s="3"/>
      <c r="K59" s="3"/>
      <c r="L59" s="3"/>
      <c r="M59" s="3"/>
      <c r="N59" s="3"/>
      <c r="O59" s="3"/>
      <c r="P59" s="3"/>
      <c r="Q59" s="3"/>
      <c r="R59" s="3"/>
      <c r="S59" s="3"/>
      <c r="T59" s="3"/>
      <c r="U59" s="3"/>
      <c r="V59" s="3"/>
      <c r="W59" s="3"/>
      <c r="X59" s="3"/>
      <c r="Y59" s="3"/>
      <c r="Z59" s="3"/>
    </row>
    <row r="60" spans="1:26" ht="15" customHeight="1" x14ac:dyDescent="0.25">
      <c r="A60" s="1"/>
      <c r="B60" s="3"/>
      <c r="C60" s="6" t="s">
        <v>5</v>
      </c>
      <c r="D60" s="6" t="s">
        <v>8</v>
      </c>
      <c r="E60" s="24">
        <v>4000</v>
      </c>
      <c r="F60" s="3"/>
      <c r="G60" s="3"/>
      <c r="H60" s="3"/>
      <c r="I60" s="3"/>
      <c r="J60" s="3"/>
      <c r="K60" s="3"/>
      <c r="L60" s="3"/>
      <c r="M60" s="3"/>
      <c r="N60" s="3"/>
      <c r="O60" s="3"/>
      <c r="P60" s="3"/>
      <c r="Q60" s="3"/>
      <c r="R60" s="3"/>
      <c r="S60" s="3"/>
      <c r="T60" s="3"/>
      <c r="U60" s="3"/>
      <c r="V60" s="3"/>
      <c r="W60" s="3"/>
      <c r="X60" s="3"/>
      <c r="Y60" s="3"/>
      <c r="Z60" s="3"/>
    </row>
    <row r="61" spans="1:26" ht="15" customHeight="1" x14ac:dyDescent="0.25">
      <c r="A61" s="1"/>
      <c r="B61" s="3"/>
      <c r="C61" s="25" t="s">
        <v>5</v>
      </c>
      <c r="D61" s="25" t="s">
        <v>11</v>
      </c>
      <c r="E61" s="24">
        <v>8000</v>
      </c>
      <c r="F61" s="3"/>
      <c r="G61" s="3"/>
      <c r="H61" s="3"/>
      <c r="I61" s="3"/>
      <c r="J61" s="3"/>
      <c r="K61" s="3"/>
      <c r="L61" s="3"/>
      <c r="M61" s="3"/>
      <c r="N61" s="3"/>
      <c r="O61" s="3"/>
      <c r="P61" s="3"/>
      <c r="Q61" s="3"/>
      <c r="R61" s="3"/>
      <c r="S61" s="3"/>
      <c r="T61" s="3"/>
      <c r="U61" s="3"/>
      <c r="V61" s="3"/>
      <c r="W61" s="3"/>
      <c r="X61" s="3"/>
      <c r="Y61" s="3"/>
      <c r="Z61" s="3"/>
    </row>
    <row r="62" spans="1:26" ht="15.75" customHeight="1" x14ac:dyDescent="0.25">
      <c r="A62" s="1"/>
      <c r="B62" s="3"/>
      <c r="F62" s="3"/>
      <c r="G62" s="3"/>
      <c r="H62" s="3"/>
      <c r="I62" s="3"/>
      <c r="J62" s="3"/>
      <c r="K62" s="3"/>
      <c r="L62" s="3"/>
      <c r="M62" s="3"/>
      <c r="N62" s="3"/>
      <c r="O62" s="3"/>
      <c r="P62" s="3"/>
      <c r="Q62" s="3"/>
      <c r="R62" s="3"/>
      <c r="S62" s="3"/>
      <c r="T62" s="3"/>
      <c r="U62" s="3"/>
      <c r="V62" s="3"/>
      <c r="W62" s="3"/>
      <c r="X62" s="3"/>
      <c r="Y62" s="3"/>
      <c r="Z62" s="3"/>
    </row>
    <row r="63" spans="1:26" ht="15.75" customHeight="1" x14ac:dyDescent="0.25">
      <c r="A63" s="1"/>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x14ac:dyDescent="0.25">
      <c r="A64" s="1"/>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x14ac:dyDescent="0.25">
      <c r="A65" s="1"/>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x14ac:dyDescent="0.25">
      <c r="A66" s="1"/>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x14ac:dyDescent="0.25">
      <c r="A67" s="1"/>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x14ac:dyDescent="0.25">
      <c r="A68" s="1"/>
      <c r="B68" s="3"/>
      <c r="C68" s="3"/>
      <c r="D68" s="3"/>
      <c r="E68" s="3"/>
      <c r="F68" s="3"/>
      <c r="G68" s="3"/>
      <c r="H68" s="3"/>
      <c r="I68" s="3"/>
      <c r="J68" s="3"/>
      <c r="K68" s="3"/>
      <c r="L68" s="3"/>
      <c r="M68" s="3"/>
      <c r="N68" s="3"/>
      <c r="O68" s="3"/>
      <c r="P68" s="3"/>
      <c r="Q68" s="3"/>
      <c r="R68" s="3"/>
      <c r="S68" s="3"/>
      <c r="T68" s="3"/>
      <c r="U68" s="3"/>
      <c r="V68" s="3"/>
      <c r="W68" s="3"/>
      <c r="X68" s="3"/>
      <c r="Y68" s="3"/>
      <c r="Z68" s="3"/>
    </row>
    <row r="69" spans="1:26" ht="15" customHeight="1" x14ac:dyDescent="0.25">
      <c r="A69" s="1"/>
      <c r="C69" s="3"/>
      <c r="D69" s="3"/>
      <c r="E69" s="3"/>
      <c r="I69" s="3"/>
      <c r="J69" s="3"/>
      <c r="K69" s="3"/>
      <c r="L69" s="3"/>
      <c r="M69" s="3"/>
      <c r="N69" s="3"/>
      <c r="O69" s="3"/>
      <c r="P69" s="3"/>
      <c r="Q69" s="3"/>
      <c r="R69" s="3"/>
      <c r="S69" s="3"/>
      <c r="T69" s="3"/>
      <c r="U69" s="3"/>
      <c r="V69" s="3"/>
      <c r="W69" s="3"/>
      <c r="X69" s="3"/>
      <c r="Y69" s="3"/>
      <c r="Z69" s="3"/>
    </row>
    <row r="70" spans="1:26" ht="15" customHeight="1" x14ac:dyDescent="0.25">
      <c r="A70" s="1"/>
      <c r="I70" s="3"/>
      <c r="J70" s="3"/>
      <c r="K70" s="3"/>
      <c r="L70" s="3"/>
      <c r="M70" s="3"/>
      <c r="N70" s="3"/>
      <c r="O70" s="3"/>
      <c r="P70" s="3"/>
      <c r="Q70" s="3"/>
      <c r="R70" s="3"/>
      <c r="S70" s="3"/>
      <c r="T70" s="3"/>
      <c r="U70" s="3"/>
      <c r="V70" s="3"/>
      <c r="W70" s="3"/>
      <c r="X70" s="3"/>
      <c r="Y70" s="3"/>
      <c r="Z70" s="3"/>
    </row>
    <row r="71" spans="1:26" ht="15" customHeight="1" x14ac:dyDescent="0.25">
      <c r="A71" s="1"/>
      <c r="I71" s="3"/>
      <c r="J71" s="3"/>
      <c r="K71" s="3"/>
      <c r="L71" s="3"/>
      <c r="M71" s="3"/>
      <c r="N71" s="3"/>
      <c r="O71" s="3"/>
      <c r="P71" s="3"/>
      <c r="Q71" s="3"/>
      <c r="R71" s="3"/>
      <c r="S71" s="3"/>
      <c r="T71" s="3"/>
      <c r="U71" s="3"/>
      <c r="V71" s="3"/>
      <c r="W71" s="3"/>
      <c r="X71" s="3"/>
      <c r="Y71" s="3"/>
      <c r="Z71" s="3"/>
    </row>
    <row r="72" spans="1:26" ht="15" customHeight="1" x14ac:dyDescent="0.25">
      <c r="A72" s="1" t="s">
        <v>62</v>
      </c>
      <c r="I72" s="3"/>
      <c r="J72" s="3"/>
      <c r="K72" s="3"/>
      <c r="L72" s="3"/>
      <c r="M72" s="3"/>
      <c r="N72" s="3"/>
      <c r="O72" s="3"/>
      <c r="P72" s="3"/>
      <c r="Q72" s="3"/>
      <c r="R72" s="3"/>
      <c r="S72" s="3"/>
      <c r="T72" s="3"/>
      <c r="U72" s="3"/>
      <c r="V72" s="3"/>
      <c r="W72" s="3"/>
      <c r="X72" s="3"/>
      <c r="Y72" s="3"/>
      <c r="Z72" s="3"/>
    </row>
    <row r="73" spans="1:26" ht="15" customHeight="1" x14ac:dyDescent="0.25">
      <c r="A73" s="11" t="s">
        <v>255</v>
      </c>
      <c r="I73" s="3"/>
      <c r="J73" s="3"/>
      <c r="K73" s="3"/>
      <c r="L73" s="3"/>
      <c r="M73" s="3"/>
      <c r="N73" s="3"/>
      <c r="O73" s="3"/>
      <c r="P73" s="3"/>
      <c r="Q73" s="3"/>
      <c r="R73" s="3"/>
      <c r="S73" s="3"/>
      <c r="T73" s="3"/>
      <c r="U73" s="3"/>
      <c r="V73" s="3"/>
      <c r="W73" s="3"/>
      <c r="X73" s="3"/>
      <c r="Y73" s="3"/>
      <c r="Z73" s="3"/>
    </row>
    <row r="74" spans="1:26" ht="15" customHeight="1" x14ac:dyDescent="0.25">
      <c r="A74" s="11" t="s">
        <v>256</v>
      </c>
      <c r="I74" s="3"/>
      <c r="J74" s="3"/>
      <c r="K74" s="3"/>
      <c r="L74" s="3"/>
      <c r="M74" s="3"/>
      <c r="N74" s="3"/>
      <c r="O74" s="3"/>
      <c r="P74" s="3"/>
      <c r="Q74" s="3"/>
      <c r="R74" s="3"/>
      <c r="S74" s="3"/>
      <c r="T74" s="3"/>
      <c r="U74" s="3"/>
      <c r="V74" s="3"/>
      <c r="W74" s="3"/>
      <c r="X74" s="3"/>
      <c r="Y74" s="3"/>
      <c r="Z74" s="3"/>
    </row>
    <row r="75" spans="1:26" ht="15" customHeight="1" x14ac:dyDescent="0.25">
      <c r="A75" s="11" t="s">
        <v>257</v>
      </c>
      <c r="I75" s="3"/>
      <c r="J75" s="3"/>
      <c r="K75" s="3"/>
      <c r="L75" s="3"/>
      <c r="M75" s="3"/>
      <c r="N75" s="3"/>
      <c r="O75" s="3"/>
      <c r="P75" s="3"/>
      <c r="Q75" s="3"/>
      <c r="R75" s="3"/>
      <c r="S75" s="3"/>
      <c r="T75" s="3"/>
      <c r="U75" s="3"/>
      <c r="V75" s="3"/>
      <c r="W75" s="3"/>
      <c r="X75" s="3"/>
      <c r="Y75" s="3"/>
      <c r="Z75" s="3"/>
    </row>
    <row r="76" spans="1:26" ht="15" customHeight="1" x14ac:dyDescent="0.25">
      <c r="A76" s="1" t="s">
        <v>67</v>
      </c>
      <c r="B76" s="25" t="s">
        <v>258</v>
      </c>
      <c r="I76" s="3"/>
      <c r="J76" s="3"/>
      <c r="K76" s="3"/>
      <c r="L76" s="3"/>
      <c r="M76" s="3"/>
      <c r="N76" s="3"/>
      <c r="O76" s="3"/>
      <c r="P76" s="3"/>
      <c r="Q76" s="3"/>
      <c r="R76" s="3"/>
      <c r="S76" s="3"/>
      <c r="T76" s="3"/>
      <c r="U76" s="3"/>
      <c r="V76" s="3"/>
      <c r="W76" s="3"/>
      <c r="X76" s="3"/>
      <c r="Y76" s="3"/>
      <c r="Z76" s="3"/>
    </row>
    <row r="77" spans="1:26" ht="15.75" customHeight="1" x14ac:dyDescent="0.25">
      <c r="A77" s="1"/>
      <c r="B77" s="3"/>
      <c r="F77" s="3"/>
      <c r="G77" s="3"/>
      <c r="H77" s="3"/>
      <c r="I77" s="3"/>
      <c r="J77" s="3"/>
      <c r="K77" s="3"/>
      <c r="L77" s="3"/>
      <c r="M77" s="3"/>
      <c r="N77" s="3"/>
      <c r="O77" s="3"/>
      <c r="P77" s="3"/>
      <c r="Q77" s="3"/>
      <c r="R77" s="3"/>
      <c r="S77" s="3"/>
      <c r="T77" s="3"/>
      <c r="U77" s="3"/>
      <c r="V77" s="3"/>
      <c r="W77" s="3"/>
      <c r="X77" s="3"/>
      <c r="Y77" s="3"/>
      <c r="Z77" s="3"/>
    </row>
    <row r="78" spans="1:26" ht="15.75" customHeight="1" x14ac:dyDescent="0.25">
      <c r="A78" s="1"/>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x14ac:dyDescent="0.25">
      <c r="A79" s="1"/>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x14ac:dyDescent="0.25">
      <c r="A80" s="1"/>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x14ac:dyDescent="0.25">
      <c r="A81" s="1"/>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x14ac:dyDescent="0.25">
      <c r="A82" s="1"/>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x14ac:dyDescent="0.25">
      <c r="A83" s="1"/>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x14ac:dyDescent="0.25">
      <c r="A84" s="1"/>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x14ac:dyDescent="0.25">
      <c r="A85" s="1"/>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x14ac:dyDescent="0.25">
      <c r="A86" s="1"/>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x14ac:dyDescent="0.25">
      <c r="A87" s="1"/>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x14ac:dyDescent="0.25">
      <c r="A88" s="1"/>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x14ac:dyDescent="0.25">
      <c r="A89" s="1"/>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x14ac:dyDescent="0.25">
      <c r="A90" s="1"/>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x14ac:dyDescent="0.25">
      <c r="A91" s="1"/>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x14ac:dyDescent="0.25">
      <c r="A92" s="1"/>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x14ac:dyDescent="0.25">
      <c r="A93" s="1"/>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x14ac:dyDescent="0.25">
      <c r="A94" s="1"/>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x14ac:dyDescent="0.25">
      <c r="A95" s="1"/>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x14ac:dyDescent="0.25">
      <c r="A96" s="1"/>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x14ac:dyDescent="0.25">
      <c r="A97" s="1"/>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x14ac:dyDescent="0.25">
      <c r="A98" s="1"/>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x14ac:dyDescent="0.25">
      <c r="A99" s="1"/>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x14ac:dyDescent="0.25">
      <c r="A100" s="1"/>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x14ac:dyDescent="0.25">
      <c r="A101" s="1"/>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x14ac:dyDescent="0.25">
      <c r="A102" s="1"/>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x14ac:dyDescent="0.25">
      <c r="A103" s="1"/>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x14ac:dyDescent="0.25">
      <c r="A104" s="1"/>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x14ac:dyDescent="0.25">
      <c r="A105" s="1"/>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x14ac:dyDescent="0.25">
      <c r="A106" s="1"/>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x14ac:dyDescent="0.25">
      <c r="A107" s="1"/>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x14ac:dyDescent="0.25">
      <c r="A108" s="1"/>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x14ac:dyDescent="0.25">
      <c r="A109" s="1"/>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x14ac:dyDescent="0.25">
      <c r="A110" s="1"/>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x14ac:dyDescent="0.25">
      <c r="A111" s="1"/>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x14ac:dyDescent="0.25">
      <c r="A112" s="1"/>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x14ac:dyDescent="0.25">
      <c r="A113" s="1"/>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x14ac:dyDescent="0.25">
      <c r="A114" s="1"/>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x14ac:dyDescent="0.25">
      <c r="A115" s="1"/>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x14ac:dyDescent="0.25">
      <c r="A116" s="1"/>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x14ac:dyDescent="0.25">
      <c r="A117" s="1"/>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x14ac:dyDescent="0.25">
      <c r="A118" s="1"/>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x14ac:dyDescent="0.25">
      <c r="A119" s="1"/>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x14ac:dyDescent="0.25">
      <c r="A120" s="1"/>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x14ac:dyDescent="0.25">
      <c r="A121" s="1"/>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x14ac:dyDescent="0.25">
      <c r="A122" s="1"/>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x14ac:dyDescent="0.25">
      <c r="A123" s="1"/>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x14ac:dyDescent="0.25">
      <c r="A124" s="1"/>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x14ac:dyDescent="0.25">
      <c r="A125" s="1"/>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x14ac:dyDescent="0.25">
      <c r="A126" s="1"/>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x14ac:dyDescent="0.25">
      <c r="A127" s="1"/>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x14ac:dyDescent="0.25">
      <c r="A128" s="1"/>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x14ac:dyDescent="0.25">
      <c r="A129" s="1"/>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x14ac:dyDescent="0.25">
      <c r="A130" s="1"/>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x14ac:dyDescent="0.25">
      <c r="A131" s="1"/>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x14ac:dyDescent="0.25">
      <c r="A132" s="1"/>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x14ac:dyDescent="0.25">
      <c r="A133" s="1"/>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x14ac:dyDescent="0.25">
      <c r="A134" s="1"/>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x14ac:dyDescent="0.25">
      <c r="A135" s="1"/>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x14ac:dyDescent="0.25">
      <c r="A136" s="1"/>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x14ac:dyDescent="0.25">
      <c r="A137" s="1"/>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x14ac:dyDescent="0.25">
      <c r="A138" s="1"/>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x14ac:dyDescent="0.25">
      <c r="A139" s="1"/>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x14ac:dyDescent="0.25">
      <c r="A140" s="1"/>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x14ac:dyDescent="0.25">
      <c r="A141" s="1"/>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x14ac:dyDescent="0.25">
      <c r="A142" s="1"/>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x14ac:dyDescent="0.25">
      <c r="A143" s="1"/>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x14ac:dyDescent="0.25">
      <c r="A144" s="1"/>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x14ac:dyDescent="0.25">
      <c r="A145" s="1"/>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x14ac:dyDescent="0.25">
      <c r="A146" s="1"/>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x14ac:dyDescent="0.25">
      <c r="A147" s="1"/>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x14ac:dyDescent="0.25">
      <c r="A148" s="1"/>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x14ac:dyDescent="0.25">
      <c r="A149" s="1"/>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x14ac:dyDescent="0.25">
      <c r="A150" s="1"/>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x14ac:dyDescent="0.25">
      <c r="A151" s="1"/>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x14ac:dyDescent="0.25">
      <c r="A152" s="1"/>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x14ac:dyDescent="0.25">
      <c r="A153" s="1"/>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x14ac:dyDescent="0.25">
      <c r="A154" s="1"/>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x14ac:dyDescent="0.25">
      <c r="A155" s="1"/>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x14ac:dyDescent="0.25">
      <c r="A156" s="1"/>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x14ac:dyDescent="0.25">
      <c r="A157" s="1"/>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x14ac:dyDescent="0.25">
      <c r="A158" s="1"/>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x14ac:dyDescent="0.25">
      <c r="A159" s="1"/>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x14ac:dyDescent="0.25">
      <c r="A160" s="1"/>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x14ac:dyDescent="0.25">
      <c r="A161" s="1"/>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x14ac:dyDescent="0.25">
      <c r="A162" s="1"/>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x14ac:dyDescent="0.25">
      <c r="A163" s="1"/>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x14ac:dyDescent="0.25">
      <c r="A164" s="1"/>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x14ac:dyDescent="0.25">
      <c r="A165" s="1"/>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x14ac:dyDescent="0.25">
      <c r="A166" s="1"/>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x14ac:dyDescent="0.25">
      <c r="A167" s="1"/>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x14ac:dyDescent="0.25">
      <c r="A168" s="1"/>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x14ac:dyDescent="0.25">
      <c r="A169" s="1"/>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x14ac:dyDescent="0.25">
      <c r="A170" s="1"/>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x14ac:dyDescent="0.25">
      <c r="A171" s="1"/>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x14ac:dyDescent="0.25">
      <c r="A172" s="1"/>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x14ac:dyDescent="0.25">
      <c r="A173" s="1"/>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x14ac:dyDescent="0.25">
      <c r="A174" s="1"/>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x14ac:dyDescent="0.25">
      <c r="A175" s="1"/>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x14ac:dyDescent="0.25">
      <c r="A176" s="1"/>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x14ac:dyDescent="0.25">
      <c r="A177" s="1"/>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x14ac:dyDescent="0.25">
      <c r="A178" s="1"/>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x14ac:dyDescent="0.25">
      <c r="A179" s="1"/>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x14ac:dyDescent="0.25">
      <c r="A180" s="1"/>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x14ac:dyDescent="0.25">
      <c r="A181" s="1"/>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x14ac:dyDescent="0.25">
      <c r="A182" s="1"/>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x14ac:dyDescent="0.25">
      <c r="A183" s="1"/>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x14ac:dyDescent="0.25">
      <c r="A184" s="1"/>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x14ac:dyDescent="0.25">
      <c r="A185" s="1"/>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x14ac:dyDescent="0.25">
      <c r="A186" s="1"/>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x14ac:dyDescent="0.25">
      <c r="A187" s="1"/>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x14ac:dyDescent="0.25">
      <c r="A188" s="1"/>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x14ac:dyDescent="0.25">
      <c r="A189" s="1"/>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x14ac:dyDescent="0.25">
      <c r="A190" s="1"/>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x14ac:dyDescent="0.25">
      <c r="A191" s="1"/>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x14ac:dyDescent="0.25">
      <c r="A192" s="1"/>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x14ac:dyDescent="0.25">
      <c r="A193" s="1"/>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x14ac:dyDescent="0.25">
      <c r="A194" s="1"/>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x14ac:dyDescent="0.25">
      <c r="A195" s="1"/>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x14ac:dyDescent="0.25">
      <c r="A196" s="1"/>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x14ac:dyDescent="0.25">
      <c r="A197" s="1"/>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x14ac:dyDescent="0.25">
      <c r="A198" s="1"/>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x14ac:dyDescent="0.25">
      <c r="A199" s="1"/>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x14ac:dyDescent="0.25">
      <c r="A200" s="1"/>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x14ac:dyDescent="0.25">
      <c r="A201" s="1"/>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x14ac:dyDescent="0.25">
      <c r="A202" s="1"/>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x14ac:dyDescent="0.25">
      <c r="A203" s="1"/>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x14ac:dyDescent="0.25">
      <c r="A204" s="1"/>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x14ac:dyDescent="0.25">
      <c r="A205" s="1"/>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x14ac:dyDescent="0.25">
      <c r="A206" s="1"/>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x14ac:dyDescent="0.25">
      <c r="A207" s="1"/>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x14ac:dyDescent="0.25">
      <c r="A208" s="1"/>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x14ac:dyDescent="0.25">
      <c r="A209" s="1"/>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x14ac:dyDescent="0.25">
      <c r="A210" s="1"/>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x14ac:dyDescent="0.25">
      <c r="A211" s="1"/>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x14ac:dyDescent="0.25">
      <c r="A212" s="1"/>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x14ac:dyDescent="0.25">
      <c r="A213" s="1"/>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x14ac:dyDescent="0.25">
      <c r="A214" s="1"/>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x14ac:dyDescent="0.25">
      <c r="A215" s="1"/>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x14ac:dyDescent="0.25">
      <c r="A216" s="1"/>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x14ac:dyDescent="0.25">
      <c r="A217" s="1"/>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x14ac:dyDescent="0.25">
      <c r="A218" s="1"/>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x14ac:dyDescent="0.25">
      <c r="A219" s="1"/>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x14ac:dyDescent="0.25">
      <c r="A220" s="1"/>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x14ac:dyDescent="0.25">
      <c r="A221" s="1"/>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x14ac:dyDescent="0.25">
      <c r="A222" s="1"/>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x14ac:dyDescent="0.25">
      <c r="A223" s="1"/>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x14ac:dyDescent="0.25">
      <c r="A224" s="1"/>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x14ac:dyDescent="0.25">
      <c r="A225" s="1"/>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x14ac:dyDescent="0.25">
      <c r="A226" s="1"/>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x14ac:dyDescent="0.25">
      <c r="A227" s="1"/>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x14ac:dyDescent="0.25">
      <c r="A228" s="1"/>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x14ac:dyDescent="0.25">
      <c r="A229" s="1"/>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x14ac:dyDescent="0.25">
      <c r="A230" s="1"/>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x14ac:dyDescent="0.25">
      <c r="A231" s="1"/>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x14ac:dyDescent="0.25">
      <c r="A232" s="1"/>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x14ac:dyDescent="0.25">
      <c r="A233" s="1"/>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x14ac:dyDescent="0.25">
      <c r="A234" s="1"/>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x14ac:dyDescent="0.25">
      <c r="A235" s="1"/>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x14ac:dyDescent="0.25">
      <c r="A236" s="1"/>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x14ac:dyDescent="0.25">
      <c r="A237" s="1"/>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x14ac:dyDescent="0.25">
      <c r="A238" s="1"/>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x14ac:dyDescent="0.25">
      <c r="A239" s="1"/>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x14ac:dyDescent="0.25">
      <c r="A240" s="1"/>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x14ac:dyDescent="0.25">
      <c r="A241" s="1"/>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x14ac:dyDescent="0.25">
      <c r="A242" s="1"/>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x14ac:dyDescent="0.25">
      <c r="A243" s="1"/>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x14ac:dyDescent="0.25">
      <c r="A244" s="1"/>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x14ac:dyDescent="0.25">
      <c r="A245" s="1"/>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x14ac:dyDescent="0.25">
      <c r="A246" s="1"/>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x14ac:dyDescent="0.25">
      <c r="A247" s="1"/>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x14ac:dyDescent="0.25">
      <c r="A248" s="1"/>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x14ac:dyDescent="0.25">
      <c r="A249" s="1"/>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x14ac:dyDescent="0.25">
      <c r="A250" s="1"/>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x14ac:dyDescent="0.25">
      <c r="A251" s="1"/>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x14ac:dyDescent="0.25">
      <c r="A252" s="1"/>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x14ac:dyDescent="0.25">
      <c r="A253" s="1"/>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x14ac:dyDescent="0.25">
      <c r="A254" s="1"/>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x14ac:dyDescent="0.25">
      <c r="A255" s="1"/>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x14ac:dyDescent="0.25">
      <c r="A256" s="1"/>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x14ac:dyDescent="0.25">
      <c r="A257" s="1"/>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x14ac:dyDescent="0.25">
      <c r="A258" s="1"/>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x14ac:dyDescent="0.25">
      <c r="A259" s="1"/>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x14ac:dyDescent="0.25">
      <c r="A260" s="1"/>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x14ac:dyDescent="0.25">
      <c r="A261" s="1"/>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x14ac:dyDescent="0.25">
      <c r="A262" s="1"/>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x14ac:dyDescent="0.25">
      <c r="A263" s="1"/>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x14ac:dyDescent="0.25">
      <c r="A264" s="1"/>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x14ac:dyDescent="0.25">
      <c r="A265" s="1"/>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x14ac:dyDescent="0.25">
      <c r="A266" s="1"/>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x14ac:dyDescent="0.25">
      <c r="A267" s="1"/>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x14ac:dyDescent="0.25">
      <c r="A268" s="1"/>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x14ac:dyDescent="0.25">
      <c r="A269" s="1"/>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x14ac:dyDescent="0.25">
      <c r="A270" s="1"/>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x14ac:dyDescent="0.25">
      <c r="A271" s="1"/>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x14ac:dyDescent="0.25">
      <c r="A272" s="1"/>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x14ac:dyDescent="0.25">
      <c r="A273" s="1"/>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x14ac:dyDescent="0.25">
      <c r="A274" s="1"/>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x14ac:dyDescent="0.25">
      <c r="A275" s="1"/>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x14ac:dyDescent="0.25">
      <c r="A276" s="1"/>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x14ac:dyDescent="0.25">
      <c r="A277" s="1"/>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x14ac:dyDescent="0.25">
      <c r="A278" s="1"/>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x14ac:dyDescent="0.25">
      <c r="A279" s="1"/>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x14ac:dyDescent="0.25">
      <c r="A280" s="1"/>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x14ac:dyDescent="0.25">
      <c r="A281" s="1"/>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x14ac:dyDescent="0.25">
      <c r="A282" s="1"/>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x14ac:dyDescent="0.25">
      <c r="A283" s="1"/>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x14ac:dyDescent="0.25">
      <c r="A284" s="1"/>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x14ac:dyDescent="0.25">
      <c r="A285" s="1"/>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x14ac:dyDescent="0.25">
      <c r="A286" s="1"/>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x14ac:dyDescent="0.25">
      <c r="A287" s="1"/>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x14ac:dyDescent="0.25">
      <c r="A288" s="1"/>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x14ac:dyDescent="0.25">
      <c r="A289" s="1"/>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x14ac:dyDescent="0.25">
      <c r="A290" s="1"/>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x14ac:dyDescent="0.25">
      <c r="A291" s="1"/>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x14ac:dyDescent="0.25">
      <c r="A292" s="1"/>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x14ac:dyDescent="0.25">
      <c r="A293" s="1"/>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x14ac:dyDescent="0.25">
      <c r="A294" s="1"/>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x14ac:dyDescent="0.25">
      <c r="A295" s="1"/>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x14ac:dyDescent="0.25">
      <c r="A296" s="1"/>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x14ac:dyDescent="0.25">
      <c r="A297" s="1"/>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x14ac:dyDescent="0.25">
      <c r="A298" s="1"/>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x14ac:dyDescent="0.25">
      <c r="A299" s="1"/>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x14ac:dyDescent="0.25">
      <c r="A300" s="1"/>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x14ac:dyDescent="0.25">
      <c r="A301" s="1"/>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x14ac:dyDescent="0.25">
      <c r="A302" s="1"/>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x14ac:dyDescent="0.25">
      <c r="A303" s="1"/>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x14ac:dyDescent="0.25">
      <c r="A304" s="1"/>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x14ac:dyDescent="0.25">
      <c r="A305" s="1"/>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x14ac:dyDescent="0.25">
      <c r="A306" s="1"/>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x14ac:dyDescent="0.25">
      <c r="A307" s="1"/>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x14ac:dyDescent="0.25">
      <c r="A308" s="1"/>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x14ac:dyDescent="0.25">
      <c r="A309" s="1"/>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x14ac:dyDescent="0.25">
      <c r="A310" s="1"/>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x14ac:dyDescent="0.25">
      <c r="A311" s="1"/>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x14ac:dyDescent="0.25">
      <c r="A312" s="1"/>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x14ac:dyDescent="0.25">
      <c r="A313" s="1"/>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x14ac:dyDescent="0.25">
      <c r="A314" s="1"/>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x14ac:dyDescent="0.25">
      <c r="A315" s="1"/>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x14ac:dyDescent="0.25">
      <c r="A316" s="1"/>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x14ac:dyDescent="0.25">
      <c r="A317" s="1"/>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x14ac:dyDescent="0.25">
      <c r="A318" s="1"/>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x14ac:dyDescent="0.25">
      <c r="A319" s="1"/>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x14ac:dyDescent="0.25">
      <c r="A320" s="1"/>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x14ac:dyDescent="0.25">
      <c r="A321" s="1"/>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x14ac:dyDescent="0.25">
      <c r="A322" s="1"/>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x14ac:dyDescent="0.25">
      <c r="A323" s="1"/>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x14ac:dyDescent="0.25">
      <c r="A324" s="1"/>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x14ac:dyDescent="0.25">
      <c r="A325" s="1"/>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x14ac:dyDescent="0.25">
      <c r="A326" s="1"/>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x14ac:dyDescent="0.25">
      <c r="A327" s="1"/>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x14ac:dyDescent="0.25">
      <c r="A328" s="1"/>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x14ac:dyDescent="0.25">
      <c r="A329" s="1"/>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x14ac:dyDescent="0.25">
      <c r="A330" s="1"/>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x14ac:dyDescent="0.25">
      <c r="A331" s="1"/>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x14ac:dyDescent="0.25">
      <c r="A332" s="1"/>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x14ac:dyDescent="0.25">
      <c r="A333" s="1"/>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x14ac:dyDescent="0.25">
      <c r="A334" s="1"/>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x14ac:dyDescent="0.25">
      <c r="A335" s="1"/>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x14ac:dyDescent="0.25">
      <c r="A336" s="1"/>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x14ac:dyDescent="0.25">
      <c r="A337" s="1"/>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x14ac:dyDescent="0.25">
      <c r="A338" s="1"/>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x14ac:dyDescent="0.25">
      <c r="A339" s="1"/>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x14ac:dyDescent="0.25">
      <c r="A340" s="1"/>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x14ac:dyDescent="0.25">
      <c r="A341" s="1"/>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x14ac:dyDescent="0.25">
      <c r="A342" s="1"/>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x14ac:dyDescent="0.25">
      <c r="A343" s="1"/>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x14ac:dyDescent="0.25">
      <c r="A344" s="1"/>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x14ac:dyDescent="0.25">
      <c r="A345" s="1"/>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x14ac:dyDescent="0.25">
      <c r="A346" s="1"/>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x14ac:dyDescent="0.25">
      <c r="A347" s="1"/>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x14ac:dyDescent="0.25">
      <c r="A348" s="1"/>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x14ac:dyDescent="0.25">
      <c r="A349" s="1"/>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x14ac:dyDescent="0.25">
      <c r="A350" s="1"/>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x14ac:dyDescent="0.25">
      <c r="A351" s="1"/>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x14ac:dyDescent="0.25">
      <c r="A352" s="1"/>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x14ac:dyDescent="0.25">
      <c r="A353" s="1"/>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x14ac:dyDescent="0.25">
      <c r="A354" s="1"/>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x14ac:dyDescent="0.25">
      <c r="A355" s="1"/>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x14ac:dyDescent="0.25">
      <c r="A356" s="1"/>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x14ac:dyDescent="0.25">
      <c r="A357" s="1"/>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x14ac:dyDescent="0.25">
      <c r="A358" s="1"/>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x14ac:dyDescent="0.25">
      <c r="A359" s="1"/>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x14ac:dyDescent="0.25">
      <c r="A360" s="1"/>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x14ac:dyDescent="0.25">
      <c r="A361" s="1"/>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x14ac:dyDescent="0.25">
      <c r="A362" s="1"/>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x14ac:dyDescent="0.25">
      <c r="A363" s="1"/>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x14ac:dyDescent="0.25">
      <c r="A364" s="1"/>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x14ac:dyDescent="0.25">
      <c r="A365" s="1"/>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x14ac:dyDescent="0.25">
      <c r="A366" s="1"/>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x14ac:dyDescent="0.25">
      <c r="A367" s="1"/>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x14ac:dyDescent="0.25">
      <c r="A368" s="1"/>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x14ac:dyDescent="0.25">
      <c r="A369" s="1"/>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x14ac:dyDescent="0.25">
      <c r="A370" s="1"/>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x14ac:dyDescent="0.25">
      <c r="A371" s="1"/>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x14ac:dyDescent="0.25">
      <c r="A372" s="1"/>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x14ac:dyDescent="0.25">
      <c r="A373" s="1"/>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x14ac:dyDescent="0.25">
      <c r="A374" s="1"/>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x14ac:dyDescent="0.25">
      <c r="A375" s="1"/>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x14ac:dyDescent="0.25">
      <c r="A376" s="1"/>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x14ac:dyDescent="0.25">
      <c r="A377" s="1"/>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x14ac:dyDescent="0.25">
      <c r="A378" s="1"/>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x14ac:dyDescent="0.25">
      <c r="A379" s="1"/>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x14ac:dyDescent="0.25">
      <c r="A380" s="1"/>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x14ac:dyDescent="0.25">
      <c r="A381" s="1"/>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x14ac:dyDescent="0.25">
      <c r="A382" s="1"/>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x14ac:dyDescent="0.25">
      <c r="A383" s="1"/>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x14ac:dyDescent="0.25">
      <c r="A384" s="1"/>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x14ac:dyDescent="0.25">
      <c r="A385" s="1"/>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x14ac:dyDescent="0.25">
      <c r="A386" s="1"/>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x14ac:dyDescent="0.25">
      <c r="A387" s="1"/>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x14ac:dyDescent="0.25">
      <c r="A388" s="1"/>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x14ac:dyDescent="0.25">
      <c r="A389" s="1"/>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x14ac:dyDescent="0.25">
      <c r="A390" s="1"/>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x14ac:dyDescent="0.25">
      <c r="A391" s="1"/>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x14ac:dyDescent="0.25">
      <c r="A392" s="1"/>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x14ac:dyDescent="0.25">
      <c r="A393" s="1"/>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x14ac:dyDescent="0.25">
      <c r="A394" s="1"/>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x14ac:dyDescent="0.25">
      <c r="A395" s="1"/>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x14ac:dyDescent="0.25">
      <c r="A396" s="1"/>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x14ac:dyDescent="0.25">
      <c r="A397" s="1"/>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x14ac:dyDescent="0.25">
      <c r="A398" s="1"/>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x14ac:dyDescent="0.25">
      <c r="A399" s="1"/>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x14ac:dyDescent="0.25">
      <c r="A400" s="1"/>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x14ac:dyDescent="0.25">
      <c r="A401" s="1"/>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x14ac:dyDescent="0.25">
      <c r="A402" s="1"/>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x14ac:dyDescent="0.25">
      <c r="A403" s="1"/>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x14ac:dyDescent="0.25">
      <c r="A404" s="1"/>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x14ac:dyDescent="0.25">
      <c r="A405" s="1"/>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x14ac:dyDescent="0.25">
      <c r="A406" s="1"/>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x14ac:dyDescent="0.25">
      <c r="A407" s="1"/>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x14ac:dyDescent="0.25">
      <c r="A408" s="1"/>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x14ac:dyDescent="0.25">
      <c r="A409" s="1"/>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x14ac:dyDescent="0.25">
      <c r="A410" s="1"/>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x14ac:dyDescent="0.25">
      <c r="A411" s="1"/>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x14ac:dyDescent="0.25">
      <c r="A412" s="1"/>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x14ac:dyDescent="0.25">
      <c r="A413" s="1"/>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x14ac:dyDescent="0.25">
      <c r="A414" s="1"/>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x14ac:dyDescent="0.25">
      <c r="A415" s="1"/>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x14ac:dyDescent="0.25">
      <c r="A416" s="1"/>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x14ac:dyDescent="0.25">
      <c r="A417" s="1"/>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x14ac:dyDescent="0.25">
      <c r="A418" s="1"/>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x14ac:dyDescent="0.25">
      <c r="A419" s="1"/>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x14ac:dyDescent="0.25">
      <c r="A420" s="1"/>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x14ac:dyDescent="0.25">
      <c r="A421" s="1"/>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x14ac:dyDescent="0.25">
      <c r="A422" s="1"/>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x14ac:dyDescent="0.25">
      <c r="A423" s="1"/>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x14ac:dyDescent="0.25">
      <c r="A424" s="1"/>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x14ac:dyDescent="0.25">
      <c r="A425" s="1"/>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x14ac:dyDescent="0.25">
      <c r="A426" s="1"/>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x14ac:dyDescent="0.25">
      <c r="A427" s="1"/>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x14ac:dyDescent="0.25">
      <c r="A428" s="1"/>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x14ac:dyDescent="0.25">
      <c r="A429" s="1"/>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x14ac:dyDescent="0.25">
      <c r="A430" s="1"/>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x14ac:dyDescent="0.25">
      <c r="A431" s="1"/>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x14ac:dyDescent="0.25">
      <c r="A432" s="1"/>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x14ac:dyDescent="0.25">
      <c r="A433" s="1"/>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x14ac:dyDescent="0.25">
      <c r="A434" s="1"/>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x14ac:dyDescent="0.25">
      <c r="A435" s="1"/>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x14ac:dyDescent="0.25">
      <c r="A436" s="1"/>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x14ac:dyDescent="0.25">
      <c r="A437" s="1"/>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x14ac:dyDescent="0.25">
      <c r="A438" s="1"/>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x14ac:dyDescent="0.25">
      <c r="A439" s="1"/>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x14ac:dyDescent="0.25">
      <c r="A440" s="1"/>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x14ac:dyDescent="0.25">
      <c r="A441" s="1"/>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x14ac:dyDescent="0.25">
      <c r="A442" s="1"/>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x14ac:dyDescent="0.25">
      <c r="A443" s="1"/>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x14ac:dyDescent="0.25">
      <c r="A444" s="1"/>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x14ac:dyDescent="0.25">
      <c r="A445" s="1"/>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x14ac:dyDescent="0.25">
      <c r="A446" s="1"/>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x14ac:dyDescent="0.25">
      <c r="A447" s="1"/>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x14ac:dyDescent="0.25">
      <c r="A448" s="1"/>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x14ac:dyDescent="0.25">
      <c r="A449" s="1"/>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x14ac:dyDescent="0.25">
      <c r="A450" s="1"/>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x14ac:dyDescent="0.25">
      <c r="A451" s="1"/>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x14ac:dyDescent="0.25">
      <c r="A452" s="1"/>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x14ac:dyDescent="0.25">
      <c r="A453" s="1"/>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x14ac:dyDescent="0.25">
      <c r="A454" s="1"/>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x14ac:dyDescent="0.25">
      <c r="A455" s="1"/>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x14ac:dyDescent="0.25">
      <c r="A456" s="1"/>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x14ac:dyDescent="0.25">
      <c r="A457" s="1"/>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x14ac:dyDescent="0.25">
      <c r="A458" s="1"/>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x14ac:dyDescent="0.25">
      <c r="A459" s="1"/>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x14ac:dyDescent="0.25">
      <c r="A460" s="1"/>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x14ac:dyDescent="0.25">
      <c r="A461" s="1"/>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x14ac:dyDescent="0.25">
      <c r="A462" s="1"/>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x14ac:dyDescent="0.25">
      <c r="A463" s="1"/>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x14ac:dyDescent="0.25">
      <c r="A464" s="1"/>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x14ac:dyDescent="0.25">
      <c r="A465" s="1"/>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x14ac:dyDescent="0.25">
      <c r="A466" s="1"/>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x14ac:dyDescent="0.25">
      <c r="A467" s="1"/>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x14ac:dyDescent="0.25">
      <c r="A468" s="1"/>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x14ac:dyDescent="0.25">
      <c r="A469" s="1"/>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x14ac:dyDescent="0.25">
      <c r="A470" s="1"/>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x14ac:dyDescent="0.25">
      <c r="A471" s="1"/>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x14ac:dyDescent="0.25">
      <c r="A472" s="1"/>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x14ac:dyDescent="0.25">
      <c r="A473" s="1"/>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x14ac:dyDescent="0.25">
      <c r="A474" s="1"/>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x14ac:dyDescent="0.25">
      <c r="A475" s="1"/>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x14ac:dyDescent="0.25">
      <c r="A476" s="1"/>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x14ac:dyDescent="0.25">
      <c r="A477" s="1"/>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x14ac:dyDescent="0.25">
      <c r="A478" s="1"/>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x14ac:dyDescent="0.25">
      <c r="A479" s="1"/>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x14ac:dyDescent="0.25">
      <c r="A480" s="1"/>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x14ac:dyDescent="0.25">
      <c r="A481" s="1"/>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x14ac:dyDescent="0.25">
      <c r="A482" s="1"/>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x14ac:dyDescent="0.25">
      <c r="A483" s="1"/>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x14ac:dyDescent="0.25">
      <c r="A484" s="1"/>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x14ac:dyDescent="0.25">
      <c r="A485" s="1"/>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x14ac:dyDescent="0.25">
      <c r="A486" s="1"/>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x14ac:dyDescent="0.25">
      <c r="A487" s="1"/>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x14ac:dyDescent="0.25">
      <c r="A488" s="1"/>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x14ac:dyDescent="0.25">
      <c r="A489" s="1"/>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x14ac:dyDescent="0.25">
      <c r="A490" s="1"/>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x14ac:dyDescent="0.25">
      <c r="A491" s="1"/>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x14ac:dyDescent="0.25">
      <c r="A492" s="1"/>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x14ac:dyDescent="0.25">
      <c r="A493" s="1"/>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x14ac:dyDescent="0.25">
      <c r="A494" s="1"/>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x14ac:dyDescent="0.25">
      <c r="A495" s="1"/>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x14ac:dyDescent="0.25">
      <c r="A496" s="1"/>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x14ac:dyDescent="0.25">
      <c r="A497" s="1"/>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x14ac:dyDescent="0.25">
      <c r="A498" s="1"/>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x14ac:dyDescent="0.25">
      <c r="A499" s="1"/>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x14ac:dyDescent="0.25">
      <c r="A500" s="1"/>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x14ac:dyDescent="0.25">
      <c r="A501" s="1"/>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x14ac:dyDescent="0.25">
      <c r="A502" s="1"/>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x14ac:dyDescent="0.25">
      <c r="A503" s="1"/>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x14ac:dyDescent="0.25">
      <c r="A504" s="1"/>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x14ac:dyDescent="0.25">
      <c r="A505" s="1"/>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x14ac:dyDescent="0.25">
      <c r="A506" s="1"/>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x14ac:dyDescent="0.25">
      <c r="A507" s="1"/>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x14ac:dyDescent="0.25">
      <c r="A508" s="1"/>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x14ac:dyDescent="0.25">
      <c r="A509" s="1"/>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x14ac:dyDescent="0.25">
      <c r="A510" s="1"/>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x14ac:dyDescent="0.25">
      <c r="A511" s="1"/>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x14ac:dyDescent="0.25">
      <c r="A512" s="1"/>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x14ac:dyDescent="0.25">
      <c r="A513" s="1"/>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x14ac:dyDescent="0.25">
      <c r="A514" s="1"/>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x14ac:dyDescent="0.25">
      <c r="A515" s="1"/>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x14ac:dyDescent="0.25">
      <c r="A516" s="1"/>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x14ac:dyDescent="0.25">
      <c r="A517" s="1"/>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x14ac:dyDescent="0.25">
      <c r="A518" s="1"/>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x14ac:dyDescent="0.25">
      <c r="A519" s="1"/>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x14ac:dyDescent="0.25">
      <c r="A520" s="1"/>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x14ac:dyDescent="0.25">
      <c r="A521" s="1"/>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x14ac:dyDescent="0.25">
      <c r="A522" s="1"/>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x14ac:dyDescent="0.25">
      <c r="A523" s="1"/>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x14ac:dyDescent="0.25">
      <c r="A524" s="1"/>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x14ac:dyDescent="0.25">
      <c r="A525" s="1"/>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x14ac:dyDescent="0.25">
      <c r="A526" s="1"/>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x14ac:dyDescent="0.25">
      <c r="A527" s="1"/>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x14ac:dyDescent="0.25">
      <c r="A528" s="1"/>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x14ac:dyDescent="0.25">
      <c r="A529" s="1"/>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x14ac:dyDescent="0.25">
      <c r="A530" s="1"/>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x14ac:dyDescent="0.25">
      <c r="A531" s="1"/>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x14ac:dyDescent="0.25">
      <c r="A532" s="1"/>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x14ac:dyDescent="0.25">
      <c r="A533" s="1"/>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x14ac:dyDescent="0.25">
      <c r="A534" s="1"/>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x14ac:dyDescent="0.25">
      <c r="A535" s="1"/>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x14ac:dyDescent="0.25">
      <c r="A536" s="1"/>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x14ac:dyDescent="0.25">
      <c r="A537" s="1"/>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x14ac:dyDescent="0.25">
      <c r="A538" s="1"/>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x14ac:dyDescent="0.25">
      <c r="A539" s="1"/>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x14ac:dyDescent="0.25">
      <c r="A540" s="1"/>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x14ac:dyDescent="0.25">
      <c r="A541" s="1"/>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x14ac:dyDescent="0.25">
      <c r="A542" s="1"/>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x14ac:dyDescent="0.25">
      <c r="A543" s="1"/>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x14ac:dyDescent="0.25">
      <c r="A544" s="1"/>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x14ac:dyDescent="0.25">
      <c r="A545" s="1"/>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x14ac:dyDescent="0.25">
      <c r="A546" s="1"/>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x14ac:dyDescent="0.25">
      <c r="A547" s="1"/>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x14ac:dyDescent="0.25">
      <c r="A548" s="1"/>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x14ac:dyDescent="0.25">
      <c r="A549" s="1"/>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x14ac:dyDescent="0.25">
      <c r="A550" s="1"/>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x14ac:dyDescent="0.25">
      <c r="A551" s="1"/>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x14ac:dyDescent="0.25">
      <c r="A552" s="1"/>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x14ac:dyDescent="0.25">
      <c r="A553" s="1"/>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x14ac:dyDescent="0.25">
      <c r="A554" s="1"/>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x14ac:dyDescent="0.25">
      <c r="A555" s="1"/>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x14ac:dyDescent="0.25">
      <c r="A556" s="1"/>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x14ac:dyDescent="0.25">
      <c r="A557" s="1"/>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x14ac:dyDescent="0.25">
      <c r="A558" s="1"/>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x14ac:dyDescent="0.25">
      <c r="A559" s="1"/>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x14ac:dyDescent="0.25">
      <c r="A560" s="1"/>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x14ac:dyDescent="0.25">
      <c r="A561" s="1"/>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x14ac:dyDescent="0.25">
      <c r="A562" s="1"/>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x14ac:dyDescent="0.25">
      <c r="A563" s="1"/>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x14ac:dyDescent="0.25">
      <c r="A564" s="1"/>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x14ac:dyDescent="0.25">
      <c r="A565" s="1"/>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x14ac:dyDescent="0.25">
      <c r="A566" s="1"/>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x14ac:dyDescent="0.25">
      <c r="A567" s="1"/>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x14ac:dyDescent="0.25">
      <c r="A568" s="1"/>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x14ac:dyDescent="0.25">
      <c r="A569" s="1"/>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x14ac:dyDescent="0.25">
      <c r="A570" s="1"/>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x14ac:dyDescent="0.25">
      <c r="A571" s="1"/>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x14ac:dyDescent="0.25">
      <c r="A572" s="1"/>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x14ac:dyDescent="0.25">
      <c r="A573" s="1"/>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x14ac:dyDescent="0.25">
      <c r="A574" s="1"/>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x14ac:dyDescent="0.25">
      <c r="A575" s="1"/>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x14ac:dyDescent="0.25">
      <c r="A576" s="1"/>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x14ac:dyDescent="0.25">
      <c r="A577" s="1"/>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x14ac:dyDescent="0.25">
      <c r="A578" s="1"/>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x14ac:dyDescent="0.25">
      <c r="A579" s="1"/>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x14ac:dyDescent="0.25">
      <c r="A580" s="1"/>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x14ac:dyDescent="0.25">
      <c r="A581" s="1"/>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x14ac:dyDescent="0.25">
      <c r="A582" s="1"/>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x14ac:dyDescent="0.25">
      <c r="A583" s="1"/>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x14ac:dyDescent="0.25">
      <c r="A584" s="1"/>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x14ac:dyDescent="0.25">
      <c r="A585" s="1"/>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x14ac:dyDescent="0.25">
      <c r="A586" s="1"/>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x14ac:dyDescent="0.25">
      <c r="A587" s="1"/>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x14ac:dyDescent="0.25">
      <c r="A588" s="1"/>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x14ac:dyDescent="0.25">
      <c r="A589" s="1"/>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x14ac:dyDescent="0.25">
      <c r="A590" s="1"/>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x14ac:dyDescent="0.25">
      <c r="A591" s="1"/>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x14ac:dyDescent="0.25">
      <c r="A592" s="1"/>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x14ac:dyDescent="0.25">
      <c r="A593" s="1"/>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x14ac:dyDescent="0.25">
      <c r="A594" s="1"/>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x14ac:dyDescent="0.25">
      <c r="A595" s="1"/>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x14ac:dyDescent="0.25">
      <c r="A596" s="1"/>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x14ac:dyDescent="0.25">
      <c r="A597" s="1"/>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x14ac:dyDescent="0.25">
      <c r="A598" s="1"/>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x14ac:dyDescent="0.25">
      <c r="A599" s="1"/>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x14ac:dyDescent="0.25">
      <c r="A600" s="1"/>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x14ac:dyDescent="0.25">
      <c r="A601" s="1"/>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x14ac:dyDescent="0.25">
      <c r="A602" s="1"/>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x14ac:dyDescent="0.25">
      <c r="A603" s="1"/>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x14ac:dyDescent="0.25">
      <c r="A604" s="1"/>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x14ac:dyDescent="0.25">
      <c r="A605" s="1"/>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x14ac:dyDescent="0.25">
      <c r="A606" s="1"/>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x14ac:dyDescent="0.25">
      <c r="A607" s="1"/>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x14ac:dyDescent="0.25">
      <c r="A608" s="1"/>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x14ac:dyDescent="0.25">
      <c r="A609" s="1"/>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x14ac:dyDescent="0.25">
      <c r="A610" s="1"/>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x14ac:dyDescent="0.25">
      <c r="A611" s="1"/>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x14ac:dyDescent="0.25">
      <c r="A612" s="1"/>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x14ac:dyDescent="0.25">
      <c r="A613" s="1"/>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x14ac:dyDescent="0.25">
      <c r="A614" s="1"/>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x14ac:dyDescent="0.25">
      <c r="A615" s="1"/>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x14ac:dyDescent="0.25">
      <c r="A616" s="1"/>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x14ac:dyDescent="0.25">
      <c r="A617" s="1"/>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x14ac:dyDescent="0.25">
      <c r="A618" s="1"/>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x14ac:dyDescent="0.25">
      <c r="A619" s="1"/>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x14ac:dyDescent="0.25">
      <c r="A620" s="1"/>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x14ac:dyDescent="0.25">
      <c r="A621" s="1"/>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x14ac:dyDescent="0.25">
      <c r="A622" s="1"/>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x14ac:dyDescent="0.25">
      <c r="A623" s="1"/>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x14ac:dyDescent="0.25">
      <c r="A624" s="1"/>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x14ac:dyDescent="0.25">
      <c r="A625" s="1"/>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x14ac:dyDescent="0.25">
      <c r="A626" s="1"/>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x14ac:dyDescent="0.25">
      <c r="A627" s="1"/>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x14ac:dyDescent="0.25">
      <c r="A628" s="1"/>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x14ac:dyDescent="0.25">
      <c r="A629" s="1"/>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x14ac:dyDescent="0.25">
      <c r="A630" s="1"/>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x14ac:dyDescent="0.25">
      <c r="A631" s="1"/>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x14ac:dyDescent="0.25">
      <c r="A632" s="1"/>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x14ac:dyDescent="0.25">
      <c r="A633" s="1"/>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x14ac:dyDescent="0.25">
      <c r="A634" s="1"/>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x14ac:dyDescent="0.25">
      <c r="A635" s="1"/>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x14ac:dyDescent="0.25">
      <c r="A636" s="1"/>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x14ac:dyDescent="0.25">
      <c r="A637" s="1"/>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x14ac:dyDescent="0.25">
      <c r="A638" s="1"/>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x14ac:dyDescent="0.25">
      <c r="A639" s="1"/>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x14ac:dyDescent="0.25">
      <c r="A640" s="1"/>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x14ac:dyDescent="0.25">
      <c r="A641" s="1"/>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x14ac:dyDescent="0.25">
      <c r="A642" s="1"/>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x14ac:dyDescent="0.25">
      <c r="A643" s="1"/>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x14ac:dyDescent="0.25">
      <c r="A644" s="1"/>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x14ac:dyDescent="0.25">
      <c r="A645" s="1"/>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x14ac:dyDescent="0.25">
      <c r="A646" s="1"/>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x14ac:dyDescent="0.25">
      <c r="A647" s="1"/>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x14ac:dyDescent="0.25">
      <c r="A648" s="1"/>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x14ac:dyDescent="0.25">
      <c r="A649" s="1"/>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x14ac:dyDescent="0.25">
      <c r="A650" s="1"/>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x14ac:dyDescent="0.25">
      <c r="A651" s="1"/>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x14ac:dyDescent="0.25">
      <c r="A652" s="1"/>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x14ac:dyDescent="0.25">
      <c r="A653" s="1"/>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x14ac:dyDescent="0.25">
      <c r="A654" s="1"/>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x14ac:dyDescent="0.25">
      <c r="A655" s="1"/>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x14ac:dyDescent="0.25">
      <c r="A656" s="1"/>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x14ac:dyDescent="0.25">
      <c r="A657" s="1"/>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x14ac:dyDescent="0.25">
      <c r="A658" s="1"/>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x14ac:dyDescent="0.25">
      <c r="A659" s="1"/>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x14ac:dyDescent="0.25">
      <c r="A660" s="1"/>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x14ac:dyDescent="0.25">
      <c r="A661" s="1"/>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x14ac:dyDescent="0.25">
      <c r="A662" s="1"/>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x14ac:dyDescent="0.25">
      <c r="A663" s="1"/>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x14ac:dyDescent="0.25">
      <c r="A664" s="1"/>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x14ac:dyDescent="0.25">
      <c r="A665" s="1"/>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x14ac:dyDescent="0.25">
      <c r="A666" s="1"/>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x14ac:dyDescent="0.25">
      <c r="A667" s="1"/>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x14ac:dyDescent="0.25">
      <c r="A668" s="1"/>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x14ac:dyDescent="0.25">
      <c r="A669" s="1"/>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x14ac:dyDescent="0.25">
      <c r="A670" s="1"/>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x14ac:dyDescent="0.25">
      <c r="A671" s="1"/>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x14ac:dyDescent="0.25">
      <c r="A672" s="1"/>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x14ac:dyDescent="0.25">
      <c r="A673" s="1"/>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x14ac:dyDescent="0.25">
      <c r="A674" s="1"/>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x14ac:dyDescent="0.25">
      <c r="A675" s="1"/>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x14ac:dyDescent="0.25">
      <c r="A676" s="1"/>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x14ac:dyDescent="0.25">
      <c r="A677" s="1"/>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x14ac:dyDescent="0.25">
      <c r="A678" s="1"/>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x14ac:dyDescent="0.25">
      <c r="A679" s="1"/>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x14ac:dyDescent="0.25">
      <c r="A680" s="1"/>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x14ac:dyDescent="0.25">
      <c r="A681" s="1"/>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x14ac:dyDescent="0.25">
      <c r="A682" s="1"/>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x14ac:dyDescent="0.25">
      <c r="A683" s="1"/>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x14ac:dyDescent="0.25">
      <c r="A684" s="1"/>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x14ac:dyDescent="0.25">
      <c r="A685" s="1"/>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x14ac:dyDescent="0.25">
      <c r="A686" s="1"/>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x14ac:dyDescent="0.25">
      <c r="A687" s="1"/>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x14ac:dyDescent="0.25">
      <c r="A688" s="1"/>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x14ac:dyDescent="0.25">
      <c r="A689" s="1"/>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x14ac:dyDescent="0.25">
      <c r="A690" s="1"/>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x14ac:dyDescent="0.25">
      <c r="A691" s="1"/>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x14ac:dyDescent="0.25">
      <c r="A692" s="1"/>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x14ac:dyDescent="0.25">
      <c r="A693" s="1"/>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x14ac:dyDescent="0.25">
      <c r="A694" s="1"/>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x14ac:dyDescent="0.25">
      <c r="A695" s="1"/>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x14ac:dyDescent="0.25">
      <c r="A696" s="1"/>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x14ac:dyDescent="0.25">
      <c r="A697" s="1"/>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x14ac:dyDescent="0.25">
      <c r="A698" s="1"/>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x14ac:dyDescent="0.25">
      <c r="A699" s="1"/>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x14ac:dyDescent="0.25">
      <c r="A700" s="1"/>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x14ac:dyDescent="0.25">
      <c r="A701" s="1"/>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x14ac:dyDescent="0.25">
      <c r="A702" s="1"/>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x14ac:dyDescent="0.25">
      <c r="A703" s="1"/>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x14ac:dyDescent="0.25">
      <c r="A704" s="1"/>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x14ac:dyDescent="0.25">
      <c r="A705" s="1"/>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x14ac:dyDescent="0.25">
      <c r="A706" s="1"/>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x14ac:dyDescent="0.25">
      <c r="A707" s="1"/>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x14ac:dyDescent="0.25">
      <c r="A708" s="1"/>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x14ac:dyDescent="0.25">
      <c r="A709" s="1"/>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x14ac:dyDescent="0.25">
      <c r="A710" s="1"/>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x14ac:dyDescent="0.25">
      <c r="A711" s="1"/>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x14ac:dyDescent="0.25">
      <c r="A712" s="1"/>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x14ac:dyDescent="0.25">
      <c r="A713" s="1"/>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x14ac:dyDescent="0.25">
      <c r="A714" s="1"/>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x14ac:dyDescent="0.25">
      <c r="A715" s="1"/>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x14ac:dyDescent="0.25">
      <c r="A716" s="1"/>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x14ac:dyDescent="0.25">
      <c r="A717" s="1"/>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x14ac:dyDescent="0.25">
      <c r="A718" s="1"/>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x14ac:dyDescent="0.25">
      <c r="A719" s="1"/>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x14ac:dyDescent="0.25">
      <c r="A720" s="1"/>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x14ac:dyDescent="0.25">
      <c r="A721" s="1"/>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x14ac:dyDescent="0.25">
      <c r="A722" s="1"/>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x14ac:dyDescent="0.25">
      <c r="A723" s="1"/>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x14ac:dyDescent="0.25">
      <c r="A724" s="1"/>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x14ac:dyDescent="0.25">
      <c r="A725" s="1"/>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x14ac:dyDescent="0.25">
      <c r="A726" s="1"/>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x14ac:dyDescent="0.25">
      <c r="A727" s="1"/>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x14ac:dyDescent="0.25">
      <c r="A728" s="1"/>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x14ac:dyDescent="0.25">
      <c r="A729" s="1"/>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x14ac:dyDescent="0.25">
      <c r="A730" s="1"/>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x14ac:dyDescent="0.25">
      <c r="A731" s="1"/>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x14ac:dyDescent="0.25">
      <c r="A732" s="1"/>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x14ac:dyDescent="0.25">
      <c r="A733" s="1"/>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x14ac:dyDescent="0.25">
      <c r="A734" s="1"/>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x14ac:dyDescent="0.25">
      <c r="A735" s="1"/>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x14ac:dyDescent="0.25">
      <c r="A736" s="1"/>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x14ac:dyDescent="0.25">
      <c r="A737" s="1"/>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x14ac:dyDescent="0.25">
      <c r="A738" s="1"/>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x14ac:dyDescent="0.25">
      <c r="A739" s="1"/>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x14ac:dyDescent="0.25">
      <c r="A740" s="1"/>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x14ac:dyDescent="0.25">
      <c r="A741" s="1"/>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x14ac:dyDescent="0.25">
      <c r="A742" s="1"/>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x14ac:dyDescent="0.25">
      <c r="A743" s="1"/>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x14ac:dyDescent="0.25">
      <c r="A744" s="1"/>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x14ac:dyDescent="0.25">
      <c r="A745" s="1"/>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x14ac:dyDescent="0.25">
      <c r="A746" s="1"/>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x14ac:dyDescent="0.25">
      <c r="A747" s="1"/>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x14ac:dyDescent="0.25">
      <c r="A748" s="1"/>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x14ac:dyDescent="0.25">
      <c r="A749" s="1"/>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x14ac:dyDescent="0.25">
      <c r="A750" s="1"/>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x14ac:dyDescent="0.25">
      <c r="A751" s="1"/>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x14ac:dyDescent="0.25">
      <c r="A752" s="1"/>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x14ac:dyDescent="0.25">
      <c r="A753" s="1"/>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x14ac:dyDescent="0.25">
      <c r="A754" s="1"/>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x14ac:dyDescent="0.25">
      <c r="A755" s="1"/>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x14ac:dyDescent="0.25">
      <c r="A756" s="1"/>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x14ac:dyDescent="0.25">
      <c r="A757" s="1"/>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x14ac:dyDescent="0.25">
      <c r="A758" s="1"/>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x14ac:dyDescent="0.25">
      <c r="A759" s="1"/>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x14ac:dyDescent="0.25">
      <c r="A760" s="1"/>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x14ac:dyDescent="0.25">
      <c r="A761" s="1"/>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x14ac:dyDescent="0.25">
      <c r="A762" s="1"/>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x14ac:dyDescent="0.25">
      <c r="A763" s="1"/>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x14ac:dyDescent="0.25">
      <c r="A764" s="1"/>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x14ac:dyDescent="0.25">
      <c r="A765" s="1"/>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x14ac:dyDescent="0.25">
      <c r="A766" s="1"/>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x14ac:dyDescent="0.25">
      <c r="A767" s="1"/>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x14ac:dyDescent="0.25">
      <c r="A768" s="1"/>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x14ac:dyDescent="0.25">
      <c r="A769" s="1"/>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x14ac:dyDescent="0.25">
      <c r="A770" s="1"/>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x14ac:dyDescent="0.25">
      <c r="A771" s="1"/>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x14ac:dyDescent="0.25">
      <c r="A772" s="1"/>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x14ac:dyDescent="0.25">
      <c r="A773" s="1"/>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x14ac:dyDescent="0.25">
      <c r="A774" s="1"/>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x14ac:dyDescent="0.25">
      <c r="A775" s="1"/>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x14ac:dyDescent="0.25">
      <c r="A776" s="1"/>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x14ac:dyDescent="0.25">
      <c r="A777" s="1"/>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x14ac:dyDescent="0.25">
      <c r="A778" s="1"/>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x14ac:dyDescent="0.25">
      <c r="A779" s="1"/>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x14ac:dyDescent="0.25">
      <c r="A780" s="1"/>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x14ac:dyDescent="0.25">
      <c r="A781" s="1"/>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x14ac:dyDescent="0.25">
      <c r="A782" s="1"/>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x14ac:dyDescent="0.25">
      <c r="A783" s="1"/>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x14ac:dyDescent="0.25">
      <c r="A784" s="1"/>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x14ac:dyDescent="0.25">
      <c r="A785" s="1"/>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x14ac:dyDescent="0.25">
      <c r="A786" s="1"/>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x14ac:dyDescent="0.25">
      <c r="A787" s="1"/>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x14ac:dyDescent="0.25">
      <c r="A788" s="1"/>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x14ac:dyDescent="0.25">
      <c r="A789" s="1"/>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x14ac:dyDescent="0.25">
      <c r="A790" s="1"/>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x14ac:dyDescent="0.25">
      <c r="A791" s="1"/>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x14ac:dyDescent="0.25">
      <c r="A792" s="1"/>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x14ac:dyDescent="0.25">
      <c r="A793" s="1"/>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x14ac:dyDescent="0.25">
      <c r="A794" s="1"/>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x14ac:dyDescent="0.25">
      <c r="A795" s="1"/>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x14ac:dyDescent="0.25">
      <c r="A796" s="1"/>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x14ac:dyDescent="0.25">
      <c r="A797" s="1"/>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x14ac:dyDescent="0.25">
      <c r="A798" s="1"/>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x14ac:dyDescent="0.25">
      <c r="A799" s="1"/>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x14ac:dyDescent="0.25">
      <c r="A800" s="1"/>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x14ac:dyDescent="0.25">
      <c r="A801" s="1"/>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x14ac:dyDescent="0.25">
      <c r="A802" s="1"/>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x14ac:dyDescent="0.25">
      <c r="A803" s="1"/>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x14ac:dyDescent="0.25">
      <c r="A804" s="1"/>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x14ac:dyDescent="0.25">
      <c r="A805" s="1"/>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x14ac:dyDescent="0.25">
      <c r="A806" s="1"/>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x14ac:dyDescent="0.25">
      <c r="A807" s="1"/>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x14ac:dyDescent="0.25">
      <c r="A808" s="1"/>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x14ac:dyDescent="0.25">
      <c r="A809" s="1"/>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x14ac:dyDescent="0.25">
      <c r="A810" s="1"/>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x14ac:dyDescent="0.25">
      <c r="A811" s="1"/>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x14ac:dyDescent="0.25">
      <c r="A812" s="1"/>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x14ac:dyDescent="0.25">
      <c r="A813" s="1"/>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x14ac:dyDescent="0.25">
      <c r="A814" s="1"/>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x14ac:dyDescent="0.25">
      <c r="A815" s="1"/>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x14ac:dyDescent="0.25">
      <c r="A816" s="1"/>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x14ac:dyDescent="0.25">
      <c r="A817" s="1"/>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x14ac:dyDescent="0.25">
      <c r="A818" s="1"/>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x14ac:dyDescent="0.25">
      <c r="A819" s="1"/>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x14ac:dyDescent="0.25">
      <c r="A820" s="1"/>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x14ac:dyDescent="0.25">
      <c r="A821" s="1"/>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x14ac:dyDescent="0.25">
      <c r="A822" s="1"/>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x14ac:dyDescent="0.25">
      <c r="A823" s="1"/>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x14ac:dyDescent="0.25">
      <c r="A824" s="1"/>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x14ac:dyDescent="0.25">
      <c r="A825" s="1"/>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x14ac:dyDescent="0.25">
      <c r="A826" s="1"/>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x14ac:dyDescent="0.25">
      <c r="A827" s="1"/>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x14ac:dyDescent="0.25">
      <c r="A828" s="1"/>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x14ac:dyDescent="0.25">
      <c r="A829" s="1"/>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x14ac:dyDescent="0.25">
      <c r="A830" s="1"/>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x14ac:dyDescent="0.25">
      <c r="A831" s="1"/>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x14ac:dyDescent="0.25">
      <c r="A832" s="1"/>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x14ac:dyDescent="0.25">
      <c r="A833" s="1"/>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x14ac:dyDescent="0.25">
      <c r="A834" s="1"/>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x14ac:dyDescent="0.25">
      <c r="A835" s="1"/>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x14ac:dyDescent="0.25">
      <c r="A836" s="1"/>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x14ac:dyDescent="0.25">
      <c r="A837" s="1"/>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x14ac:dyDescent="0.25">
      <c r="A838" s="1"/>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x14ac:dyDescent="0.25">
      <c r="A839" s="1"/>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x14ac:dyDescent="0.25">
      <c r="A840" s="1"/>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x14ac:dyDescent="0.25">
      <c r="A841" s="1"/>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x14ac:dyDescent="0.25">
      <c r="A842" s="1"/>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x14ac:dyDescent="0.25">
      <c r="A843" s="1"/>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x14ac:dyDescent="0.25">
      <c r="A844" s="1"/>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x14ac:dyDescent="0.25">
      <c r="A845" s="1"/>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x14ac:dyDescent="0.25">
      <c r="A846" s="1"/>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x14ac:dyDescent="0.25">
      <c r="A847" s="1"/>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x14ac:dyDescent="0.25">
      <c r="A848" s="1"/>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x14ac:dyDescent="0.25">
      <c r="A849" s="1"/>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x14ac:dyDescent="0.25">
      <c r="A850" s="1"/>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x14ac:dyDescent="0.25">
      <c r="A851" s="1"/>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x14ac:dyDescent="0.25">
      <c r="A852" s="1"/>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x14ac:dyDescent="0.25">
      <c r="A853" s="1"/>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x14ac:dyDescent="0.25">
      <c r="A854" s="1"/>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x14ac:dyDescent="0.25">
      <c r="A855" s="1"/>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x14ac:dyDescent="0.25">
      <c r="A856" s="1"/>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x14ac:dyDescent="0.25">
      <c r="A857" s="1"/>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x14ac:dyDescent="0.25">
      <c r="A858" s="1"/>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x14ac:dyDescent="0.25">
      <c r="A859" s="1"/>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x14ac:dyDescent="0.25">
      <c r="A860" s="1"/>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x14ac:dyDescent="0.25">
      <c r="A861" s="1"/>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x14ac:dyDescent="0.25">
      <c r="A862" s="1"/>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x14ac:dyDescent="0.25">
      <c r="A863" s="1"/>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x14ac:dyDescent="0.25">
      <c r="A864" s="1"/>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x14ac:dyDescent="0.25">
      <c r="A865" s="1"/>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x14ac:dyDescent="0.25">
      <c r="A866" s="1"/>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x14ac:dyDescent="0.25">
      <c r="A867" s="1"/>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x14ac:dyDescent="0.25">
      <c r="A868" s="1"/>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x14ac:dyDescent="0.25">
      <c r="A869" s="1"/>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x14ac:dyDescent="0.25">
      <c r="A870" s="1"/>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x14ac:dyDescent="0.25">
      <c r="A871" s="1"/>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x14ac:dyDescent="0.25">
      <c r="A872" s="1"/>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x14ac:dyDescent="0.25">
      <c r="A873" s="1"/>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x14ac:dyDescent="0.25">
      <c r="A874" s="1"/>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x14ac:dyDescent="0.25">
      <c r="A875" s="1"/>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x14ac:dyDescent="0.25">
      <c r="A876" s="1"/>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x14ac:dyDescent="0.25">
      <c r="A877" s="1"/>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x14ac:dyDescent="0.25">
      <c r="A878" s="1"/>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x14ac:dyDescent="0.25">
      <c r="A879" s="1"/>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x14ac:dyDescent="0.25">
      <c r="A880" s="1"/>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x14ac:dyDescent="0.25">
      <c r="A881" s="1"/>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x14ac:dyDescent="0.25">
      <c r="A882" s="1"/>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x14ac:dyDescent="0.25">
      <c r="A883" s="1"/>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x14ac:dyDescent="0.25">
      <c r="A884" s="1"/>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x14ac:dyDescent="0.25">
      <c r="A885" s="1"/>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x14ac:dyDescent="0.25">
      <c r="A886" s="1"/>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x14ac:dyDescent="0.25">
      <c r="A887" s="1"/>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x14ac:dyDescent="0.25">
      <c r="A888" s="1"/>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x14ac:dyDescent="0.25">
      <c r="A889" s="1"/>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x14ac:dyDescent="0.25">
      <c r="A890" s="1"/>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x14ac:dyDescent="0.25">
      <c r="A891" s="1"/>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x14ac:dyDescent="0.25">
      <c r="A892" s="1"/>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x14ac:dyDescent="0.25">
      <c r="A893" s="1"/>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x14ac:dyDescent="0.25">
      <c r="A894" s="1"/>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x14ac:dyDescent="0.25">
      <c r="A895" s="1"/>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x14ac:dyDescent="0.25">
      <c r="A896" s="1"/>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x14ac:dyDescent="0.25">
      <c r="A897" s="1"/>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x14ac:dyDescent="0.25">
      <c r="A898" s="1"/>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x14ac:dyDescent="0.25">
      <c r="A899" s="1"/>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x14ac:dyDescent="0.25">
      <c r="A900" s="1"/>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x14ac:dyDescent="0.25">
      <c r="A901" s="1"/>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x14ac:dyDescent="0.25">
      <c r="A902" s="1"/>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x14ac:dyDescent="0.25">
      <c r="A903" s="1"/>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x14ac:dyDescent="0.25">
      <c r="A904" s="1"/>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x14ac:dyDescent="0.25">
      <c r="A905" s="1"/>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x14ac:dyDescent="0.25">
      <c r="A906" s="1"/>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x14ac:dyDescent="0.25">
      <c r="A907" s="1"/>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x14ac:dyDescent="0.25">
      <c r="A908" s="1"/>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x14ac:dyDescent="0.25">
      <c r="A909" s="1"/>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x14ac:dyDescent="0.25">
      <c r="A910" s="1"/>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x14ac:dyDescent="0.25">
      <c r="A911" s="1"/>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x14ac:dyDescent="0.25">
      <c r="A912" s="1"/>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x14ac:dyDescent="0.25">
      <c r="A913" s="1"/>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x14ac:dyDescent="0.25">
      <c r="A914" s="1"/>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x14ac:dyDescent="0.25">
      <c r="A915" s="1"/>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x14ac:dyDescent="0.25">
      <c r="A916" s="1"/>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x14ac:dyDescent="0.25">
      <c r="A917" s="1"/>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x14ac:dyDescent="0.25">
      <c r="A918" s="1"/>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x14ac:dyDescent="0.25">
      <c r="A919" s="1"/>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x14ac:dyDescent="0.25">
      <c r="A920" s="1"/>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x14ac:dyDescent="0.25">
      <c r="A921" s="1"/>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x14ac:dyDescent="0.25">
      <c r="A922" s="1"/>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x14ac:dyDescent="0.25">
      <c r="A923" s="1"/>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x14ac:dyDescent="0.25">
      <c r="A924" s="1"/>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x14ac:dyDescent="0.25">
      <c r="A925" s="1"/>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x14ac:dyDescent="0.25">
      <c r="A926" s="1"/>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x14ac:dyDescent="0.25">
      <c r="A927" s="1"/>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x14ac:dyDescent="0.25">
      <c r="A928" s="1"/>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x14ac:dyDescent="0.25">
      <c r="A929" s="1"/>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x14ac:dyDescent="0.25">
      <c r="A930" s="1"/>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x14ac:dyDescent="0.25">
      <c r="A931" s="1"/>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x14ac:dyDescent="0.25">
      <c r="A932" s="1"/>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x14ac:dyDescent="0.25">
      <c r="A933" s="1"/>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x14ac:dyDescent="0.25">
      <c r="A934" s="1"/>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x14ac:dyDescent="0.25">
      <c r="A935" s="1"/>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x14ac:dyDescent="0.25">
      <c r="A936" s="1"/>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x14ac:dyDescent="0.25">
      <c r="A937" s="1"/>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x14ac:dyDescent="0.25">
      <c r="A938" s="1"/>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x14ac:dyDescent="0.25">
      <c r="A939" s="1"/>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x14ac:dyDescent="0.25">
      <c r="A940" s="1"/>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x14ac:dyDescent="0.25">
      <c r="A941" s="1"/>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x14ac:dyDescent="0.25">
      <c r="A942" s="1"/>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x14ac:dyDescent="0.25">
      <c r="A943" s="1"/>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x14ac:dyDescent="0.25">
      <c r="A944" s="1"/>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x14ac:dyDescent="0.25">
      <c r="A945" s="1"/>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x14ac:dyDescent="0.25">
      <c r="A946" s="1"/>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x14ac:dyDescent="0.25">
      <c r="A947" s="1"/>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x14ac:dyDescent="0.25">
      <c r="A948" s="1"/>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x14ac:dyDescent="0.25">
      <c r="A949" s="1"/>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x14ac:dyDescent="0.25">
      <c r="A950" s="1"/>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x14ac:dyDescent="0.25">
      <c r="A951" s="1"/>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x14ac:dyDescent="0.25">
      <c r="A952" s="1"/>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x14ac:dyDescent="0.25">
      <c r="A953" s="1"/>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x14ac:dyDescent="0.25">
      <c r="A954" s="1"/>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x14ac:dyDescent="0.25">
      <c r="A955" s="1"/>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x14ac:dyDescent="0.25">
      <c r="A956" s="1"/>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x14ac:dyDescent="0.25">
      <c r="A957" s="1"/>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x14ac:dyDescent="0.25">
      <c r="A958" s="1"/>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x14ac:dyDescent="0.25">
      <c r="A959" s="1"/>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x14ac:dyDescent="0.25">
      <c r="A960" s="1"/>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x14ac:dyDescent="0.25">
      <c r="A961" s="1"/>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x14ac:dyDescent="0.25">
      <c r="A962" s="1"/>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x14ac:dyDescent="0.25">
      <c r="A963" s="1"/>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x14ac:dyDescent="0.25">
      <c r="A964" s="1"/>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x14ac:dyDescent="0.25">
      <c r="A965" s="1"/>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x14ac:dyDescent="0.25">
      <c r="A966" s="1"/>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x14ac:dyDescent="0.25">
      <c r="A967" s="1"/>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x14ac:dyDescent="0.25">
      <c r="A968" s="1"/>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x14ac:dyDescent="0.25">
      <c r="A969" s="1"/>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x14ac:dyDescent="0.25">
      <c r="A970" s="1"/>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x14ac:dyDescent="0.25">
      <c r="A971" s="1"/>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x14ac:dyDescent="0.25">
      <c r="A972" s="1"/>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x14ac:dyDescent="0.25">
      <c r="A973" s="1"/>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x14ac:dyDescent="0.25">
      <c r="A974" s="1"/>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x14ac:dyDescent="0.25">
      <c r="A975" s="1"/>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x14ac:dyDescent="0.25">
      <c r="A976" s="1"/>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x14ac:dyDescent="0.25">
      <c r="A977" s="1"/>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x14ac:dyDescent="0.25">
      <c r="A978" s="1"/>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x14ac:dyDescent="0.25">
      <c r="A979" s="1"/>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x14ac:dyDescent="0.25">
      <c r="A980" s="1"/>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x14ac:dyDescent="0.25">
      <c r="A981" s="1"/>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x14ac:dyDescent="0.25">
      <c r="A982" s="1"/>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x14ac:dyDescent="0.25">
      <c r="A983" s="1"/>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x14ac:dyDescent="0.25">
      <c r="A984" s="1"/>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x14ac:dyDescent="0.25">
      <c r="A985" s="1"/>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x14ac:dyDescent="0.25">
      <c r="A986" s="1"/>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x14ac:dyDescent="0.25">
      <c r="A987" s="1"/>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x14ac:dyDescent="0.25">
      <c r="A988" s="1"/>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x14ac:dyDescent="0.25">
      <c r="A989" s="1"/>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x14ac:dyDescent="0.25">
      <c r="A990" s="1"/>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x14ac:dyDescent="0.25">
      <c r="A991" s="1"/>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x14ac:dyDescent="0.25">
      <c r="A992" s="1"/>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x14ac:dyDescent="0.25">
      <c r="A993" s="1"/>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x14ac:dyDescent="0.25">
      <c r="A994" s="1"/>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x14ac:dyDescent="0.25">
      <c r="A995" s="1"/>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x14ac:dyDescent="0.25">
      <c r="A996" s="1"/>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x14ac:dyDescent="0.25">
      <c r="A997" s="1"/>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x14ac:dyDescent="0.25">
      <c r="A998" s="1"/>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x14ac:dyDescent="0.25">
      <c r="A999" s="1"/>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x14ac:dyDescent="0.25">
      <c r="A1000" s="1"/>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spans="1:26" ht="15" customHeight="1" x14ac:dyDescent="0.25">
      <c r="C1001" s="3"/>
      <c r="D1001" s="3"/>
      <c r="E1001" s="3"/>
    </row>
  </sheetData>
  <hyperlinks>
    <hyperlink ref="A73" r:id="rId1" xr:uid="{00000000-0004-0000-0500-000000000000}"/>
    <hyperlink ref="A74" r:id="rId2" xr:uid="{00000000-0004-0000-0500-000001000000}"/>
    <hyperlink ref="A75" r:id="rId3" xr:uid="{00000000-0004-0000-0500-000002000000}"/>
  </hyperlinks>
  <pageMargins left="0.7" right="0.7" top="0.75" bottom="0.75" header="0" footer="0"/>
  <pageSetup orientation="portrait"/>
  <drawing r:id="rId4"/>
  <tableParts count="3">
    <tablePart r:id="rId5"/>
    <tablePart r:id="rId6"/>
    <tablePart r:id="rId7"/>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showGridLines="0" workbookViewId="0">
      <selection activeCell="D43" sqref="D43"/>
    </sheetView>
  </sheetViews>
  <sheetFormatPr defaultColWidth="14.42578125" defaultRowHeight="15" customHeight="1" x14ac:dyDescent="0.25"/>
  <cols>
    <col min="1" max="1" width="12.7109375" customWidth="1"/>
    <col min="2" max="2" width="82.85546875" customWidth="1"/>
    <col min="3" max="4" width="11.7109375" customWidth="1"/>
    <col min="5" max="6" width="13.85546875" customWidth="1"/>
    <col min="7" max="26" width="8.85546875" customWidth="1"/>
  </cols>
  <sheetData>
    <row r="1" spans="1:26" ht="60" customHeight="1" x14ac:dyDescent="0.25">
      <c r="A1" s="1" t="s">
        <v>259</v>
      </c>
      <c r="B1" s="3"/>
      <c r="G1" s="3"/>
      <c r="H1" s="3"/>
      <c r="I1" s="3"/>
      <c r="J1" s="3"/>
      <c r="K1" s="3"/>
      <c r="L1" s="3"/>
      <c r="M1" s="3"/>
      <c r="N1" s="3"/>
      <c r="O1" s="3"/>
      <c r="P1" s="3"/>
      <c r="Q1" s="3"/>
      <c r="R1" s="3"/>
      <c r="S1" s="3"/>
      <c r="T1" s="3"/>
      <c r="U1" s="3"/>
      <c r="V1" s="3"/>
      <c r="W1" s="3"/>
      <c r="X1" s="3"/>
      <c r="Y1" s="3"/>
      <c r="Z1" s="3"/>
    </row>
    <row r="2" spans="1:26" ht="15" customHeight="1" x14ac:dyDescent="0.25">
      <c r="A2" s="1" t="s">
        <v>260</v>
      </c>
      <c r="B2" s="3"/>
      <c r="G2" s="3"/>
      <c r="H2" s="3"/>
      <c r="I2" s="3"/>
      <c r="J2" s="3"/>
      <c r="K2" s="3"/>
      <c r="L2" s="3"/>
      <c r="M2" s="3"/>
      <c r="N2" s="3"/>
      <c r="O2" s="3"/>
      <c r="P2" s="3"/>
      <c r="Q2" s="3"/>
      <c r="R2" s="3"/>
      <c r="S2" s="3"/>
      <c r="T2" s="3"/>
      <c r="U2" s="3"/>
      <c r="V2" s="3"/>
      <c r="W2" s="3"/>
      <c r="X2" s="3"/>
      <c r="Y2" s="3"/>
      <c r="Z2" s="3"/>
    </row>
    <row r="3" spans="1:26" ht="15" customHeight="1" x14ac:dyDescent="0.25">
      <c r="A3" s="1" t="s">
        <v>261</v>
      </c>
      <c r="B3" s="3"/>
      <c r="C3" s="5" t="s">
        <v>209</v>
      </c>
      <c r="D3" s="5" t="s">
        <v>189</v>
      </c>
      <c r="G3" s="3"/>
      <c r="H3" s="3"/>
      <c r="I3" s="3"/>
      <c r="J3" s="3"/>
      <c r="K3" s="3"/>
      <c r="L3" s="3"/>
      <c r="M3" s="3"/>
      <c r="N3" s="3"/>
      <c r="O3" s="3"/>
      <c r="P3" s="3"/>
      <c r="Q3" s="3"/>
      <c r="R3" s="3"/>
      <c r="S3" s="3"/>
      <c r="T3" s="3"/>
      <c r="U3" s="3"/>
      <c r="V3" s="3"/>
      <c r="W3" s="3"/>
      <c r="X3" s="3"/>
      <c r="Y3" s="3"/>
      <c r="Z3" s="3"/>
    </row>
    <row r="4" spans="1:26" ht="15" customHeight="1" x14ac:dyDescent="0.25">
      <c r="A4" s="1" t="s">
        <v>262</v>
      </c>
      <c r="B4" s="3"/>
      <c r="C4" s="6" t="s">
        <v>7</v>
      </c>
      <c r="D4" s="9" t="s">
        <v>89</v>
      </c>
      <c r="G4" s="3"/>
      <c r="H4" s="3"/>
      <c r="I4" s="3"/>
      <c r="J4" s="3"/>
      <c r="K4" s="3"/>
      <c r="L4" s="3"/>
      <c r="M4" s="3"/>
      <c r="N4" s="3"/>
      <c r="O4" s="3"/>
      <c r="P4" s="3"/>
      <c r="Q4" s="3"/>
      <c r="R4" s="3"/>
      <c r="S4" s="3"/>
      <c r="T4" s="3"/>
      <c r="U4" s="3"/>
      <c r="V4" s="3"/>
      <c r="W4" s="3"/>
      <c r="X4" s="3"/>
      <c r="Y4" s="3"/>
      <c r="Z4" s="3"/>
    </row>
    <row r="5" spans="1:26" ht="15" customHeight="1" x14ac:dyDescent="0.25">
      <c r="A5" s="1" t="s">
        <v>263</v>
      </c>
      <c r="B5" s="3"/>
      <c r="C5" s="6" t="s">
        <v>8</v>
      </c>
      <c r="D5" s="9" t="s">
        <v>5</v>
      </c>
      <c r="E5" s="7"/>
      <c r="G5" s="7"/>
      <c r="H5" s="7"/>
      <c r="I5" s="7"/>
      <c r="J5" s="7"/>
      <c r="K5" s="7"/>
      <c r="L5" s="7"/>
      <c r="M5" s="7"/>
      <c r="N5" s="7"/>
      <c r="O5" s="7"/>
      <c r="P5" s="7"/>
      <c r="Q5" s="7"/>
      <c r="R5" s="7"/>
      <c r="S5" s="7"/>
      <c r="T5" s="7"/>
      <c r="U5" s="7"/>
      <c r="V5" s="7"/>
      <c r="W5" s="7"/>
      <c r="X5" s="7"/>
      <c r="Y5" s="7"/>
      <c r="Z5" s="7"/>
    </row>
    <row r="6" spans="1:26" ht="15" customHeight="1" x14ac:dyDescent="0.25">
      <c r="A6" s="1" t="s">
        <v>264</v>
      </c>
      <c r="B6" s="3"/>
      <c r="C6" s="6" t="s">
        <v>13</v>
      </c>
      <c r="D6" s="9" t="s">
        <v>89</v>
      </c>
      <c r="E6" s="7"/>
      <c r="G6" s="7"/>
      <c r="H6" s="7"/>
      <c r="I6" s="7"/>
      <c r="J6" s="7"/>
      <c r="K6" s="7"/>
      <c r="L6" s="7"/>
      <c r="M6" s="7"/>
      <c r="N6" s="7"/>
      <c r="O6" s="7"/>
      <c r="P6" s="7"/>
      <c r="Q6" s="7"/>
      <c r="R6" s="7"/>
      <c r="S6" s="7"/>
      <c r="T6" s="7"/>
      <c r="U6" s="7"/>
      <c r="V6" s="7"/>
      <c r="W6" s="7"/>
      <c r="X6" s="7"/>
      <c r="Y6" s="7"/>
      <c r="Z6" s="7"/>
    </row>
    <row r="7" spans="1:26" ht="15" customHeight="1" x14ac:dyDescent="0.25">
      <c r="A7" s="1" t="s">
        <v>265</v>
      </c>
      <c r="B7" s="3"/>
      <c r="C7" s="6" t="s">
        <v>16</v>
      </c>
      <c r="D7" s="9" t="s">
        <v>89</v>
      </c>
      <c r="E7" s="7"/>
      <c r="G7" s="7"/>
      <c r="H7" s="7"/>
      <c r="I7" s="7"/>
      <c r="J7" s="7"/>
      <c r="K7" s="7"/>
      <c r="L7" s="7"/>
      <c r="M7" s="7"/>
      <c r="N7" s="7"/>
      <c r="O7" s="7"/>
      <c r="P7" s="7"/>
      <c r="Q7" s="7"/>
      <c r="R7" s="7"/>
      <c r="S7" s="7"/>
      <c r="T7" s="7"/>
      <c r="U7" s="7"/>
      <c r="V7" s="7"/>
      <c r="W7" s="7"/>
      <c r="X7" s="7"/>
      <c r="Y7" s="7"/>
      <c r="Z7" s="7"/>
    </row>
    <row r="8" spans="1:26" ht="15" customHeight="1" x14ac:dyDescent="0.25">
      <c r="A8" s="1" t="s">
        <v>266</v>
      </c>
      <c r="B8" s="3"/>
      <c r="C8" s="6" t="s">
        <v>267</v>
      </c>
      <c r="D8" s="9" t="s">
        <v>89</v>
      </c>
      <c r="E8" s="7"/>
      <c r="G8" s="7"/>
      <c r="H8" s="7"/>
      <c r="I8" s="7"/>
      <c r="J8" s="7"/>
      <c r="K8" s="7"/>
      <c r="L8" s="7"/>
      <c r="M8" s="7"/>
      <c r="N8" s="7"/>
      <c r="O8" s="7"/>
      <c r="P8" s="7"/>
      <c r="Q8" s="7"/>
      <c r="R8" s="7"/>
      <c r="S8" s="7"/>
      <c r="T8" s="7"/>
      <c r="U8" s="7"/>
      <c r="V8" s="7"/>
      <c r="W8" s="7"/>
      <c r="X8" s="7"/>
      <c r="Y8" s="7"/>
      <c r="Z8" s="7"/>
    </row>
    <row r="9" spans="1:26" ht="15" customHeight="1" x14ac:dyDescent="0.25">
      <c r="A9" s="1" t="s">
        <v>268</v>
      </c>
      <c r="B9" s="3"/>
      <c r="C9" s="6" t="s">
        <v>269</v>
      </c>
      <c r="D9" s="9" t="s">
        <v>89</v>
      </c>
      <c r="E9" s="7"/>
      <c r="G9" s="7"/>
      <c r="H9" s="7"/>
      <c r="I9" s="7"/>
      <c r="J9" s="7"/>
      <c r="K9" s="7"/>
      <c r="L9" s="7"/>
      <c r="M9" s="7"/>
      <c r="N9" s="7"/>
      <c r="O9" s="7"/>
      <c r="P9" s="7"/>
      <c r="Q9" s="7"/>
      <c r="R9" s="7"/>
      <c r="S9" s="7"/>
      <c r="T9" s="7"/>
      <c r="U9" s="7"/>
      <c r="V9" s="7"/>
      <c r="W9" s="7"/>
      <c r="X9" s="7"/>
      <c r="Y9" s="7"/>
      <c r="Z9" s="7"/>
    </row>
    <row r="10" spans="1:26" ht="15" customHeight="1" x14ac:dyDescent="0.25">
      <c r="A10" s="1" t="s">
        <v>26</v>
      </c>
      <c r="B10" s="3"/>
      <c r="C10" s="6" t="s">
        <v>270</v>
      </c>
      <c r="D10" s="9" t="s">
        <v>5</v>
      </c>
      <c r="E10" s="7"/>
      <c r="G10" s="7"/>
      <c r="H10" s="7"/>
      <c r="I10" s="7"/>
      <c r="J10" s="7"/>
      <c r="K10" s="7"/>
      <c r="L10" s="7"/>
      <c r="M10" s="7"/>
      <c r="N10" s="7"/>
      <c r="O10" s="7"/>
      <c r="P10" s="7"/>
      <c r="Q10" s="7"/>
      <c r="R10" s="7"/>
      <c r="S10" s="7"/>
      <c r="T10" s="7"/>
      <c r="U10" s="7"/>
      <c r="V10" s="7"/>
      <c r="W10" s="7"/>
      <c r="X10" s="7"/>
      <c r="Y10" s="7"/>
      <c r="Z10" s="7"/>
    </row>
    <row r="11" spans="1:26" ht="15" customHeight="1" x14ac:dyDescent="0.25">
      <c r="A11" s="1"/>
      <c r="B11" s="3"/>
      <c r="C11" s="6" t="s">
        <v>23</v>
      </c>
      <c r="D11" s="9" t="s">
        <v>195</v>
      </c>
      <c r="E11" s="7"/>
      <c r="G11" s="7"/>
      <c r="H11" s="7"/>
      <c r="I11" s="7"/>
      <c r="J11" s="7"/>
      <c r="K11" s="7"/>
      <c r="L11" s="7"/>
      <c r="M11" s="7"/>
      <c r="N11" s="7"/>
      <c r="O11" s="7"/>
      <c r="P11" s="7"/>
      <c r="Q11" s="7"/>
      <c r="R11" s="7"/>
      <c r="S11" s="7"/>
      <c r="T11" s="7"/>
      <c r="U11" s="7"/>
      <c r="V11" s="7"/>
      <c r="W11" s="7"/>
      <c r="X11" s="7"/>
      <c r="Y11" s="7"/>
      <c r="Z11" s="7"/>
    </row>
    <row r="12" spans="1:26" ht="15" customHeight="1" x14ac:dyDescent="0.25">
      <c r="A12" s="1"/>
      <c r="B12" s="3"/>
      <c r="C12" s="6" t="s">
        <v>11</v>
      </c>
      <c r="D12" s="9" t="s">
        <v>5</v>
      </c>
      <c r="E12" s="7"/>
      <c r="G12" s="7"/>
      <c r="H12" s="7"/>
      <c r="I12" s="7"/>
      <c r="J12" s="7"/>
      <c r="K12" s="7"/>
      <c r="L12" s="7"/>
      <c r="M12" s="7"/>
      <c r="N12" s="7"/>
      <c r="O12" s="7"/>
      <c r="P12" s="7"/>
      <c r="Q12" s="7"/>
      <c r="R12" s="7"/>
      <c r="S12" s="7"/>
      <c r="T12" s="7"/>
      <c r="U12" s="7"/>
      <c r="V12" s="7"/>
      <c r="W12" s="7"/>
      <c r="X12" s="7"/>
      <c r="Y12" s="7"/>
      <c r="Z12" s="7"/>
    </row>
    <row r="13" spans="1:26" ht="15" customHeight="1" x14ac:dyDescent="0.25">
      <c r="A13" s="1"/>
      <c r="B13" s="3"/>
      <c r="C13" s="6" t="s">
        <v>27</v>
      </c>
      <c r="D13" s="9" t="s">
        <v>195</v>
      </c>
      <c r="E13" s="7"/>
      <c r="G13" s="7"/>
      <c r="H13" s="7"/>
      <c r="I13" s="7"/>
      <c r="J13" s="7"/>
      <c r="K13" s="7"/>
      <c r="L13" s="7"/>
      <c r="M13" s="7"/>
      <c r="N13" s="7"/>
      <c r="O13" s="7"/>
      <c r="P13" s="7"/>
      <c r="Q13" s="7"/>
      <c r="R13" s="7"/>
      <c r="S13" s="7"/>
      <c r="T13" s="7"/>
      <c r="U13" s="7"/>
      <c r="V13" s="7"/>
      <c r="W13" s="7"/>
      <c r="X13" s="7"/>
      <c r="Y13" s="7"/>
      <c r="Z13" s="7"/>
    </row>
    <row r="14" spans="1:26" ht="15" customHeight="1" x14ac:dyDescent="0.25">
      <c r="A14" s="1"/>
      <c r="B14" s="3"/>
      <c r="C14" s="6" t="s">
        <v>28</v>
      </c>
      <c r="D14" s="42" t="s">
        <v>195</v>
      </c>
      <c r="E14" s="7"/>
      <c r="G14" s="7"/>
      <c r="H14" s="7"/>
      <c r="I14" s="7"/>
      <c r="J14" s="7"/>
      <c r="K14" s="7"/>
      <c r="L14" s="7"/>
      <c r="M14" s="7"/>
      <c r="N14" s="7"/>
      <c r="O14" s="7"/>
      <c r="P14" s="7"/>
      <c r="Q14" s="7"/>
      <c r="R14" s="7"/>
      <c r="S14" s="7"/>
      <c r="T14" s="7"/>
      <c r="U14" s="7"/>
      <c r="V14" s="7"/>
      <c r="W14" s="7"/>
      <c r="X14" s="7"/>
      <c r="Y14" s="7"/>
      <c r="Z14" s="7"/>
    </row>
    <row r="15" spans="1:26" ht="15" customHeight="1" x14ac:dyDescent="0.25">
      <c r="A15" s="1"/>
      <c r="B15" s="3"/>
      <c r="C15" s="6" t="s">
        <v>29</v>
      </c>
      <c r="D15" s="9" t="s">
        <v>195</v>
      </c>
      <c r="E15" s="7"/>
      <c r="G15" s="7"/>
      <c r="H15" s="7"/>
      <c r="I15" s="7"/>
      <c r="J15" s="7"/>
      <c r="K15" s="7"/>
      <c r="L15" s="7"/>
      <c r="M15" s="7"/>
      <c r="N15" s="7"/>
      <c r="O15" s="7"/>
      <c r="P15" s="7"/>
      <c r="Q15" s="7"/>
      <c r="R15" s="7"/>
      <c r="S15" s="7"/>
      <c r="T15" s="7"/>
      <c r="U15" s="7"/>
      <c r="V15" s="7"/>
      <c r="W15" s="7"/>
      <c r="X15" s="7"/>
      <c r="Y15" s="7"/>
      <c r="Z15" s="7"/>
    </row>
    <row r="16" spans="1:26" ht="15" customHeight="1" x14ac:dyDescent="0.25">
      <c r="A16" s="1"/>
      <c r="B16" s="3"/>
      <c r="C16" s="7"/>
      <c r="D16" s="7"/>
      <c r="E16" s="7"/>
      <c r="F16" s="7"/>
      <c r="G16" s="7"/>
      <c r="H16" s="7"/>
      <c r="I16" s="7"/>
      <c r="J16" s="7"/>
      <c r="K16" s="7"/>
      <c r="L16" s="7"/>
      <c r="M16" s="7"/>
      <c r="N16" s="7"/>
      <c r="O16" s="7"/>
      <c r="P16" s="7"/>
      <c r="Q16" s="7"/>
      <c r="R16" s="7"/>
      <c r="S16" s="7"/>
      <c r="T16" s="7"/>
      <c r="U16" s="7"/>
      <c r="V16" s="7"/>
      <c r="W16" s="7"/>
      <c r="X16" s="7"/>
      <c r="Y16" s="7"/>
      <c r="Z16" s="7"/>
    </row>
    <row r="17" spans="1:26" ht="15" customHeight="1" x14ac:dyDescent="0.25">
      <c r="A17" s="1"/>
      <c r="B17" s="3"/>
      <c r="C17" s="7"/>
      <c r="D17" s="7"/>
      <c r="E17" s="7"/>
      <c r="F17" s="7"/>
      <c r="G17" s="7"/>
      <c r="H17" s="7"/>
      <c r="I17" s="7"/>
      <c r="J17" s="7"/>
      <c r="K17" s="7"/>
      <c r="L17" s="7"/>
      <c r="M17" s="7"/>
      <c r="N17" s="7"/>
      <c r="O17" s="7"/>
      <c r="P17" s="7"/>
      <c r="Q17" s="7"/>
      <c r="R17" s="7"/>
      <c r="S17" s="7"/>
      <c r="T17" s="7"/>
      <c r="U17" s="7"/>
      <c r="V17" s="7"/>
      <c r="W17" s="7"/>
      <c r="X17" s="7"/>
      <c r="Y17" s="7"/>
      <c r="Z17" s="7"/>
    </row>
    <row r="18" spans="1:26" ht="15" customHeight="1" x14ac:dyDescent="0.25">
      <c r="A18" s="1"/>
      <c r="B18" s="3"/>
      <c r="G18" s="7"/>
      <c r="H18" s="7"/>
      <c r="I18" s="7"/>
      <c r="J18" s="7"/>
      <c r="K18" s="7"/>
      <c r="L18" s="7"/>
      <c r="M18" s="7"/>
      <c r="N18" s="7"/>
      <c r="O18" s="7"/>
      <c r="P18" s="7"/>
      <c r="Q18" s="7"/>
      <c r="R18" s="7"/>
      <c r="S18" s="7"/>
      <c r="T18" s="7"/>
      <c r="U18" s="7"/>
      <c r="V18" s="7"/>
      <c r="W18" s="7"/>
      <c r="X18" s="7"/>
      <c r="Y18" s="7"/>
      <c r="Z18" s="7"/>
    </row>
    <row r="19" spans="1:26" ht="15" customHeight="1" x14ac:dyDescent="0.25">
      <c r="A19" s="1"/>
      <c r="B19" s="3"/>
      <c r="G19" s="7"/>
      <c r="H19" s="7"/>
      <c r="I19" s="7"/>
      <c r="J19" s="7"/>
      <c r="K19" s="7"/>
      <c r="L19" s="7"/>
      <c r="M19" s="7"/>
      <c r="N19" s="7"/>
      <c r="O19" s="7"/>
      <c r="P19" s="7"/>
      <c r="Q19" s="7"/>
      <c r="R19" s="7"/>
      <c r="S19" s="7"/>
      <c r="T19" s="7"/>
      <c r="U19" s="7"/>
      <c r="V19" s="7"/>
      <c r="W19" s="7"/>
      <c r="X19" s="7"/>
      <c r="Y19" s="7"/>
      <c r="Z19" s="7"/>
    </row>
    <row r="20" spans="1:26" ht="15" customHeight="1" x14ac:dyDescent="0.25">
      <c r="A20" s="1"/>
      <c r="B20" s="3"/>
      <c r="G20" s="7"/>
      <c r="H20" s="7"/>
      <c r="I20" s="7"/>
      <c r="J20" s="7"/>
      <c r="K20" s="7"/>
      <c r="L20" s="7"/>
      <c r="M20" s="7"/>
      <c r="N20" s="7"/>
      <c r="O20" s="7"/>
      <c r="P20" s="7"/>
      <c r="Q20" s="7"/>
      <c r="R20" s="7"/>
      <c r="S20" s="7"/>
      <c r="T20" s="7"/>
      <c r="U20" s="7"/>
      <c r="V20" s="7"/>
      <c r="W20" s="7"/>
      <c r="X20" s="7"/>
      <c r="Y20" s="7"/>
      <c r="Z20" s="7"/>
    </row>
    <row r="21" spans="1:26" ht="15" customHeight="1" x14ac:dyDescent="0.25">
      <c r="A21" s="1"/>
      <c r="B21" s="3"/>
      <c r="G21" s="7"/>
      <c r="H21" s="7"/>
      <c r="I21" s="7"/>
      <c r="J21" s="7"/>
      <c r="K21" s="7"/>
      <c r="L21" s="7"/>
      <c r="M21" s="7"/>
      <c r="N21" s="7"/>
      <c r="O21" s="7"/>
      <c r="P21" s="7"/>
      <c r="Q21" s="7"/>
      <c r="R21" s="7"/>
      <c r="S21" s="7"/>
      <c r="T21" s="7"/>
      <c r="U21" s="7"/>
      <c r="V21" s="7"/>
      <c r="W21" s="7"/>
      <c r="X21" s="7"/>
      <c r="Y21" s="7"/>
      <c r="Z21" s="7"/>
    </row>
    <row r="22" spans="1:26" ht="15" customHeight="1" x14ac:dyDescent="0.25">
      <c r="A22" s="1"/>
      <c r="B22" s="3"/>
      <c r="C22" s="7"/>
      <c r="D22" s="7"/>
      <c r="E22" s="7"/>
      <c r="F22" s="7"/>
      <c r="G22" s="7"/>
      <c r="H22" s="7"/>
      <c r="I22" s="7"/>
      <c r="J22" s="7"/>
      <c r="K22" s="7"/>
      <c r="L22" s="7"/>
      <c r="M22" s="7"/>
      <c r="N22" s="7"/>
      <c r="O22" s="7"/>
      <c r="P22" s="7"/>
      <c r="Q22" s="7"/>
      <c r="R22" s="7"/>
      <c r="S22" s="7"/>
      <c r="T22" s="7"/>
      <c r="U22" s="7"/>
      <c r="V22" s="7"/>
      <c r="W22" s="7"/>
      <c r="X22" s="7"/>
      <c r="Y22" s="7"/>
      <c r="Z22" s="7"/>
    </row>
    <row r="23" spans="1:26" ht="15" customHeight="1" x14ac:dyDescent="0.25">
      <c r="A23" s="1"/>
      <c r="B23" s="3"/>
      <c r="C23" s="7"/>
      <c r="D23" s="7"/>
      <c r="E23" s="7"/>
      <c r="F23" s="7"/>
      <c r="G23" s="7"/>
      <c r="H23" s="7"/>
      <c r="I23" s="7"/>
      <c r="J23" s="7"/>
      <c r="K23" s="7"/>
      <c r="L23" s="7"/>
      <c r="M23" s="7"/>
      <c r="N23" s="7"/>
      <c r="O23" s="7"/>
      <c r="P23" s="7"/>
      <c r="Q23" s="7"/>
      <c r="R23" s="7"/>
      <c r="S23" s="7"/>
      <c r="T23" s="7"/>
      <c r="U23" s="7"/>
      <c r="V23" s="7"/>
      <c r="W23" s="7"/>
      <c r="X23" s="7"/>
      <c r="Y23" s="7"/>
      <c r="Z23" s="7"/>
    </row>
    <row r="24" spans="1:26" ht="15" customHeight="1" x14ac:dyDescent="0.25">
      <c r="A24" s="1"/>
      <c r="B24" s="3"/>
      <c r="C24" s="7"/>
      <c r="D24" s="7"/>
      <c r="E24" s="7"/>
      <c r="F24" s="7"/>
      <c r="G24" s="7"/>
      <c r="H24" s="7"/>
      <c r="I24" s="7"/>
      <c r="J24" s="7"/>
      <c r="K24" s="7"/>
      <c r="L24" s="7"/>
      <c r="M24" s="7"/>
      <c r="N24" s="7"/>
      <c r="O24" s="7"/>
      <c r="P24" s="7"/>
      <c r="Q24" s="7"/>
      <c r="R24" s="7"/>
      <c r="S24" s="7"/>
      <c r="T24" s="7"/>
      <c r="U24" s="7"/>
      <c r="V24" s="7"/>
      <c r="W24" s="7"/>
      <c r="X24" s="7"/>
      <c r="Y24" s="7"/>
      <c r="Z24" s="7"/>
    </row>
    <row r="25" spans="1:26" ht="15.75" customHeight="1" x14ac:dyDescent="0.25">
      <c r="A25" s="1"/>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x14ac:dyDescent="0.25">
      <c r="A26" s="1"/>
      <c r="B26" s="3"/>
      <c r="C26" s="3"/>
      <c r="D26" s="3"/>
      <c r="E26" s="3"/>
      <c r="F26" s="3"/>
      <c r="G26" s="3"/>
      <c r="H26" s="3"/>
      <c r="I26" s="3"/>
      <c r="J26" s="3"/>
      <c r="K26" s="3"/>
      <c r="L26" s="3"/>
      <c r="M26" s="3"/>
      <c r="N26" s="3"/>
      <c r="O26" s="3"/>
      <c r="P26" s="3"/>
      <c r="Q26" s="3"/>
      <c r="R26" s="3"/>
      <c r="S26" s="3"/>
      <c r="T26" s="3"/>
      <c r="U26" s="3"/>
      <c r="V26" s="3"/>
      <c r="W26" s="3"/>
      <c r="X26" s="3"/>
      <c r="Y26" s="3"/>
      <c r="Z26" s="3"/>
    </row>
    <row r="27" spans="1:26" ht="15" customHeight="1" x14ac:dyDescent="0.25">
      <c r="A27" s="1" t="s">
        <v>271</v>
      </c>
      <c r="B27" s="3"/>
      <c r="C27" s="3"/>
      <c r="D27" s="3"/>
      <c r="E27" s="3"/>
      <c r="F27" s="3"/>
      <c r="G27" s="3"/>
      <c r="H27" s="3"/>
      <c r="I27" s="3"/>
      <c r="J27" s="3"/>
      <c r="K27" s="3"/>
      <c r="L27" s="3"/>
      <c r="M27" s="3"/>
      <c r="N27" s="3"/>
      <c r="O27" s="3"/>
      <c r="P27" s="3"/>
      <c r="Q27" s="3"/>
      <c r="R27" s="3"/>
      <c r="S27" s="3"/>
      <c r="T27" s="3"/>
      <c r="U27" s="3"/>
      <c r="V27" s="3"/>
      <c r="W27" s="3"/>
      <c r="X27" s="3"/>
      <c r="Y27" s="3"/>
      <c r="Z27" s="3"/>
    </row>
    <row r="28" spans="1:26" ht="15" customHeight="1" x14ac:dyDescent="0.25">
      <c r="A28" s="1" t="s">
        <v>272</v>
      </c>
      <c r="B28" s="3"/>
      <c r="C28" s="3"/>
      <c r="D28" s="3"/>
      <c r="E28" s="3"/>
      <c r="F28" s="3"/>
      <c r="G28" s="3"/>
      <c r="H28" s="3"/>
      <c r="I28" s="3"/>
      <c r="J28" s="3"/>
      <c r="K28" s="3"/>
      <c r="L28" s="3"/>
      <c r="M28" s="3"/>
      <c r="N28" s="3"/>
      <c r="O28" s="3"/>
      <c r="P28" s="3"/>
      <c r="Q28" s="3"/>
      <c r="R28" s="3"/>
      <c r="S28" s="3"/>
      <c r="T28" s="3"/>
      <c r="U28" s="3"/>
      <c r="V28" s="3"/>
      <c r="W28" s="3"/>
      <c r="X28" s="3"/>
      <c r="Y28" s="3"/>
      <c r="Z28" s="3"/>
    </row>
    <row r="29" spans="1:26" ht="15" customHeight="1" x14ac:dyDescent="0.25">
      <c r="A29" s="1" t="s">
        <v>273</v>
      </c>
      <c r="B29" s="3"/>
      <c r="G29" s="3"/>
      <c r="H29" s="3"/>
      <c r="I29" s="3"/>
      <c r="J29" s="3"/>
      <c r="K29" s="3"/>
      <c r="L29" s="3"/>
      <c r="M29" s="3"/>
      <c r="N29" s="3"/>
      <c r="O29" s="3"/>
      <c r="P29" s="3"/>
      <c r="Q29" s="3"/>
      <c r="R29" s="3"/>
      <c r="S29" s="3"/>
      <c r="T29" s="3"/>
      <c r="U29" s="3"/>
      <c r="V29" s="3"/>
      <c r="W29" s="3"/>
      <c r="X29" s="3"/>
      <c r="Y29" s="3"/>
      <c r="Z29" s="3"/>
    </row>
    <row r="30" spans="1:26" ht="15" customHeight="1" x14ac:dyDescent="0.25">
      <c r="A30" s="1" t="s">
        <v>274</v>
      </c>
      <c r="B30" s="3"/>
      <c r="E30" s="3"/>
      <c r="G30" s="3"/>
      <c r="H30" s="3"/>
      <c r="I30" s="3"/>
      <c r="J30" s="3"/>
      <c r="K30" s="3"/>
      <c r="L30" s="3"/>
      <c r="M30" s="3"/>
      <c r="N30" s="3"/>
      <c r="O30" s="3"/>
      <c r="P30" s="3"/>
      <c r="Q30" s="3"/>
      <c r="R30" s="3"/>
      <c r="S30" s="3"/>
      <c r="T30" s="3"/>
      <c r="U30" s="3"/>
      <c r="V30" s="3"/>
      <c r="W30" s="3"/>
      <c r="X30" s="3"/>
      <c r="Y30" s="3"/>
      <c r="Z30" s="3"/>
    </row>
    <row r="31" spans="1:26" ht="15" customHeight="1" x14ac:dyDescent="0.25">
      <c r="A31" s="1" t="s">
        <v>275</v>
      </c>
      <c r="B31" s="3"/>
      <c r="C31" s="5" t="s">
        <v>209</v>
      </c>
      <c r="D31" s="5" t="s">
        <v>189</v>
      </c>
      <c r="E31" s="3"/>
      <c r="F31" s="5" t="s">
        <v>189</v>
      </c>
      <c r="G31" s="3"/>
      <c r="H31" s="3"/>
      <c r="I31" s="3"/>
      <c r="J31" s="3"/>
      <c r="K31" s="3"/>
      <c r="L31" s="3"/>
      <c r="M31" s="3"/>
      <c r="N31" s="3"/>
      <c r="O31" s="3"/>
      <c r="P31" s="3"/>
      <c r="Q31" s="3"/>
      <c r="R31" s="3"/>
      <c r="S31" s="3"/>
      <c r="T31" s="3"/>
      <c r="U31" s="3"/>
      <c r="V31" s="3"/>
      <c r="W31" s="3"/>
      <c r="X31" s="3"/>
      <c r="Y31" s="3"/>
      <c r="Z31" s="3"/>
    </row>
    <row r="32" spans="1:26" ht="15" customHeight="1" x14ac:dyDescent="0.25">
      <c r="A32" s="1" t="s">
        <v>276</v>
      </c>
      <c r="B32" s="3"/>
      <c r="C32" s="6" t="s">
        <v>7</v>
      </c>
      <c r="D32" s="6" t="s">
        <v>89</v>
      </c>
      <c r="E32" s="3"/>
      <c r="F32" s="6" t="s">
        <v>89</v>
      </c>
      <c r="G32" s="3"/>
      <c r="H32" s="3"/>
      <c r="I32" s="3"/>
      <c r="J32" s="3"/>
      <c r="K32" s="3"/>
      <c r="L32" s="3"/>
      <c r="M32" s="3"/>
      <c r="N32" s="3"/>
      <c r="O32" s="3"/>
      <c r="P32" s="3"/>
      <c r="Q32" s="3"/>
      <c r="R32" s="3"/>
      <c r="S32" s="3"/>
      <c r="T32" s="3"/>
      <c r="U32" s="3"/>
      <c r="V32" s="3"/>
      <c r="W32" s="3"/>
      <c r="X32" s="3"/>
      <c r="Y32" s="3"/>
      <c r="Z32" s="3"/>
    </row>
    <row r="33" spans="1:26" ht="15" customHeight="1" x14ac:dyDescent="0.25">
      <c r="A33" s="1" t="s">
        <v>277</v>
      </c>
      <c r="B33" s="3"/>
      <c r="C33" s="6" t="s">
        <v>8</v>
      </c>
      <c r="D33" s="6" t="s">
        <v>5</v>
      </c>
      <c r="E33" s="3"/>
      <c r="F33" s="6" t="s">
        <v>5</v>
      </c>
      <c r="G33" s="3"/>
      <c r="H33" s="3"/>
      <c r="I33" s="3"/>
      <c r="J33" s="3"/>
      <c r="K33" s="3"/>
      <c r="L33" s="3"/>
      <c r="M33" s="3"/>
      <c r="N33" s="3"/>
      <c r="O33" s="3"/>
      <c r="P33" s="3"/>
      <c r="Q33" s="3"/>
      <c r="R33" s="3"/>
      <c r="S33" s="3"/>
      <c r="T33" s="3"/>
      <c r="U33" s="3"/>
      <c r="V33" s="3"/>
      <c r="W33" s="3"/>
      <c r="X33" s="3"/>
      <c r="Y33" s="3"/>
      <c r="Z33" s="3"/>
    </row>
    <row r="34" spans="1:26" ht="15" customHeight="1" x14ac:dyDescent="0.25">
      <c r="A34" s="1" t="s">
        <v>278</v>
      </c>
      <c r="B34" s="3"/>
      <c r="C34" s="6" t="s">
        <v>13</v>
      </c>
      <c r="D34" s="6" t="s">
        <v>89</v>
      </c>
      <c r="E34" s="3"/>
      <c r="F34" s="6" t="s">
        <v>195</v>
      </c>
      <c r="G34" s="3"/>
      <c r="H34" s="3"/>
      <c r="I34" s="3"/>
      <c r="J34" s="3"/>
      <c r="K34" s="3"/>
      <c r="L34" s="3"/>
      <c r="M34" s="3"/>
      <c r="N34" s="3"/>
      <c r="O34" s="3"/>
      <c r="P34" s="3"/>
      <c r="Q34" s="3"/>
      <c r="R34" s="3"/>
      <c r="S34" s="3"/>
      <c r="T34" s="3"/>
      <c r="U34" s="3"/>
      <c r="V34" s="3"/>
      <c r="W34" s="3"/>
      <c r="X34" s="3"/>
      <c r="Y34" s="3"/>
      <c r="Z34" s="3"/>
    </row>
    <row r="35" spans="1:26" ht="15" customHeight="1" x14ac:dyDescent="0.25">
      <c r="A35" s="1" t="s">
        <v>279</v>
      </c>
      <c r="B35" s="3"/>
      <c r="C35" s="6" t="s">
        <v>16</v>
      </c>
      <c r="D35" s="6" t="s">
        <v>89</v>
      </c>
      <c r="E35" s="3"/>
      <c r="G35" s="3"/>
      <c r="H35" s="3"/>
      <c r="I35" s="3"/>
      <c r="J35" s="3"/>
      <c r="K35" s="3"/>
      <c r="L35" s="3"/>
      <c r="M35" s="3"/>
      <c r="N35" s="3"/>
      <c r="O35" s="3"/>
      <c r="P35" s="3"/>
      <c r="Q35" s="3"/>
      <c r="R35" s="3"/>
      <c r="S35" s="3"/>
      <c r="T35" s="3"/>
      <c r="U35" s="3"/>
      <c r="V35" s="3"/>
      <c r="W35" s="3"/>
      <c r="X35" s="3"/>
      <c r="Y35" s="3"/>
      <c r="Z35" s="3"/>
    </row>
    <row r="36" spans="1:26" ht="15" customHeight="1" x14ac:dyDescent="0.25">
      <c r="A36" s="1" t="s">
        <v>280</v>
      </c>
      <c r="B36" s="3"/>
      <c r="C36" s="6" t="s">
        <v>267</v>
      </c>
      <c r="D36" s="6" t="s">
        <v>89</v>
      </c>
      <c r="G36" s="3"/>
      <c r="H36" s="3"/>
      <c r="I36" s="3"/>
      <c r="J36" s="3"/>
      <c r="K36" s="3"/>
      <c r="L36" s="3"/>
      <c r="M36" s="3"/>
      <c r="N36" s="3"/>
      <c r="O36" s="3"/>
      <c r="P36" s="3"/>
      <c r="Q36" s="3"/>
      <c r="R36" s="3"/>
      <c r="S36" s="3"/>
      <c r="T36" s="3"/>
      <c r="U36" s="3"/>
      <c r="V36" s="3"/>
      <c r="W36" s="3"/>
      <c r="X36" s="3"/>
      <c r="Y36" s="3"/>
      <c r="Z36" s="3"/>
    </row>
    <row r="37" spans="1:26" ht="15" customHeight="1" x14ac:dyDescent="0.25">
      <c r="A37" s="1" t="s">
        <v>281</v>
      </c>
      <c r="B37" s="3"/>
      <c r="C37" s="6" t="s">
        <v>269</v>
      </c>
      <c r="D37" s="6" t="s">
        <v>89</v>
      </c>
      <c r="G37" s="3"/>
      <c r="H37" s="3"/>
      <c r="I37" s="3"/>
      <c r="J37" s="3"/>
      <c r="K37" s="3"/>
      <c r="L37" s="3"/>
      <c r="M37" s="3"/>
      <c r="N37" s="3"/>
      <c r="O37" s="3"/>
      <c r="P37" s="3"/>
      <c r="Q37" s="3"/>
      <c r="R37" s="3"/>
      <c r="S37" s="3"/>
      <c r="T37" s="3"/>
      <c r="U37" s="3"/>
      <c r="V37" s="3"/>
      <c r="W37" s="3"/>
      <c r="X37" s="3"/>
      <c r="Y37" s="3"/>
      <c r="Z37" s="3"/>
    </row>
    <row r="38" spans="1:26" ht="15" customHeight="1" x14ac:dyDescent="0.25">
      <c r="A38" s="1" t="s">
        <v>223</v>
      </c>
      <c r="B38" s="3"/>
      <c r="C38" s="6" t="s">
        <v>270</v>
      </c>
      <c r="D38" s="6" t="s">
        <v>5</v>
      </c>
      <c r="G38" s="3"/>
      <c r="H38" s="3"/>
      <c r="I38" s="3"/>
      <c r="J38" s="3"/>
      <c r="K38" s="3"/>
      <c r="L38" s="3"/>
      <c r="M38" s="3"/>
      <c r="N38" s="3"/>
      <c r="O38" s="3"/>
      <c r="P38" s="3"/>
      <c r="Q38" s="3"/>
      <c r="R38" s="3"/>
      <c r="S38" s="3"/>
      <c r="T38" s="3"/>
      <c r="U38" s="3"/>
      <c r="V38" s="3"/>
      <c r="W38" s="3"/>
      <c r="X38" s="3"/>
      <c r="Y38" s="3"/>
      <c r="Z38" s="3"/>
    </row>
    <row r="39" spans="1:26" ht="15" customHeight="1" x14ac:dyDescent="0.25">
      <c r="A39" s="1"/>
      <c r="B39" s="3"/>
      <c r="C39" s="6" t="s">
        <v>23</v>
      </c>
      <c r="D39" s="6" t="s">
        <v>195</v>
      </c>
      <c r="G39" s="3"/>
      <c r="H39" s="3"/>
      <c r="I39" s="3"/>
      <c r="J39" s="3"/>
      <c r="K39" s="3"/>
      <c r="L39" s="3"/>
      <c r="M39" s="3"/>
      <c r="N39" s="3"/>
      <c r="O39" s="3"/>
      <c r="P39" s="3"/>
      <c r="Q39" s="3"/>
      <c r="R39" s="3"/>
      <c r="S39" s="3"/>
      <c r="T39" s="3"/>
      <c r="U39" s="3"/>
      <c r="V39" s="3"/>
      <c r="W39" s="3"/>
      <c r="X39" s="3"/>
      <c r="Y39" s="3"/>
      <c r="Z39" s="3"/>
    </row>
    <row r="40" spans="1:26" ht="15" customHeight="1" x14ac:dyDescent="0.25">
      <c r="A40" s="1"/>
      <c r="B40" s="3"/>
      <c r="C40" s="6" t="s">
        <v>11</v>
      </c>
      <c r="D40" s="6" t="s">
        <v>5</v>
      </c>
      <c r="G40" s="3"/>
      <c r="H40" s="3"/>
      <c r="I40" s="3"/>
      <c r="J40" s="3"/>
      <c r="K40" s="3"/>
      <c r="L40" s="3"/>
      <c r="M40" s="3"/>
      <c r="N40" s="3"/>
      <c r="O40" s="3"/>
      <c r="P40" s="3"/>
      <c r="Q40" s="3"/>
      <c r="R40" s="3"/>
      <c r="S40" s="3"/>
      <c r="T40" s="3"/>
      <c r="U40" s="3"/>
      <c r="V40" s="3"/>
      <c r="W40" s="3"/>
      <c r="X40" s="3"/>
      <c r="Y40" s="3"/>
      <c r="Z40" s="3"/>
    </row>
    <row r="41" spans="1:26" ht="15" customHeight="1" x14ac:dyDescent="0.25">
      <c r="A41" s="1"/>
      <c r="B41" s="3"/>
      <c r="C41" s="6" t="s">
        <v>27</v>
      </c>
      <c r="D41" s="6" t="s">
        <v>195</v>
      </c>
      <c r="G41" s="3"/>
      <c r="H41" s="3"/>
      <c r="I41" s="3"/>
      <c r="J41" s="3"/>
      <c r="K41" s="3"/>
      <c r="L41" s="3"/>
      <c r="M41" s="3"/>
      <c r="N41" s="3"/>
      <c r="O41" s="3"/>
      <c r="P41" s="3"/>
      <c r="Q41" s="3"/>
      <c r="R41" s="3"/>
      <c r="S41" s="3"/>
      <c r="T41" s="3"/>
      <c r="U41" s="3"/>
      <c r="V41" s="3"/>
      <c r="W41" s="3"/>
      <c r="X41" s="3"/>
      <c r="Y41" s="3"/>
      <c r="Z41" s="3"/>
    </row>
    <row r="42" spans="1:26" ht="15" customHeight="1" x14ac:dyDescent="0.25">
      <c r="A42" s="1"/>
      <c r="B42" s="3"/>
      <c r="C42" s="6" t="s">
        <v>28</v>
      </c>
      <c r="D42" s="6" t="s">
        <v>195</v>
      </c>
      <c r="G42" s="3"/>
      <c r="H42" s="3"/>
      <c r="I42" s="3"/>
      <c r="J42" s="3"/>
      <c r="K42" s="3"/>
      <c r="L42" s="3"/>
      <c r="M42" s="3"/>
      <c r="N42" s="3"/>
      <c r="O42" s="3"/>
      <c r="P42" s="3"/>
      <c r="Q42" s="3"/>
      <c r="R42" s="3"/>
      <c r="S42" s="3"/>
      <c r="T42" s="3"/>
      <c r="U42" s="3"/>
      <c r="V42" s="3"/>
      <c r="W42" s="3"/>
      <c r="X42" s="3"/>
      <c r="Y42" s="3"/>
      <c r="Z42" s="3"/>
    </row>
    <row r="43" spans="1:26" ht="15" customHeight="1" x14ac:dyDescent="0.25">
      <c r="A43" s="1"/>
      <c r="B43" s="3"/>
      <c r="C43" s="6" t="s">
        <v>29</v>
      </c>
      <c r="D43" s="6" t="s">
        <v>195</v>
      </c>
      <c r="G43" s="3"/>
      <c r="H43" s="3"/>
      <c r="I43" s="3"/>
      <c r="J43" s="3"/>
      <c r="K43" s="3"/>
      <c r="L43" s="3"/>
      <c r="M43" s="3"/>
      <c r="N43" s="3"/>
      <c r="O43" s="3"/>
      <c r="P43" s="3"/>
      <c r="Q43" s="3"/>
      <c r="R43" s="3"/>
      <c r="S43" s="3"/>
      <c r="T43" s="3"/>
      <c r="U43" s="3"/>
      <c r="V43" s="3"/>
      <c r="W43" s="3"/>
      <c r="X43" s="3"/>
      <c r="Y43" s="3"/>
      <c r="Z43" s="3"/>
    </row>
    <row r="44" spans="1:26" ht="15" customHeight="1" x14ac:dyDescent="0.25">
      <c r="A44" s="1"/>
      <c r="B44" s="3"/>
      <c r="C44" s="3"/>
      <c r="G44" s="3"/>
      <c r="H44" s="3"/>
      <c r="I44" s="3"/>
      <c r="J44" s="3"/>
      <c r="K44" s="3"/>
      <c r="L44" s="3"/>
      <c r="M44" s="3"/>
      <c r="N44" s="3"/>
      <c r="O44" s="3"/>
      <c r="P44" s="3"/>
      <c r="Q44" s="3"/>
      <c r="R44" s="3"/>
      <c r="S44" s="3"/>
      <c r="T44" s="3"/>
      <c r="U44" s="3"/>
      <c r="V44" s="3"/>
      <c r="W44" s="3"/>
      <c r="X44" s="3"/>
      <c r="Y44" s="3"/>
      <c r="Z44" s="3"/>
    </row>
    <row r="45" spans="1:26" ht="15" customHeight="1" x14ac:dyDescent="0.25">
      <c r="A45" s="1"/>
      <c r="B45" s="3"/>
      <c r="G45" s="3"/>
      <c r="H45" s="3"/>
      <c r="I45" s="3"/>
      <c r="J45" s="3"/>
      <c r="K45" s="3"/>
      <c r="L45" s="3"/>
      <c r="M45" s="3"/>
      <c r="N45" s="3"/>
      <c r="O45" s="3"/>
      <c r="P45" s="3"/>
      <c r="Q45" s="3"/>
      <c r="R45" s="3"/>
      <c r="S45" s="3"/>
      <c r="T45" s="3"/>
      <c r="U45" s="3"/>
      <c r="V45" s="3"/>
      <c r="W45" s="3"/>
      <c r="X45" s="3"/>
      <c r="Y45" s="3"/>
      <c r="Z45" s="3"/>
    </row>
    <row r="46" spans="1:26" ht="15" customHeight="1" x14ac:dyDescent="0.25">
      <c r="A46" s="1"/>
      <c r="B46" s="3"/>
      <c r="G46" s="3"/>
      <c r="H46" s="3"/>
      <c r="I46" s="3"/>
      <c r="J46" s="3"/>
      <c r="K46" s="3"/>
      <c r="L46" s="3"/>
      <c r="M46" s="3"/>
      <c r="N46" s="3"/>
      <c r="O46" s="3"/>
      <c r="P46" s="3"/>
      <c r="Q46" s="3"/>
      <c r="R46" s="3"/>
      <c r="S46" s="3"/>
      <c r="T46" s="3"/>
      <c r="U46" s="3"/>
      <c r="V46" s="3"/>
      <c r="W46" s="3"/>
      <c r="X46" s="3"/>
      <c r="Y46" s="3"/>
      <c r="Z46" s="3"/>
    </row>
    <row r="47" spans="1:26" ht="15" customHeight="1" x14ac:dyDescent="0.25">
      <c r="A47" s="1"/>
      <c r="B47" s="3"/>
      <c r="G47" s="3"/>
      <c r="H47" s="3"/>
      <c r="I47" s="3"/>
      <c r="J47" s="3"/>
      <c r="K47" s="3"/>
      <c r="L47" s="3"/>
      <c r="M47" s="3"/>
      <c r="N47" s="3"/>
      <c r="O47" s="3"/>
      <c r="P47" s="3"/>
      <c r="Q47" s="3"/>
      <c r="R47" s="3"/>
      <c r="S47" s="3"/>
      <c r="T47" s="3"/>
      <c r="U47" s="3"/>
      <c r="V47" s="3"/>
      <c r="W47" s="3"/>
      <c r="X47" s="3"/>
      <c r="Y47" s="3"/>
      <c r="Z47" s="3"/>
    </row>
    <row r="48" spans="1:26" ht="15" customHeight="1" x14ac:dyDescent="0.25">
      <c r="A48" s="1"/>
      <c r="B48" s="3"/>
      <c r="G48" s="3"/>
      <c r="H48" s="3"/>
      <c r="I48" s="3"/>
      <c r="J48" s="3"/>
      <c r="K48" s="3"/>
      <c r="L48" s="3"/>
      <c r="M48" s="3"/>
      <c r="N48" s="3"/>
      <c r="O48" s="3"/>
      <c r="P48" s="3"/>
      <c r="Q48" s="3"/>
      <c r="R48" s="3"/>
      <c r="S48" s="3"/>
      <c r="T48" s="3"/>
      <c r="U48" s="3"/>
      <c r="V48" s="3"/>
      <c r="W48" s="3"/>
      <c r="X48" s="3"/>
      <c r="Y48" s="3"/>
      <c r="Z48" s="3"/>
    </row>
    <row r="49" spans="1:26" ht="15" customHeight="1" x14ac:dyDescent="0.25">
      <c r="A49" s="1"/>
      <c r="B49" s="3"/>
      <c r="G49" s="3"/>
      <c r="H49" s="3"/>
      <c r="I49" s="3"/>
      <c r="J49" s="3"/>
      <c r="K49" s="3"/>
      <c r="L49" s="3"/>
      <c r="M49" s="3"/>
      <c r="N49" s="3"/>
      <c r="O49" s="3"/>
      <c r="P49" s="3"/>
      <c r="Q49" s="3"/>
      <c r="R49" s="3"/>
      <c r="S49" s="3"/>
      <c r="T49" s="3"/>
      <c r="U49" s="3"/>
      <c r="V49" s="3"/>
      <c r="W49" s="3"/>
      <c r="X49" s="3"/>
      <c r="Y49" s="3"/>
      <c r="Z49" s="3"/>
    </row>
    <row r="50" spans="1:26" ht="15" customHeight="1" x14ac:dyDescent="0.25">
      <c r="A50" s="1"/>
      <c r="B50" s="3"/>
      <c r="G50" s="3"/>
      <c r="H50" s="3"/>
      <c r="I50" s="3"/>
      <c r="J50" s="3"/>
      <c r="K50" s="3"/>
      <c r="L50" s="3"/>
      <c r="M50" s="3"/>
      <c r="N50" s="3"/>
      <c r="O50" s="3"/>
      <c r="P50" s="3"/>
      <c r="Q50" s="3"/>
      <c r="R50" s="3"/>
      <c r="S50" s="3"/>
      <c r="T50" s="3"/>
      <c r="U50" s="3"/>
      <c r="V50" s="3"/>
      <c r="W50" s="3"/>
      <c r="X50" s="3"/>
      <c r="Y50" s="3"/>
      <c r="Z50" s="3"/>
    </row>
    <row r="51" spans="1:26" ht="15" customHeight="1" x14ac:dyDescent="0.25">
      <c r="A51" s="1"/>
      <c r="B51" s="3"/>
      <c r="G51" s="3"/>
      <c r="H51" s="3"/>
      <c r="I51" s="3"/>
      <c r="J51" s="3"/>
      <c r="K51" s="3"/>
      <c r="L51" s="3"/>
      <c r="M51" s="3"/>
      <c r="N51" s="3"/>
      <c r="O51" s="3"/>
      <c r="P51" s="3"/>
      <c r="Q51" s="3"/>
      <c r="R51" s="3"/>
      <c r="S51" s="3"/>
      <c r="T51" s="3"/>
      <c r="U51" s="3"/>
      <c r="V51" s="3"/>
      <c r="W51" s="3"/>
      <c r="X51" s="3"/>
      <c r="Y51" s="3"/>
      <c r="Z51" s="3"/>
    </row>
    <row r="52" spans="1:26" ht="15" customHeight="1" x14ac:dyDescent="0.25">
      <c r="A52" s="1"/>
      <c r="B52" s="3"/>
      <c r="G52" s="3"/>
      <c r="H52" s="3"/>
      <c r="I52" s="3"/>
      <c r="J52" s="3"/>
      <c r="K52" s="3"/>
      <c r="L52" s="3"/>
      <c r="M52" s="3"/>
      <c r="N52" s="3"/>
      <c r="O52" s="3"/>
      <c r="P52" s="3"/>
      <c r="Q52" s="3"/>
      <c r="R52" s="3"/>
      <c r="S52" s="3"/>
      <c r="T52" s="3"/>
      <c r="U52" s="3"/>
      <c r="V52" s="3"/>
      <c r="W52" s="3"/>
      <c r="X52" s="3"/>
      <c r="Y52" s="3"/>
      <c r="Z52" s="3"/>
    </row>
    <row r="53" spans="1:26" ht="15" customHeight="1" x14ac:dyDescent="0.25">
      <c r="A53" s="1"/>
      <c r="B53" s="3"/>
      <c r="G53" s="3"/>
      <c r="H53" s="3"/>
      <c r="I53" s="3"/>
      <c r="J53" s="3"/>
      <c r="K53" s="3"/>
      <c r="L53" s="3"/>
      <c r="M53" s="3"/>
      <c r="N53" s="3"/>
      <c r="O53" s="3"/>
      <c r="P53" s="3"/>
      <c r="Q53" s="3"/>
      <c r="R53" s="3"/>
      <c r="S53" s="3"/>
      <c r="T53" s="3"/>
      <c r="U53" s="3"/>
      <c r="V53" s="3"/>
      <c r="W53" s="3"/>
      <c r="X53" s="3"/>
      <c r="Y53" s="3"/>
      <c r="Z53" s="3"/>
    </row>
    <row r="54" spans="1:26" ht="15" customHeight="1" x14ac:dyDescent="0.25">
      <c r="A54" s="1"/>
      <c r="B54" s="3"/>
      <c r="G54" s="3"/>
      <c r="H54" s="3"/>
      <c r="I54" s="3"/>
      <c r="J54" s="3"/>
      <c r="K54" s="3"/>
      <c r="L54" s="3"/>
      <c r="M54" s="3"/>
      <c r="N54" s="3"/>
      <c r="O54" s="3"/>
      <c r="P54" s="3"/>
      <c r="Q54" s="3"/>
      <c r="R54" s="3"/>
      <c r="S54" s="3"/>
      <c r="T54" s="3"/>
      <c r="U54" s="3"/>
      <c r="V54" s="3"/>
      <c r="W54" s="3"/>
      <c r="X54" s="3"/>
      <c r="Y54" s="3"/>
      <c r="Z54" s="3"/>
    </row>
    <row r="55" spans="1:26" ht="15" customHeight="1" x14ac:dyDescent="0.25">
      <c r="A55" s="1"/>
      <c r="B55" s="3"/>
      <c r="G55" s="3"/>
      <c r="H55" s="3"/>
      <c r="I55" s="3"/>
      <c r="J55" s="3"/>
      <c r="K55" s="3"/>
      <c r="L55" s="3"/>
      <c r="M55" s="3"/>
      <c r="N55" s="3"/>
      <c r="O55" s="3"/>
      <c r="P55" s="3"/>
      <c r="Q55" s="3"/>
      <c r="R55" s="3"/>
      <c r="S55" s="3"/>
      <c r="T55" s="3"/>
      <c r="U55" s="3"/>
      <c r="V55" s="3"/>
      <c r="W55" s="3"/>
      <c r="X55" s="3"/>
      <c r="Y55" s="3"/>
      <c r="Z55" s="3"/>
    </row>
    <row r="56" spans="1:26" ht="15" customHeight="1" x14ac:dyDescent="0.25">
      <c r="A56" s="1"/>
      <c r="B56" s="3"/>
      <c r="G56" s="3"/>
      <c r="H56" s="3"/>
      <c r="I56" s="3"/>
      <c r="J56" s="3"/>
      <c r="K56" s="3"/>
      <c r="L56" s="3"/>
      <c r="M56" s="3"/>
      <c r="N56" s="3"/>
      <c r="O56" s="3"/>
      <c r="P56" s="3"/>
      <c r="Q56" s="3"/>
      <c r="R56" s="3"/>
      <c r="S56" s="3"/>
      <c r="T56" s="3"/>
      <c r="U56" s="3"/>
      <c r="V56" s="3"/>
      <c r="W56" s="3"/>
      <c r="X56" s="3"/>
      <c r="Y56" s="3"/>
      <c r="Z56" s="3"/>
    </row>
    <row r="57" spans="1:26" ht="15" customHeight="1" x14ac:dyDescent="0.25">
      <c r="A57" s="1"/>
      <c r="B57" s="3"/>
      <c r="G57" s="3"/>
      <c r="H57" s="3"/>
      <c r="I57" s="3"/>
      <c r="J57" s="3"/>
      <c r="K57" s="3"/>
      <c r="L57" s="3"/>
      <c r="M57" s="3"/>
      <c r="N57" s="3"/>
      <c r="O57" s="3"/>
      <c r="P57" s="3"/>
      <c r="Q57" s="3"/>
      <c r="R57" s="3"/>
      <c r="S57" s="3"/>
      <c r="T57" s="3"/>
      <c r="U57" s="3"/>
      <c r="V57" s="3"/>
      <c r="W57" s="3"/>
      <c r="X57" s="3"/>
      <c r="Y57" s="3"/>
      <c r="Z57" s="3"/>
    </row>
    <row r="58" spans="1:26" ht="15.75" customHeight="1" x14ac:dyDescent="0.25">
      <c r="A58" s="1"/>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x14ac:dyDescent="0.25">
      <c r="A59" s="1"/>
      <c r="B59" s="3"/>
      <c r="C59" s="3"/>
      <c r="D59" s="3"/>
      <c r="E59" s="3"/>
      <c r="F59" s="3"/>
      <c r="G59" s="3"/>
      <c r="H59" s="3"/>
      <c r="I59" s="3"/>
      <c r="J59" s="3"/>
      <c r="K59" s="3"/>
      <c r="L59" s="3"/>
      <c r="M59" s="3"/>
      <c r="N59" s="3"/>
      <c r="O59" s="3"/>
      <c r="P59" s="3"/>
      <c r="Q59" s="3"/>
      <c r="R59" s="3"/>
      <c r="S59" s="3"/>
      <c r="T59" s="3"/>
      <c r="U59" s="3"/>
      <c r="V59" s="3"/>
      <c r="W59" s="3"/>
      <c r="X59" s="3"/>
      <c r="Y59" s="3"/>
      <c r="Z59" s="3"/>
    </row>
    <row r="60" spans="1:26" ht="15" customHeight="1" x14ac:dyDescent="0.25">
      <c r="A60" s="1" t="s">
        <v>62</v>
      </c>
      <c r="B60" s="3"/>
      <c r="G60" s="3"/>
      <c r="H60" s="3"/>
      <c r="I60" s="3"/>
      <c r="J60" s="3"/>
      <c r="K60" s="3"/>
      <c r="L60" s="3"/>
      <c r="M60" s="3"/>
      <c r="N60" s="3"/>
      <c r="O60" s="3"/>
      <c r="P60" s="3"/>
      <c r="Q60" s="3"/>
      <c r="R60" s="3"/>
      <c r="S60" s="3"/>
      <c r="T60" s="3"/>
      <c r="U60" s="3"/>
      <c r="V60" s="3"/>
      <c r="W60" s="3"/>
      <c r="X60" s="3"/>
      <c r="Y60" s="3"/>
      <c r="Z60" s="3"/>
    </row>
    <row r="61" spans="1:26" ht="15" customHeight="1" x14ac:dyDescent="0.25">
      <c r="A61" s="11" t="s">
        <v>282</v>
      </c>
      <c r="B61" s="3"/>
      <c r="G61" s="3"/>
      <c r="H61" s="3"/>
      <c r="I61" s="3"/>
      <c r="J61" s="3"/>
      <c r="K61" s="3"/>
      <c r="L61" s="3"/>
      <c r="M61" s="3"/>
      <c r="N61" s="3"/>
      <c r="O61" s="3"/>
      <c r="P61" s="3"/>
      <c r="Q61" s="3"/>
      <c r="R61" s="3"/>
      <c r="S61" s="3"/>
      <c r="T61" s="3"/>
      <c r="U61" s="3"/>
      <c r="V61" s="3"/>
      <c r="W61" s="3"/>
      <c r="X61" s="3"/>
      <c r="Y61" s="3"/>
      <c r="Z61" s="3"/>
    </row>
    <row r="62" spans="1:26" ht="15" customHeight="1" x14ac:dyDescent="0.25">
      <c r="A62" s="11" t="s">
        <v>283</v>
      </c>
      <c r="B62" s="3"/>
      <c r="G62" s="3"/>
      <c r="H62" s="3"/>
      <c r="I62" s="3"/>
      <c r="J62" s="3"/>
      <c r="K62" s="3"/>
      <c r="L62" s="3"/>
      <c r="M62" s="3"/>
      <c r="N62" s="3"/>
      <c r="O62" s="3"/>
      <c r="P62" s="3"/>
      <c r="Q62" s="3"/>
      <c r="R62" s="3"/>
      <c r="S62" s="3"/>
      <c r="T62" s="3"/>
      <c r="U62" s="3"/>
      <c r="V62" s="3"/>
      <c r="W62" s="3"/>
      <c r="X62" s="3"/>
      <c r="Y62" s="3"/>
      <c r="Z62" s="3"/>
    </row>
    <row r="63" spans="1:26" ht="15" customHeight="1" x14ac:dyDescent="0.25">
      <c r="A63" s="1" t="s">
        <v>67</v>
      </c>
      <c r="B63" s="3"/>
      <c r="G63" s="3"/>
      <c r="H63" s="3"/>
      <c r="I63" s="3"/>
      <c r="J63" s="3"/>
      <c r="K63" s="3"/>
      <c r="L63" s="3"/>
      <c r="M63" s="3"/>
      <c r="N63" s="3"/>
      <c r="O63" s="3"/>
      <c r="P63" s="3"/>
      <c r="Q63" s="3"/>
      <c r="R63" s="3"/>
      <c r="S63" s="3"/>
      <c r="T63" s="3"/>
      <c r="U63" s="3"/>
      <c r="V63" s="3"/>
      <c r="W63" s="3"/>
      <c r="X63" s="3"/>
      <c r="Y63" s="3"/>
      <c r="Z63" s="3"/>
    </row>
    <row r="64" spans="1:26" ht="15.75" customHeight="1" x14ac:dyDescent="0.25">
      <c r="A64" s="1"/>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x14ac:dyDescent="0.25">
      <c r="A65" s="1"/>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x14ac:dyDescent="0.25">
      <c r="A66" s="1"/>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x14ac:dyDescent="0.25">
      <c r="A67" s="1"/>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x14ac:dyDescent="0.25">
      <c r="A68" s="1"/>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x14ac:dyDescent="0.25">
      <c r="A69" s="1"/>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x14ac:dyDescent="0.25">
      <c r="A70" s="1"/>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x14ac:dyDescent="0.25">
      <c r="A71" s="1"/>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x14ac:dyDescent="0.25">
      <c r="A72" s="1"/>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x14ac:dyDescent="0.25">
      <c r="A73" s="1"/>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x14ac:dyDescent="0.25">
      <c r="A74" s="1"/>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x14ac:dyDescent="0.25">
      <c r="A75" s="1"/>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x14ac:dyDescent="0.25">
      <c r="A76" s="1"/>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x14ac:dyDescent="0.25">
      <c r="A77" s="1"/>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x14ac:dyDescent="0.25">
      <c r="A78" s="1"/>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x14ac:dyDescent="0.25">
      <c r="A79" s="1"/>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x14ac:dyDescent="0.25">
      <c r="A80" s="1"/>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x14ac:dyDescent="0.25">
      <c r="A81" s="1"/>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x14ac:dyDescent="0.25">
      <c r="A82" s="1"/>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x14ac:dyDescent="0.25">
      <c r="A83" s="1"/>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x14ac:dyDescent="0.25">
      <c r="A84" s="1"/>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x14ac:dyDescent="0.25">
      <c r="A85" s="1"/>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x14ac:dyDescent="0.25">
      <c r="A86" s="1"/>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x14ac:dyDescent="0.25">
      <c r="A87" s="1"/>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x14ac:dyDescent="0.25">
      <c r="A88" s="1"/>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x14ac:dyDescent="0.25">
      <c r="A89" s="1"/>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x14ac:dyDescent="0.25">
      <c r="A90" s="1"/>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x14ac:dyDescent="0.25">
      <c r="A91" s="1"/>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x14ac:dyDescent="0.25">
      <c r="A92" s="1"/>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x14ac:dyDescent="0.25">
      <c r="A93" s="1"/>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x14ac:dyDescent="0.25">
      <c r="A94" s="1"/>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x14ac:dyDescent="0.25">
      <c r="A95" s="1"/>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x14ac:dyDescent="0.25">
      <c r="A96" s="1"/>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x14ac:dyDescent="0.25">
      <c r="A97" s="1"/>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x14ac:dyDescent="0.25">
      <c r="A98" s="1"/>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x14ac:dyDescent="0.25">
      <c r="A99" s="1"/>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x14ac:dyDescent="0.25">
      <c r="A100" s="1"/>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x14ac:dyDescent="0.25">
      <c r="A101" s="1"/>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x14ac:dyDescent="0.25">
      <c r="A102" s="1"/>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x14ac:dyDescent="0.25">
      <c r="A103" s="1"/>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x14ac:dyDescent="0.25">
      <c r="A104" s="1"/>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x14ac:dyDescent="0.25">
      <c r="A105" s="1"/>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x14ac:dyDescent="0.25">
      <c r="A106" s="1"/>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x14ac:dyDescent="0.25">
      <c r="A107" s="1"/>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x14ac:dyDescent="0.25">
      <c r="A108" s="1"/>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x14ac:dyDescent="0.25">
      <c r="A109" s="1"/>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x14ac:dyDescent="0.25">
      <c r="A110" s="1"/>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x14ac:dyDescent="0.25">
      <c r="A111" s="1"/>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x14ac:dyDescent="0.25">
      <c r="A112" s="1"/>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x14ac:dyDescent="0.25">
      <c r="A113" s="1"/>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x14ac:dyDescent="0.25">
      <c r="A114" s="1"/>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x14ac:dyDescent="0.25">
      <c r="A115" s="1"/>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x14ac:dyDescent="0.25">
      <c r="A116" s="1"/>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x14ac:dyDescent="0.25">
      <c r="A117" s="1"/>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x14ac:dyDescent="0.25">
      <c r="A118" s="1"/>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x14ac:dyDescent="0.25">
      <c r="A119" s="1"/>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x14ac:dyDescent="0.25">
      <c r="A120" s="1"/>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x14ac:dyDescent="0.25">
      <c r="A121" s="1"/>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x14ac:dyDescent="0.25">
      <c r="A122" s="1"/>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x14ac:dyDescent="0.25">
      <c r="A123" s="1"/>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x14ac:dyDescent="0.25">
      <c r="A124" s="1"/>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x14ac:dyDescent="0.25">
      <c r="A125" s="1"/>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x14ac:dyDescent="0.25">
      <c r="A126" s="1"/>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x14ac:dyDescent="0.25">
      <c r="A127" s="1"/>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x14ac:dyDescent="0.25">
      <c r="A128" s="1"/>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x14ac:dyDescent="0.25">
      <c r="A129" s="1"/>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x14ac:dyDescent="0.25">
      <c r="A130" s="1"/>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x14ac:dyDescent="0.25">
      <c r="A131" s="1"/>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x14ac:dyDescent="0.25">
      <c r="A132" s="1"/>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x14ac:dyDescent="0.25">
      <c r="A133" s="1"/>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x14ac:dyDescent="0.25">
      <c r="A134" s="1"/>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x14ac:dyDescent="0.25">
      <c r="A135" s="1"/>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x14ac:dyDescent="0.25">
      <c r="A136" s="1"/>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x14ac:dyDescent="0.25">
      <c r="A137" s="1"/>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x14ac:dyDescent="0.25">
      <c r="A138" s="1"/>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x14ac:dyDescent="0.25">
      <c r="A139" s="1"/>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x14ac:dyDescent="0.25">
      <c r="A140" s="1"/>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x14ac:dyDescent="0.25">
      <c r="A141" s="1"/>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x14ac:dyDescent="0.25">
      <c r="A142" s="1"/>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x14ac:dyDescent="0.25">
      <c r="A143" s="1"/>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x14ac:dyDescent="0.25">
      <c r="A144" s="1"/>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x14ac:dyDescent="0.25">
      <c r="A145" s="1"/>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x14ac:dyDescent="0.25">
      <c r="A146" s="1"/>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x14ac:dyDescent="0.25">
      <c r="A147" s="1"/>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x14ac:dyDescent="0.25">
      <c r="A148" s="1"/>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x14ac:dyDescent="0.25">
      <c r="A149" s="1"/>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x14ac:dyDescent="0.25">
      <c r="A150" s="1"/>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x14ac:dyDescent="0.25">
      <c r="A151" s="1"/>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x14ac:dyDescent="0.25">
      <c r="A152" s="1"/>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x14ac:dyDescent="0.25">
      <c r="A153" s="1"/>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x14ac:dyDescent="0.25">
      <c r="A154" s="1"/>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x14ac:dyDescent="0.25">
      <c r="A155" s="1"/>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x14ac:dyDescent="0.25">
      <c r="A156" s="1"/>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x14ac:dyDescent="0.25">
      <c r="A157" s="1"/>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x14ac:dyDescent="0.25">
      <c r="A158" s="1"/>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x14ac:dyDescent="0.25">
      <c r="A159" s="1"/>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x14ac:dyDescent="0.25">
      <c r="A160" s="1"/>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x14ac:dyDescent="0.25">
      <c r="A161" s="1"/>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x14ac:dyDescent="0.25">
      <c r="A162" s="1"/>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x14ac:dyDescent="0.25">
      <c r="A163" s="1"/>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x14ac:dyDescent="0.25">
      <c r="A164" s="1"/>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x14ac:dyDescent="0.25">
      <c r="A165" s="1"/>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x14ac:dyDescent="0.25">
      <c r="A166" s="1"/>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x14ac:dyDescent="0.25">
      <c r="A167" s="1"/>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x14ac:dyDescent="0.25">
      <c r="A168" s="1"/>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x14ac:dyDescent="0.25">
      <c r="A169" s="1"/>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x14ac:dyDescent="0.25">
      <c r="A170" s="1"/>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x14ac:dyDescent="0.25">
      <c r="A171" s="1"/>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x14ac:dyDescent="0.25">
      <c r="A172" s="1"/>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x14ac:dyDescent="0.25">
      <c r="A173" s="1"/>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x14ac:dyDescent="0.25">
      <c r="A174" s="1"/>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x14ac:dyDescent="0.25">
      <c r="A175" s="1"/>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x14ac:dyDescent="0.25">
      <c r="A176" s="1"/>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x14ac:dyDescent="0.25">
      <c r="A177" s="1"/>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x14ac:dyDescent="0.25">
      <c r="A178" s="1"/>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x14ac:dyDescent="0.25">
      <c r="A179" s="1"/>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x14ac:dyDescent="0.25">
      <c r="A180" s="1"/>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x14ac:dyDescent="0.25">
      <c r="A181" s="1"/>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x14ac:dyDescent="0.25">
      <c r="A182" s="1"/>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x14ac:dyDescent="0.25">
      <c r="A183" s="1"/>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x14ac:dyDescent="0.25">
      <c r="A184" s="1"/>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x14ac:dyDescent="0.25">
      <c r="A185" s="1"/>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x14ac:dyDescent="0.25">
      <c r="A186" s="1"/>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x14ac:dyDescent="0.25">
      <c r="A187" s="1"/>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x14ac:dyDescent="0.25">
      <c r="A188" s="1"/>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x14ac:dyDescent="0.25">
      <c r="A189" s="1"/>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x14ac:dyDescent="0.25">
      <c r="A190" s="1"/>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x14ac:dyDescent="0.25">
      <c r="A191" s="1"/>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x14ac:dyDescent="0.25">
      <c r="A192" s="1"/>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x14ac:dyDescent="0.25">
      <c r="A193" s="1"/>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x14ac:dyDescent="0.25">
      <c r="A194" s="1"/>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x14ac:dyDescent="0.25">
      <c r="A195" s="1"/>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x14ac:dyDescent="0.25">
      <c r="A196" s="1"/>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x14ac:dyDescent="0.25">
      <c r="A197" s="1"/>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x14ac:dyDescent="0.25">
      <c r="A198" s="1"/>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x14ac:dyDescent="0.25">
      <c r="A199" s="1"/>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x14ac:dyDescent="0.25">
      <c r="A200" s="1"/>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x14ac:dyDescent="0.25">
      <c r="A201" s="1"/>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x14ac:dyDescent="0.25">
      <c r="A202" s="1"/>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x14ac:dyDescent="0.25">
      <c r="A203" s="1"/>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x14ac:dyDescent="0.25">
      <c r="A204" s="1"/>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x14ac:dyDescent="0.25">
      <c r="A205" s="1"/>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x14ac:dyDescent="0.25">
      <c r="A206" s="1"/>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x14ac:dyDescent="0.25">
      <c r="A207" s="1"/>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x14ac:dyDescent="0.25">
      <c r="A208" s="1"/>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x14ac:dyDescent="0.25">
      <c r="A209" s="1"/>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x14ac:dyDescent="0.25">
      <c r="A210" s="1"/>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x14ac:dyDescent="0.25">
      <c r="A211" s="1"/>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x14ac:dyDescent="0.25">
      <c r="A212" s="1"/>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x14ac:dyDescent="0.25">
      <c r="A213" s="1"/>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x14ac:dyDescent="0.25">
      <c r="A214" s="1"/>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x14ac:dyDescent="0.25">
      <c r="A215" s="1"/>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x14ac:dyDescent="0.25">
      <c r="A216" s="1"/>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x14ac:dyDescent="0.25">
      <c r="A217" s="1"/>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x14ac:dyDescent="0.25">
      <c r="A218" s="1"/>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x14ac:dyDescent="0.25">
      <c r="A219" s="1"/>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x14ac:dyDescent="0.25">
      <c r="A220" s="1"/>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x14ac:dyDescent="0.25">
      <c r="A221" s="1"/>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x14ac:dyDescent="0.25">
      <c r="A222" s="1"/>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x14ac:dyDescent="0.25">
      <c r="A223" s="1"/>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x14ac:dyDescent="0.25">
      <c r="A224" s="1"/>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x14ac:dyDescent="0.25">
      <c r="A225" s="1"/>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x14ac:dyDescent="0.25">
      <c r="A226" s="1"/>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x14ac:dyDescent="0.25">
      <c r="A227" s="1"/>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x14ac:dyDescent="0.25">
      <c r="A228" s="1"/>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x14ac:dyDescent="0.25">
      <c r="A229" s="1"/>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x14ac:dyDescent="0.25">
      <c r="A230" s="1"/>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x14ac:dyDescent="0.25">
      <c r="A231" s="1"/>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x14ac:dyDescent="0.25">
      <c r="A232" s="1"/>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x14ac:dyDescent="0.25">
      <c r="A233" s="1"/>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x14ac:dyDescent="0.25">
      <c r="A234" s="1"/>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x14ac:dyDescent="0.25">
      <c r="A235" s="1"/>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x14ac:dyDescent="0.25">
      <c r="A236" s="1"/>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x14ac:dyDescent="0.25">
      <c r="A237" s="1"/>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x14ac:dyDescent="0.25">
      <c r="A238" s="1"/>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x14ac:dyDescent="0.25">
      <c r="A239" s="1"/>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x14ac:dyDescent="0.25">
      <c r="A240" s="1"/>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x14ac:dyDescent="0.25">
      <c r="A241" s="1"/>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x14ac:dyDescent="0.25">
      <c r="A242" s="1"/>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x14ac:dyDescent="0.25">
      <c r="A243" s="1"/>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x14ac:dyDescent="0.25">
      <c r="A244" s="1"/>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x14ac:dyDescent="0.25">
      <c r="A245" s="1"/>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x14ac:dyDescent="0.25">
      <c r="A246" s="1"/>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x14ac:dyDescent="0.25">
      <c r="A247" s="1"/>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x14ac:dyDescent="0.25">
      <c r="A248" s="1"/>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x14ac:dyDescent="0.25">
      <c r="A249" s="1"/>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x14ac:dyDescent="0.25">
      <c r="A250" s="1"/>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x14ac:dyDescent="0.25">
      <c r="A251" s="1"/>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x14ac:dyDescent="0.25">
      <c r="A252" s="1"/>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x14ac:dyDescent="0.25">
      <c r="A253" s="1"/>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x14ac:dyDescent="0.25">
      <c r="A254" s="1"/>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x14ac:dyDescent="0.25">
      <c r="A255" s="1"/>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x14ac:dyDescent="0.25">
      <c r="A256" s="1"/>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x14ac:dyDescent="0.25">
      <c r="A257" s="1"/>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x14ac:dyDescent="0.25">
      <c r="A258" s="1"/>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x14ac:dyDescent="0.25">
      <c r="A259" s="1"/>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x14ac:dyDescent="0.25">
      <c r="A260" s="1"/>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x14ac:dyDescent="0.25">
      <c r="A261" s="1"/>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x14ac:dyDescent="0.25">
      <c r="A262" s="1"/>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x14ac:dyDescent="0.25">
      <c r="A263" s="1"/>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x14ac:dyDescent="0.25">
      <c r="A264" s="1"/>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x14ac:dyDescent="0.25">
      <c r="A265" s="1"/>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x14ac:dyDescent="0.25">
      <c r="A266" s="1"/>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x14ac:dyDescent="0.25">
      <c r="A267" s="1"/>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x14ac:dyDescent="0.25">
      <c r="A268" s="1"/>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x14ac:dyDescent="0.25">
      <c r="A269" s="1"/>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x14ac:dyDescent="0.25">
      <c r="A270" s="1"/>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x14ac:dyDescent="0.25">
      <c r="A271" s="1"/>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x14ac:dyDescent="0.25">
      <c r="A272" s="1"/>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x14ac:dyDescent="0.25">
      <c r="A273" s="1"/>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x14ac:dyDescent="0.25">
      <c r="A274" s="1"/>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x14ac:dyDescent="0.25">
      <c r="A275" s="1"/>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x14ac:dyDescent="0.25">
      <c r="A276" s="1"/>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x14ac:dyDescent="0.25">
      <c r="A277" s="1"/>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x14ac:dyDescent="0.25">
      <c r="A278" s="1"/>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x14ac:dyDescent="0.25">
      <c r="A279" s="1"/>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x14ac:dyDescent="0.25">
      <c r="A280" s="1"/>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x14ac:dyDescent="0.25">
      <c r="A281" s="1"/>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x14ac:dyDescent="0.25">
      <c r="A282" s="1"/>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x14ac:dyDescent="0.25">
      <c r="A283" s="1"/>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x14ac:dyDescent="0.25">
      <c r="A284" s="1"/>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x14ac:dyDescent="0.25">
      <c r="A285" s="1"/>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x14ac:dyDescent="0.25">
      <c r="A286" s="1"/>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x14ac:dyDescent="0.25">
      <c r="A287" s="1"/>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x14ac:dyDescent="0.25">
      <c r="A288" s="1"/>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x14ac:dyDescent="0.25">
      <c r="A289" s="1"/>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x14ac:dyDescent="0.25">
      <c r="A290" s="1"/>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x14ac:dyDescent="0.25">
      <c r="A291" s="1"/>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x14ac:dyDescent="0.25">
      <c r="A292" s="1"/>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x14ac:dyDescent="0.25">
      <c r="A293" s="1"/>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x14ac:dyDescent="0.25">
      <c r="A294" s="1"/>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x14ac:dyDescent="0.25">
      <c r="A295" s="1"/>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x14ac:dyDescent="0.25">
      <c r="A296" s="1"/>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x14ac:dyDescent="0.25">
      <c r="A297" s="1"/>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x14ac:dyDescent="0.25">
      <c r="A298" s="1"/>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x14ac:dyDescent="0.25">
      <c r="A299" s="1"/>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x14ac:dyDescent="0.25">
      <c r="A300" s="1"/>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x14ac:dyDescent="0.25">
      <c r="A301" s="1"/>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x14ac:dyDescent="0.25">
      <c r="A302" s="1"/>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x14ac:dyDescent="0.25">
      <c r="A303" s="1"/>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x14ac:dyDescent="0.25">
      <c r="A304" s="1"/>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x14ac:dyDescent="0.25">
      <c r="A305" s="1"/>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x14ac:dyDescent="0.25">
      <c r="A306" s="1"/>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x14ac:dyDescent="0.25">
      <c r="A307" s="1"/>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x14ac:dyDescent="0.25">
      <c r="A308" s="1"/>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x14ac:dyDescent="0.25">
      <c r="A309" s="1"/>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x14ac:dyDescent="0.25">
      <c r="A310" s="1"/>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x14ac:dyDescent="0.25">
      <c r="A311" s="1"/>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x14ac:dyDescent="0.25">
      <c r="A312" s="1"/>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x14ac:dyDescent="0.25">
      <c r="A313" s="1"/>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x14ac:dyDescent="0.25">
      <c r="A314" s="1"/>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x14ac:dyDescent="0.25">
      <c r="A315" s="1"/>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x14ac:dyDescent="0.25">
      <c r="A316" s="1"/>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x14ac:dyDescent="0.25">
      <c r="A317" s="1"/>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x14ac:dyDescent="0.25">
      <c r="A318" s="1"/>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x14ac:dyDescent="0.25">
      <c r="A319" s="1"/>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x14ac:dyDescent="0.25">
      <c r="A320" s="1"/>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x14ac:dyDescent="0.25">
      <c r="A321" s="1"/>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x14ac:dyDescent="0.25">
      <c r="A322" s="1"/>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x14ac:dyDescent="0.25">
      <c r="A323" s="1"/>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x14ac:dyDescent="0.25">
      <c r="A324" s="1"/>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x14ac:dyDescent="0.25">
      <c r="A325" s="1"/>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x14ac:dyDescent="0.25">
      <c r="A326" s="1"/>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x14ac:dyDescent="0.25">
      <c r="A327" s="1"/>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x14ac:dyDescent="0.25">
      <c r="A328" s="1"/>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x14ac:dyDescent="0.25">
      <c r="A329" s="1"/>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x14ac:dyDescent="0.25">
      <c r="A330" s="1"/>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x14ac:dyDescent="0.25">
      <c r="A331" s="1"/>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x14ac:dyDescent="0.25">
      <c r="A332" s="1"/>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x14ac:dyDescent="0.25">
      <c r="A333" s="1"/>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x14ac:dyDescent="0.25">
      <c r="A334" s="1"/>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x14ac:dyDescent="0.25">
      <c r="A335" s="1"/>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x14ac:dyDescent="0.25">
      <c r="A336" s="1"/>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x14ac:dyDescent="0.25">
      <c r="A337" s="1"/>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x14ac:dyDescent="0.25">
      <c r="A338" s="1"/>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x14ac:dyDescent="0.25">
      <c r="A339" s="1"/>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x14ac:dyDescent="0.25">
      <c r="A340" s="1"/>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x14ac:dyDescent="0.25">
      <c r="A341" s="1"/>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x14ac:dyDescent="0.25">
      <c r="A342" s="1"/>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x14ac:dyDescent="0.25">
      <c r="A343" s="1"/>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x14ac:dyDescent="0.25">
      <c r="A344" s="1"/>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x14ac:dyDescent="0.25">
      <c r="A345" s="1"/>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x14ac:dyDescent="0.25">
      <c r="A346" s="1"/>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x14ac:dyDescent="0.25">
      <c r="A347" s="1"/>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x14ac:dyDescent="0.25">
      <c r="A348" s="1"/>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x14ac:dyDescent="0.25">
      <c r="A349" s="1"/>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x14ac:dyDescent="0.25">
      <c r="A350" s="1"/>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x14ac:dyDescent="0.25">
      <c r="A351" s="1"/>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x14ac:dyDescent="0.25">
      <c r="A352" s="1"/>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x14ac:dyDescent="0.25">
      <c r="A353" s="1"/>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x14ac:dyDescent="0.25">
      <c r="A354" s="1"/>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x14ac:dyDescent="0.25">
      <c r="A355" s="1"/>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x14ac:dyDescent="0.25">
      <c r="A356" s="1"/>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x14ac:dyDescent="0.25">
      <c r="A357" s="1"/>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x14ac:dyDescent="0.25">
      <c r="A358" s="1"/>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x14ac:dyDescent="0.25">
      <c r="A359" s="1"/>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x14ac:dyDescent="0.25">
      <c r="A360" s="1"/>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x14ac:dyDescent="0.25">
      <c r="A361" s="1"/>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x14ac:dyDescent="0.25">
      <c r="A362" s="1"/>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x14ac:dyDescent="0.25">
      <c r="A363" s="1"/>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x14ac:dyDescent="0.25">
      <c r="A364" s="1"/>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x14ac:dyDescent="0.25">
      <c r="A365" s="1"/>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x14ac:dyDescent="0.25">
      <c r="A366" s="1"/>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x14ac:dyDescent="0.25">
      <c r="A367" s="1"/>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x14ac:dyDescent="0.25">
      <c r="A368" s="1"/>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x14ac:dyDescent="0.25">
      <c r="A369" s="1"/>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x14ac:dyDescent="0.25">
      <c r="A370" s="1"/>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x14ac:dyDescent="0.25">
      <c r="A371" s="1"/>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x14ac:dyDescent="0.25">
      <c r="A372" s="1"/>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x14ac:dyDescent="0.25">
      <c r="A373" s="1"/>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x14ac:dyDescent="0.25">
      <c r="A374" s="1"/>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x14ac:dyDescent="0.25">
      <c r="A375" s="1"/>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x14ac:dyDescent="0.25">
      <c r="A376" s="1"/>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x14ac:dyDescent="0.25">
      <c r="A377" s="1"/>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x14ac:dyDescent="0.25">
      <c r="A378" s="1"/>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x14ac:dyDescent="0.25">
      <c r="A379" s="1"/>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x14ac:dyDescent="0.25">
      <c r="A380" s="1"/>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x14ac:dyDescent="0.25">
      <c r="A381" s="1"/>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x14ac:dyDescent="0.25">
      <c r="A382" s="1"/>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x14ac:dyDescent="0.25">
      <c r="A383" s="1"/>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x14ac:dyDescent="0.25">
      <c r="A384" s="1"/>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x14ac:dyDescent="0.25">
      <c r="A385" s="1"/>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x14ac:dyDescent="0.25">
      <c r="A386" s="1"/>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x14ac:dyDescent="0.25">
      <c r="A387" s="1"/>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x14ac:dyDescent="0.25">
      <c r="A388" s="1"/>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x14ac:dyDescent="0.25">
      <c r="A389" s="1"/>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x14ac:dyDescent="0.25">
      <c r="A390" s="1"/>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x14ac:dyDescent="0.25">
      <c r="A391" s="1"/>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x14ac:dyDescent="0.25">
      <c r="A392" s="1"/>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x14ac:dyDescent="0.25">
      <c r="A393" s="1"/>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x14ac:dyDescent="0.25">
      <c r="A394" s="1"/>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x14ac:dyDescent="0.25">
      <c r="A395" s="1"/>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x14ac:dyDescent="0.25">
      <c r="A396" s="1"/>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x14ac:dyDescent="0.25">
      <c r="A397" s="1"/>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x14ac:dyDescent="0.25">
      <c r="A398" s="1"/>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x14ac:dyDescent="0.25">
      <c r="A399" s="1"/>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x14ac:dyDescent="0.25">
      <c r="A400" s="1"/>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x14ac:dyDescent="0.25">
      <c r="A401" s="1"/>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x14ac:dyDescent="0.25">
      <c r="A402" s="1"/>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x14ac:dyDescent="0.25">
      <c r="A403" s="1"/>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x14ac:dyDescent="0.25">
      <c r="A404" s="1"/>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x14ac:dyDescent="0.25">
      <c r="A405" s="1"/>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x14ac:dyDescent="0.25">
      <c r="A406" s="1"/>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x14ac:dyDescent="0.25">
      <c r="A407" s="1"/>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x14ac:dyDescent="0.25">
      <c r="A408" s="1"/>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x14ac:dyDescent="0.25">
      <c r="A409" s="1"/>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x14ac:dyDescent="0.25">
      <c r="A410" s="1"/>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x14ac:dyDescent="0.25">
      <c r="A411" s="1"/>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x14ac:dyDescent="0.25">
      <c r="A412" s="1"/>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x14ac:dyDescent="0.25">
      <c r="A413" s="1"/>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x14ac:dyDescent="0.25">
      <c r="A414" s="1"/>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x14ac:dyDescent="0.25">
      <c r="A415" s="1"/>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x14ac:dyDescent="0.25">
      <c r="A416" s="1"/>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x14ac:dyDescent="0.25">
      <c r="A417" s="1"/>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x14ac:dyDescent="0.25">
      <c r="A418" s="1"/>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x14ac:dyDescent="0.25">
      <c r="A419" s="1"/>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x14ac:dyDescent="0.25">
      <c r="A420" s="1"/>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x14ac:dyDescent="0.25">
      <c r="A421" s="1"/>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x14ac:dyDescent="0.25">
      <c r="A422" s="1"/>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x14ac:dyDescent="0.25">
      <c r="A423" s="1"/>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x14ac:dyDescent="0.25">
      <c r="A424" s="1"/>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x14ac:dyDescent="0.25">
      <c r="A425" s="1"/>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x14ac:dyDescent="0.25">
      <c r="A426" s="1"/>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x14ac:dyDescent="0.25">
      <c r="A427" s="1"/>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x14ac:dyDescent="0.25">
      <c r="A428" s="1"/>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x14ac:dyDescent="0.25">
      <c r="A429" s="1"/>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x14ac:dyDescent="0.25">
      <c r="A430" s="1"/>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x14ac:dyDescent="0.25">
      <c r="A431" s="1"/>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x14ac:dyDescent="0.25">
      <c r="A432" s="1"/>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x14ac:dyDescent="0.25">
      <c r="A433" s="1"/>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x14ac:dyDescent="0.25">
      <c r="A434" s="1"/>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x14ac:dyDescent="0.25">
      <c r="A435" s="1"/>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x14ac:dyDescent="0.25">
      <c r="A436" s="1"/>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x14ac:dyDescent="0.25">
      <c r="A437" s="1"/>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x14ac:dyDescent="0.25">
      <c r="A438" s="1"/>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x14ac:dyDescent="0.25">
      <c r="A439" s="1"/>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x14ac:dyDescent="0.25">
      <c r="A440" s="1"/>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x14ac:dyDescent="0.25">
      <c r="A441" s="1"/>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x14ac:dyDescent="0.25">
      <c r="A442" s="1"/>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x14ac:dyDescent="0.25">
      <c r="A443" s="1"/>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x14ac:dyDescent="0.25">
      <c r="A444" s="1"/>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x14ac:dyDescent="0.25">
      <c r="A445" s="1"/>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x14ac:dyDescent="0.25">
      <c r="A446" s="1"/>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x14ac:dyDescent="0.25">
      <c r="A447" s="1"/>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x14ac:dyDescent="0.25">
      <c r="A448" s="1"/>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x14ac:dyDescent="0.25">
      <c r="A449" s="1"/>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x14ac:dyDescent="0.25">
      <c r="A450" s="1"/>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x14ac:dyDescent="0.25">
      <c r="A451" s="1"/>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x14ac:dyDescent="0.25">
      <c r="A452" s="1"/>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x14ac:dyDescent="0.25">
      <c r="A453" s="1"/>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x14ac:dyDescent="0.25">
      <c r="A454" s="1"/>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x14ac:dyDescent="0.25">
      <c r="A455" s="1"/>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x14ac:dyDescent="0.25">
      <c r="A456" s="1"/>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x14ac:dyDescent="0.25">
      <c r="A457" s="1"/>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x14ac:dyDescent="0.25">
      <c r="A458" s="1"/>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x14ac:dyDescent="0.25">
      <c r="A459" s="1"/>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x14ac:dyDescent="0.25">
      <c r="A460" s="1"/>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x14ac:dyDescent="0.25">
      <c r="A461" s="1"/>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x14ac:dyDescent="0.25">
      <c r="A462" s="1"/>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x14ac:dyDescent="0.25">
      <c r="A463" s="1"/>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x14ac:dyDescent="0.25">
      <c r="A464" s="1"/>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x14ac:dyDescent="0.25">
      <c r="A465" s="1"/>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x14ac:dyDescent="0.25">
      <c r="A466" s="1"/>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x14ac:dyDescent="0.25">
      <c r="A467" s="1"/>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x14ac:dyDescent="0.25">
      <c r="A468" s="1"/>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x14ac:dyDescent="0.25">
      <c r="A469" s="1"/>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x14ac:dyDescent="0.25">
      <c r="A470" s="1"/>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x14ac:dyDescent="0.25">
      <c r="A471" s="1"/>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x14ac:dyDescent="0.25">
      <c r="A472" s="1"/>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x14ac:dyDescent="0.25">
      <c r="A473" s="1"/>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x14ac:dyDescent="0.25">
      <c r="A474" s="1"/>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x14ac:dyDescent="0.25">
      <c r="A475" s="1"/>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x14ac:dyDescent="0.25">
      <c r="A476" s="1"/>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x14ac:dyDescent="0.25">
      <c r="A477" s="1"/>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x14ac:dyDescent="0.25">
      <c r="A478" s="1"/>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x14ac:dyDescent="0.25">
      <c r="A479" s="1"/>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x14ac:dyDescent="0.25">
      <c r="A480" s="1"/>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x14ac:dyDescent="0.25">
      <c r="A481" s="1"/>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x14ac:dyDescent="0.25">
      <c r="A482" s="1"/>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x14ac:dyDescent="0.25">
      <c r="A483" s="1"/>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x14ac:dyDescent="0.25">
      <c r="A484" s="1"/>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x14ac:dyDescent="0.25">
      <c r="A485" s="1"/>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x14ac:dyDescent="0.25">
      <c r="A486" s="1"/>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x14ac:dyDescent="0.25">
      <c r="A487" s="1"/>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x14ac:dyDescent="0.25">
      <c r="A488" s="1"/>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x14ac:dyDescent="0.25">
      <c r="A489" s="1"/>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x14ac:dyDescent="0.25">
      <c r="A490" s="1"/>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x14ac:dyDescent="0.25">
      <c r="A491" s="1"/>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x14ac:dyDescent="0.25">
      <c r="A492" s="1"/>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x14ac:dyDescent="0.25">
      <c r="A493" s="1"/>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x14ac:dyDescent="0.25">
      <c r="A494" s="1"/>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x14ac:dyDescent="0.25">
      <c r="A495" s="1"/>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x14ac:dyDescent="0.25">
      <c r="A496" s="1"/>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x14ac:dyDescent="0.25">
      <c r="A497" s="1"/>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x14ac:dyDescent="0.25">
      <c r="A498" s="1"/>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x14ac:dyDescent="0.25">
      <c r="A499" s="1"/>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x14ac:dyDescent="0.25">
      <c r="A500" s="1"/>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x14ac:dyDescent="0.25">
      <c r="A501" s="1"/>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x14ac:dyDescent="0.25">
      <c r="A502" s="1"/>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x14ac:dyDescent="0.25">
      <c r="A503" s="1"/>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x14ac:dyDescent="0.25">
      <c r="A504" s="1"/>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x14ac:dyDescent="0.25">
      <c r="A505" s="1"/>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x14ac:dyDescent="0.25">
      <c r="A506" s="1"/>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x14ac:dyDescent="0.25">
      <c r="A507" s="1"/>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x14ac:dyDescent="0.25">
      <c r="A508" s="1"/>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x14ac:dyDescent="0.25">
      <c r="A509" s="1"/>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x14ac:dyDescent="0.25">
      <c r="A510" s="1"/>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x14ac:dyDescent="0.25">
      <c r="A511" s="1"/>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x14ac:dyDescent="0.25">
      <c r="A512" s="1"/>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x14ac:dyDescent="0.25">
      <c r="A513" s="1"/>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x14ac:dyDescent="0.25">
      <c r="A514" s="1"/>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x14ac:dyDescent="0.25">
      <c r="A515" s="1"/>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x14ac:dyDescent="0.25">
      <c r="A516" s="1"/>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x14ac:dyDescent="0.25">
      <c r="A517" s="1"/>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x14ac:dyDescent="0.25">
      <c r="A518" s="1"/>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x14ac:dyDescent="0.25">
      <c r="A519" s="1"/>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x14ac:dyDescent="0.25">
      <c r="A520" s="1"/>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x14ac:dyDescent="0.25">
      <c r="A521" s="1"/>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x14ac:dyDescent="0.25">
      <c r="A522" s="1"/>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x14ac:dyDescent="0.25">
      <c r="A523" s="1"/>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x14ac:dyDescent="0.25">
      <c r="A524" s="1"/>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x14ac:dyDescent="0.25">
      <c r="A525" s="1"/>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x14ac:dyDescent="0.25">
      <c r="A526" s="1"/>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x14ac:dyDescent="0.25">
      <c r="A527" s="1"/>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x14ac:dyDescent="0.25">
      <c r="A528" s="1"/>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x14ac:dyDescent="0.25">
      <c r="A529" s="1"/>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x14ac:dyDescent="0.25">
      <c r="A530" s="1"/>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x14ac:dyDescent="0.25">
      <c r="A531" s="1"/>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x14ac:dyDescent="0.25">
      <c r="A532" s="1"/>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x14ac:dyDescent="0.25">
      <c r="A533" s="1"/>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x14ac:dyDescent="0.25">
      <c r="A534" s="1"/>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x14ac:dyDescent="0.25">
      <c r="A535" s="1"/>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x14ac:dyDescent="0.25">
      <c r="A536" s="1"/>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x14ac:dyDescent="0.25">
      <c r="A537" s="1"/>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x14ac:dyDescent="0.25">
      <c r="A538" s="1"/>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x14ac:dyDescent="0.25">
      <c r="A539" s="1"/>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x14ac:dyDescent="0.25">
      <c r="A540" s="1"/>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x14ac:dyDescent="0.25">
      <c r="A541" s="1"/>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x14ac:dyDescent="0.25">
      <c r="A542" s="1"/>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x14ac:dyDescent="0.25">
      <c r="A543" s="1"/>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x14ac:dyDescent="0.25">
      <c r="A544" s="1"/>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x14ac:dyDescent="0.25">
      <c r="A545" s="1"/>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x14ac:dyDescent="0.25">
      <c r="A546" s="1"/>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x14ac:dyDescent="0.25">
      <c r="A547" s="1"/>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x14ac:dyDescent="0.25">
      <c r="A548" s="1"/>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x14ac:dyDescent="0.25">
      <c r="A549" s="1"/>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x14ac:dyDescent="0.25">
      <c r="A550" s="1"/>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x14ac:dyDescent="0.25">
      <c r="A551" s="1"/>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x14ac:dyDescent="0.25">
      <c r="A552" s="1"/>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x14ac:dyDescent="0.25">
      <c r="A553" s="1"/>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x14ac:dyDescent="0.25">
      <c r="A554" s="1"/>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x14ac:dyDescent="0.25">
      <c r="A555" s="1"/>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x14ac:dyDescent="0.25">
      <c r="A556" s="1"/>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x14ac:dyDescent="0.25">
      <c r="A557" s="1"/>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x14ac:dyDescent="0.25">
      <c r="A558" s="1"/>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x14ac:dyDescent="0.25">
      <c r="A559" s="1"/>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x14ac:dyDescent="0.25">
      <c r="A560" s="1"/>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x14ac:dyDescent="0.25">
      <c r="A561" s="1"/>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x14ac:dyDescent="0.25">
      <c r="A562" s="1"/>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x14ac:dyDescent="0.25">
      <c r="A563" s="1"/>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x14ac:dyDescent="0.25">
      <c r="A564" s="1"/>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x14ac:dyDescent="0.25">
      <c r="A565" s="1"/>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x14ac:dyDescent="0.25">
      <c r="A566" s="1"/>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x14ac:dyDescent="0.25">
      <c r="A567" s="1"/>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x14ac:dyDescent="0.25">
      <c r="A568" s="1"/>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x14ac:dyDescent="0.25">
      <c r="A569" s="1"/>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x14ac:dyDescent="0.25">
      <c r="A570" s="1"/>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x14ac:dyDescent="0.25">
      <c r="A571" s="1"/>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x14ac:dyDescent="0.25">
      <c r="A572" s="1"/>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x14ac:dyDescent="0.25">
      <c r="A573" s="1"/>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x14ac:dyDescent="0.25">
      <c r="A574" s="1"/>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x14ac:dyDescent="0.25">
      <c r="A575" s="1"/>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x14ac:dyDescent="0.25">
      <c r="A576" s="1"/>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x14ac:dyDescent="0.25">
      <c r="A577" s="1"/>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x14ac:dyDescent="0.25">
      <c r="A578" s="1"/>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x14ac:dyDescent="0.25">
      <c r="A579" s="1"/>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x14ac:dyDescent="0.25">
      <c r="A580" s="1"/>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x14ac:dyDescent="0.25">
      <c r="A581" s="1"/>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x14ac:dyDescent="0.25">
      <c r="A582" s="1"/>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x14ac:dyDescent="0.25">
      <c r="A583" s="1"/>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x14ac:dyDescent="0.25">
      <c r="A584" s="1"/>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x14ac:dyDescent="0.25">
      <c r="A585" s="1"/>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x14ac:dyDescent="0.25">
      <c r="A586" s="1"/>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x14ac:dyDescent="0.25">
      <c r="A587" s="1"/>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x14ac:dyDescent="0.25">
      <c r="A588" s="1"/>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x14ac:dyDescent="0.25">
      <c r="A589" s="1"/>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x14ac:dyDescent="0.25">
      <c r="A590" s="1"/>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x14ac:dyDescent="0.25">
      <c r="A591" s="1"/>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x14ac:dyDescent="0.25">
      <c r="A592" s="1"/>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x14ac:dyDescent="0.25">
      <c r="A593" s="1"/>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x14ac:dyDescent="0.25">
      <c r="A594" s="1"/>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x14ac:dyDescent="0.25">
      <c r="A595" s="1"/>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x14ac:dyDescent="0.25">
      <c r="A596" s="1"/>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x14ac:dyDescent="0.25">
      <c r="A597" s="1"/>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x14ac:dyDescent="0.25">
      <c r="A598" s="1"/>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x14ac:dyDescent="0.25">
      <c r="A599" s="1"/>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x14ac:dyDescent="0.25">
      <c r="A600" s="1"/>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x14ac:dyDescent="0.25">
      <c r="A601" s="1"/>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x14ac:dyDescent="0.25">
      <c r="A602" s="1"/>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x14ac:dyDescent="0.25">
      <c r="A603" s="1"/>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x14ac:dyDescent="0.25">
      <c r="A604" s="1"/>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x14ac:dyDescent="0.25">
      <c r="A605" s="1"/>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x14ac:dyDescent="0.25">
      <c r="A606" s="1"/>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x14ac:dyDescent="0.25">
      <c r="A607" s="1"/>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x14ac:dyDescent="0.25">
      <c r="A608" s="1"/>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x14ac:dyDescent="0.25">
      <c r="A609" s="1"/>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x14ac:dyDescent="0.25">
      <c r="A610" s="1"/>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x14ac:dyDescent="0.25">
      <c r="A611" s="1"/>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x14ac:dyDescent="0.25">
      <c r="A612" s="1"/>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x14ac:dyDescent="0.25">
      <c r="A613" s="1"/>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x14ac:dyDescent="0.25">
      <c r="A614" s="1"/>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x14ac:dyDescent="0.25">
      <c r="A615" s="1"/>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x14ac:dyDescent="0.25">
      <c r="A616" s="1"/>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x14ac:dyDescent="0.25">
      <c r="A617" s="1"/>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x14ac:dyDescent="0.25">
      <c r="A618" s="1"/>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x14ac:dyDescent="0.25">
      <c r="A619" s="1"/>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x14ac:dyDescent="0.25">
      <c r="A620" s="1"/>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x14ac:dyDescent="0.25">
      <c r="A621" s="1"/>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x14ac:dyDescent="0.25">
      <c r="A622" s="1"/>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x14ac:dyDescent="0.25">
      <c r="A623" s="1"/>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x14ac:dyDescent="0.25">
      <c r="A624" s="1"/>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x14ac:dyDescent="0.25">
      <c r="A625" s="1"/>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x14ac:dyDescent="0.25">
      <c r="A626" s="1"/>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x14ac:dyDescent="0.25">
      <c r="A627" s="1"/>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x14ac:dyDescent="0.25">
      <c r="A628" s="1"/>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x14ac:dyDescent="0.25">
      <c r="A629" s="1"/>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x14ac:dyDescent="0.25">
      <c r="A630" s="1"/>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x14ac:dyDescent="0.25">
      <c r="A631" s="1"/>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x14ac:dyDescent="0.25">
      <c r="A632" s="1"/>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x14ac:dyDescent="0.25">
      <c r="A633" s="1"/>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x14ac:dyDescent="0.25">
      <c r="A634" s="1"/>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x14ac:dyDescent="0.25">
      <c r="A635" s="1"/>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x14ac:dyDescent="0.25">
      <c r="A636" s="1"/>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x14ac:dyDescent="0.25">
      <c r="A637" s="1"/>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x14ac:dyDescent="0.25">
      <c r="A638" s="1"/>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x14ac:dyDescent="0.25">
      <c r="A639" s="1"/>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x14ac:dyDescent="0.25">
      <c r="A640" s="1"/>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x14ac:dyDescent="0.25">
      <c r="A641" s="1"/>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x14ac:dyDescent="0.25">
      <c r="A642" s="1"/>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x14ac:dyDescent="0.25">
      <c r="A643" s="1"/>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x14ac:dyDescent="0.25">
      <c r="A644" s="1"/>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x14ac:dyDescent="0.25">
      <c r="A645" s="1"/>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x14ac:dyDescent="0.25">
      <c r="A646" s="1"/>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x14ac:dyDescent="0.25">
      <c r="A647" s="1"/>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x14ac:dyDescent="0.25">
      <c r="A648" s="1"/>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x14ac:dyDescent="0.25">
      <c r="A649" s="1"/>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x14ac:dyDescent="0.25">
      <c r="A650" s="1"/>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x14ac:dyDescent="0.25">
      <c r="A651" s="1"/>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x14ac:dyDescent="0.25">
      <c r="A652" s="1"/>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x14ac:dyDescent="0.25">
      <c r="A653" s="1"/>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x14ac:dyDescent="0.25">
      <c r="A654" s="1"/>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x14ac:dyDescent="0.25">
      <c r="A655" s="1"/>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x14ac:dyDescent="0.25">
      <c r="A656" s="1"/>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x14ac:dyDescent="0.25">
      <c r="A657" s="1"/>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x14ac:dyDescent="0.25">
      <c r="A658" s="1"/>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x14ac:dyDescent="0.25">
      <c r="A659" s="1"/>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x14ac:dyDescent="0.25">
      <c r="A660" s="1"/>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x14ac:dyDescent="0.25">
      <c r="A661" s="1"/>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x14ac:dyDescent="0.25">
      <c r="A662" s="1"/>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x14ac:dyDescent="0.25">
      <c r="A663" s="1"/>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x14ac:dyDescent="0.25">
      <c r="A664" s="1"/>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x14ac:dyDescent="0.25">
      <c r="A665" s="1"/>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x14ac:dyDescent="0.25">
      <c r="A666" s="1"/>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x14ac:dyDescent="0.25">
      <c r="A667" s="1"/>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x14ac:dyDescent="0.25">
      <c r="A668" s="1"/>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x14ac:dyDescent="0.25">
      <c r="A669" s="1"/>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x14ac:dyDescent="0.25">
      <c r="A670" s="1"/>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x14ac:dyDescent="0.25">
      <c r="A671" s="1"/>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x14ac:dyDescent="0.25">
      <c r="A672" s="1"/>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x14ac:dyDescent="0.25">
      <c r="A673" s="1"/>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x14ac:dyDescent="0.25">
      <c r="A674" s="1"/>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x14ac:dyDescent="0.25">
      <c r="A675" s="1"/>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x14ac:dyDescent="0.25">
      <c r="A676" s="1"/>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x14ac:dyDescent="0.25">
      <c r="A677" s="1"/>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x14ac:dyDescent="0.25">
      <c r="A678" s="1"/>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x14ac:dyDescent="0.25">
      <c r="A679" s="1"/>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x14ac:dyDescent="0.25">
      <c r="A680" s="1"/>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x14ac:dyDescent="0.25">
      <c r="A681" s="1"/>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x14ac:dyDescent="0.25">
      <c r="A682" s="1"/>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x14ac:dyDescent="0.25">
      <c r="A683" s="1"/>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x14ac:dyDescent="0.25">
      <c r="A684" s="1"/>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x14ac:dyDescent="0.25">
      <c r="A685" s="1"/>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x14ac:dyDescent="0.25">
      <c r="A686" s="1"/>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x14ac:dyDescent="0.25">
      <c r="A687" s="1"/>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x14ac:dyDescent="0.25">
      <c r="A688" s="1"/>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x14ac:dyDescent="0.25">
      <c r="A689" s="1"/>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x14ac:dyDescent="0.25">
      <c r="A690" s="1"/>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x14ac:dyDescent="0.25">
      <c r="A691" s="1"/>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x14ac:dyDescent="0.25">
      <c r="A692" s="1"/>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x14ac:dyDescent="0.25">
      <c r="A693" s="1"/>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x14ac:dyDescent="0.25">
      <c r="A694" s="1"/>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x14ac:dyDescent="0.25">
      <c r="A695" s="1"/>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x14ac:dyDescent="0.25">
      <c r="A696" s="1"/>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x14ac:dyDescent="0.25">
      <c r="A697" s="1"/>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x14ac:dyDescent="0.25">
      <c r="A698" s="1"/>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x14ac:dyDescent="0.25">
      <c r="A699" s="1"/>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x14ac:dyDescent="0.25">
      <c r="A700" s="1"/>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x14ac:dyDescent="0.25">
      <c r="A701" s="1"/>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x14ac:dyDescent="0.25">
      <c r="A702" s="1"/>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x14ac:dyDescent="0.25">
      <c r="A703" s="1"/>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x14ac:dyDescent="0.25">
      <c r="A704" s="1"/>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x14ac:dyDescent="0.25">
      <c r="A705" s="1"/>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x14ac:dyDescent="0.25">
      <c r="A706" s="1"/>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x14ac:dyDescent="0.25">
      <c r="A707" s="1"/>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x14ac:dyDescent="0.25">
      <c r="A708" s="1"/>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x14ac:dyDescent="0.25">
      <c r="A709" s="1"/>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x14ac:dyDescent="0.25">
      <c r="A710" s="1"/>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x14ac:dyDescent="0.25">
      <c r="A711" s="1"/>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x14ac:dyDescent="0.25">
      <c r="A712" s="1"/>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x14ac:dyDescent="0.25">
      <c r="A713" s="1"/>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x14ac:dyDescent="0.25">
      <c r="A714" s="1"/>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x14ac:dyDescent="0.25">
      <c r="A715" s="1"/>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x14ac:dyDescent="0.25">
      <c r="A716" s="1"/>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x14ac:dyDescent="0.25">
      <c r="A717" s="1"/>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x14ac:dyDescent="0.25">
      <c r="A718" s="1"/>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x14ac:dyDescent="0.25">
      <c r="A719" s="1"/>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x14ac:dyDescent="0.25">
      <c r="A720" s="1"/>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x14ac:dyDescent="0.25">
      <c r="A721" s="1"/>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x14ac:dyDescent="0.25">
      <c r="A722" s="1"/>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x14ac:dyDescent="0.25">
      <c r="A723" s="1"/>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x14ac:dyDescent="0.25">
      <c r="A724" s="1"/>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x14ac:dyDescent="0.25">
      <c r="A725" s="1"/>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x14ac:dyDescent="0.25">
      <c r="A726" s="1"/>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x14ac:dyDescent="0.25">
      <c r="A727" s="1"/>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x14ac:dyDescent="0.25">
      <c r="A728" s="1"/>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x14ac:dyDescent="0.25">
      <c r="A729" s="1"/>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x14ac:dyDescent="0.25">
      <c r="A730" s="1"/>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x14ac:dyDescent="0.25">
      <c r="A731" s="1"/>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x14ac:dyDescent="0.25">
      <c r="A732" s="1"/>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x14ac:dyDescent="0.25">
      <c r="A733" s="1"/>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x14ac:dyDescent="0.25">
      <c r="A734" s="1"/>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x14ac:dyDescent="0.25">
      <c r="A735" s="1"/>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x14ac:dyDescent="0.25">
      <c r="A736" s="1"/>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x14ac:dyDescent="0.25">
      <c r="A737" s="1"/>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x14ac:dyDescent="0.25">
      <c r="A738" s="1"/>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x14ac:dyDescent="0.25">
      <c r="A739" s="1"/>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x14ac:dyDescent="0.25">
      <c r="A740" s="1"/>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x14ac:dyDescent="0.25">
      <c r="A741" s="1"/>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x14ac:dyDescent="0.25">
      <c r="A742" s="1"/>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x14ac:dyDescent="0.25">
      <c r="A743" s="1"/>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x14ac:dyDescent="0.25">
      <c r="A744" s="1"/>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x14ac:dyDescent="0.25">
      <c r="A745" s="1"/>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x14ac:dyDescent="0.25">
      <c r="A746" s="1"/>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x14ac:dyDescent="0.25">
      <c r="A747" s="1"/>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x14ac:dyDescent="0.25">
      <c r="A748" s="1"/>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x14ac:dyDescent="0.25">
      <c r="A749" s="1"/>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x14ac:dyDescent="0.25">
      <c r="A750" s="1"/>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x14ac:dyDescent="0.25">
      <c r="A751" s="1"/>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x14ac:dyDescent="0.25">
      <c r="A752" s="1"/>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x14ac:dyDescent="0.25">
      <c r="A753" s="1"/>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x14ac:dyDescent="0.25">
      <c r="A754" s="1"/>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x14ac:dyDescent="0.25">
      <c r="A755" s="1"/>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x14ac:dyDescent="0.25">
      <c r="A756" s="1"/>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x14ac:dyDescent="0.25">
      <c r="A757" s="1"/>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x14ac:dyDescent="0.25">
      <c r="A758" s="1"/>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x14ac:dyDescent="0.25">
      <c r="A759" s="1"/>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x14ac:dyDescent="0.25">
      <c r="A760" s="1"/>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x14ac:dyDescent="0.25">
      <c r="A761" s="1"/>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x14ac:dyDescent="0.25">
      <c r="A762" s="1"/>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x14ac:dyDescent="0.25">
      <c r="A763" s="1"/>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x14ac:dyDescent="0.25">
      <c r="A764" s="1"/>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x14ac:dyDescent="0.25">
      <c r="A765" s="1"/>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x14ac:dyDescent="0.25">
      <c r="A766" s="1"/>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x14ac:dyDescent="0.25">
      <c r="A767" s="1"/>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x14ac:dyDescent="0.25">
      <c r="A768" s="1"/>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x14ac:dyDescent="0.25">
      <c r="A769" s="1"/>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x14ac:dyDescent="0.25">
      <c r="A770" s="1"/>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x14ac:dyDescent="0.25">
      <c r="A771" s="1"/>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x14ac:dyDescent="0.25">
      <c r="A772" s="1"/>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x14ac:dyDescent="0.25">
      <c r="A773" s="1"/>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x14ac:dyDescent="0.25">
      <c r="A774" s="1"/>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x14ac:dyDescent="0.25">
      <c r="A775" s="1"/>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x14ac:dyDescent="0.25">
      <c r="A776" s="1"/>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x14ac:dyDescent="0.25">
      <c r="A777" s="1"/>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x14ac:dyDescent="0.25">
      <c r="A778" s="1"/>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x14ac:dyDescent="0.25">
      <c r="A779" s="1"/>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x14ac:dyDescent="0.25">
      <c r="A780" s="1"/>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x14ac:dyDescent="0.25">
      <c r="A781" s="1"/>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x14ac:dyDescent="0.25">
      <c r="A782" s="1"/>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x14ac:dyDescent="0.25">
      <c r="A783" s="1"/>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x14ac:dyDescent="0.25">
      <c r="A784" s="1"/>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x14ac:dyDescent="0.25">
      <c r="A785" s="1"/>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x14ac:dyDescent="0.25">
      <c r="A786" s="1"/>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x14ac:dyDescent="0.25">
      <c r="A787" s="1"/>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x14ac:dyDescent="0.25">
      <c r="A788" s="1"/>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x14ac:dyDescent="0.25">
      <c r="A789" s="1"/>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x14ac:dyDescent="0.25">
      <c r="A790" s="1"/>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x14ac:dyDescent="0.25">
      <c r="A791" s="1"/>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x14ac:dyDescent="0.25">
      <c r="A792" s="1"/>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x14ac:dyDescent="0.25">
      <c r="A793" s="1"/>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x14ac:dyDescent="0.25">
      <c r="A794" s="1"/>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x14ac:dyDescent="0.25">
      <c r="A795" s="1"/>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x14ac:dyDescent="0.25">
      <c r="A796" s="1"/>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x14ac:dyDescent="0.25">
      <c r="A797" s="1"/>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x14ac:dyDescent="0.25">
      <c r="A798" s="1"/>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x14ac:dyDescent="0.25">
      <c r="A799" s="1"/>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x14ac:dyDescent="0.25">
      <c r="A800" s="1"/>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x14ac:dyDescent="0.25">
      <c r="A801" s="1"/>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x14ac:dyDescent="0.25">
      <c r="A802" s="1"/>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x14ac:dyDescent="0.25">
      <c r="A803" s="1"/>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x14ac:dyDescent="0.25">
      <c r="A804" s="1"/>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x14ac:dyDescent="0.25">
      <c r="A805" s="1"/>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x14ac:dyDescent="0.25">
      <c r="A806" s="1"/>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x14ac:dyDescent="0.25">
      <c r="A807" s="1"/>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x14ac:dyDescent="0.25">
      <c r="A808" s="1"/>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x14ac:dyDescent="0.25">
      <c r="A809" s="1"/>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x14ac:dyDescent="0.25">
      <c r="A810" s="1"/>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x14ac:dyDescent="0.25">
      <c r="A811" s="1"/>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x14ac:dyDescent="0.25">
      <c r="A812" s="1"/>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x14ac:dyDescent="0.25">
      <c r="A813" s="1"/>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x14ac:dyDescent="0.25">
      <c r="A814" s="1"/>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x14ac:dyDescent="0.25">
      <c r="A815" s="1"/>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x14ac:dyDescent="0.25">
      <c r="A816" s="1"/>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x14ac:dyDescent="0.25">
      <c r="A817" s="1"/>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x14ac:dyDescent="0.25">
      <c r="A818" s="1"/>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x14ac:dyDescent="0.25">
      <c r="A819" s="1"/>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x14ac:dyDescent="0.25">
      <c r="A820" s="1"/>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x14ac:dyDescent="0.25">
      <c r="A821" s="1"/>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x14ac:dyDescent="0.25">
      <c r="A822" s="1"/>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x14ac:dyDescent="0.25">
      <c r="A823" s="1"/>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x14ac:dyDescent="0.25">
      <c r="A824" s="1"/>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x14ac:dyDescent="0.25">
      <c r="A825" s="1"/>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x14ac:dyDescent="0.25">
      <c r="A826" s="1"/>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x14ac:dyDescent="0.25">
      <c r="A827" s="1"/>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x14ac:dyDescent="0.25">
      <c r="A828" s="1"/>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x14ac:dyDescent="0.25">
      <c r="A829" s="1"/>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x14ac:dyDescent="0.25">
      <c r="A830" s="1"/>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x14ac:dyDescent="0.25">
      <c r="A831" s="1"/>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x14ac:dyDescent="0.25">
      <c r="A832" s="1"/>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x14ac:dyDescent="0.25">
      <c r="A833" s="1"/>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x14ac:dyDescent="0.25">
      <c r="A834" s="1"/>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x14ac:dyDescent="0.25">
      <c r="A835" s="1"/>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x14ac:dyDescent="0.25">
      <c r="A836" s="1"/>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x14ac:dyDescent="0.25">
      <c r="A837" s="1"/>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x14ac:dyDescent="0.25">
      <c r="A838" s="1"/>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x14ac:dyDescent="0.25">
      <c r="A839" s="1"/>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x14ac:dyDescent="0.25">
      <c r="A840" s="1"/>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x14ac:dyDescent="0.25">
      <c r="A841" s="1"/>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x14ac:dyDescent="0.25">
      <c r="A842" s="1"/>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x14ac:dyDescent="0.25">
      <c r="A843" s="1"/>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x14ac:dyDescent="0.25">
      <c r="A844" s="1"/>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x14ac:dyDescent="0.25">
      <c r="A845" s="1"/>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x14ac:dyDescent="0.25">
      <c r="A846" s="1"/>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x14ac:dyDescent="0.25">
      <c r="A847" s="1"/>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x14ac:dyDescent="0.25">
      <c r="A848" s="1"/>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x14ac:dyDescent="0.25">
      <c r="A849" s="1"/>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x14ac:dyDescent="0.25">
      <c r="A850" s="1"/>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x14ac:dyDescent="0.25">
      <c r="A851" s="1"/>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x14ac:dyDescent="0.25">
      <c r="A852" s="1"/>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x14ac:dyDescent="0.25">
      <c r="A853" s="1"/>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x14ac:dyDescent="0.25">
      <c r="A854" s="1"/>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x14ac:dyDescent="0.25">
      <c r="A855" s="1"/>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x14ac:dyDescent="0.25">
      <c r="A856" s="1"/>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x14ac:dyDescent="0.25">
      <c r="A857" s="1"/>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x14ac:dyDescent="0.25">
      <c r="A858" s="1"/>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x14ac:dyDescent="0.25">
      <c r="A859" s="1"/>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x14ac:dyDescent="0.25">
      <c r="A860" s="1"/>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x14ac:dyDescent="0.25">
      <c r="A861" s="1"/>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x14ac:dyDescent="0.25">
      <c r="A862" s="1"/>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x14ac:dyDescent="0.25">
      <c r="A863" s="1"/>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x14ac:dyDescent="0.25">
      <c r="A864" s="1"/>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x14ac:dyDescent="0.25">
      <c r="A865" s="1"/>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x14ac:dyDescent="0.25">
      <c r="A866" s="1"/>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x14ac:dyDescent="0.25">
      <c r="A867" s="1"/>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x14ac:dyDescent="0.25">
      <c r="A868" s="1"/>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x14ac:dyDescent="0.25">
      <c r="A869" s="1"/>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x14ac:dyDescent="0.25">
      <c r="A870" s="1"/>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x14ac:dyDescent="0.25">
      <c r="A871" s="1"/>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x14ac:dyDescent="0.25">
      <c r="A872" s="1"/>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x14ac:dyDescent="0.25">
      <c r="A873" s="1"/>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x14ac:dyDescent="0.25">
      <c r="A874" s="1"/>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x14ac:dyDescent="0.25">
      <c r="A875" s="1"/>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x14ac:dyDescent="0.25">
      <c r="A876" s="1"/>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x14ac:dyDescent="0.25">
      <c r="A877" s="1"/>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x14ac:dyDescent="0.25">
      <c r="A878" s="1"/>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x14ac:dyDescent="0.25">
      <c r="A879" s="1"/>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x14ac:dyDescent="0.25">
      <c r="A880" s="1"/>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x14ac:dyDescent="0.25">
      <c r="A881" s="1"/>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x14ac:dyDescent="0.25">
      <c r="A882" s="1"/>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x14ac:dyDescent="0.25">
      <c r="A883" s="1"/>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x14ac:dyDescent="0.25">
      <c r="A884" s="1"/>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x14ac:dyDescent="0.25">
      <c r="A885" s="1"/>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x14ac:dyDescent="0.25">
      <c r="A886" s="1"/>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x14ac:dyDescent="0.25">
      <c r="A887" s="1"/>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x14ac:dyDescent="0.25">
      <c r="A888" s="1"/>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x14ac:dyDescent="0.25">
      <c r="A889" s="1"/>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x14ac:dyDescent="0.25">
      <c r="A890" s="1"/>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x14ac:dyDescent="0.25">
      <c r="A891" s="1"/>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x14ac:dyDescent="0.25">
      <c r="A892" s="1"/>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x14ac:dyDescent="0.25">
      <c r="A893" s="1"/>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x14ac:dyDescent="0.25">
      <c r="A894" s="1"/>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x14ac:dyDescent="0.25">
      <c r="A895" s="1"/>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x14ac:dyDescent="0.25">
      <c r="A896" s="1"/>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x14ac:dyDescent="0.25">
      <c r="A897" s="1"/>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x14ac:dyDescent="0.25">
      <c r="A898" s="1"/>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x14ac:dyDescent="0.25">
      <c r="A899" s="1"/>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x14ac:dyDescent="0.25">
      <c r="A900" s="1"/>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x14ac:dyDescent="0.25">
      <c r="A901" s="1"/>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x14ac:dyDescent="0.25">
      <c r="A902" s="1"/>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x14ac:dyDescent="0.25">
      <c r="A903" s="1"/>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x14ac:dyDescent="0.25">
      <c r="A904" s="1"/>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x14ac:dyDescent="0.25">
      <c r="A905" s="1"/>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x14ac:dyDescent="0.25">
      <c r="A906" s="1"/>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x14ac:dyDescent="0.25">
      <c r="A907" s="1"/>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x14ac:dyDescent="0.25">
      <c r="A908" s="1"/>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x14ac:dyDescent="0.25">
      <c r="A909" s="1"/>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x14ac:dyDescent="0.25">
      <c r="A910" s="1"/>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x14ac:dyDescent="0.25">
      <c r="A911" s="1"/>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x14ac:dyDescent="0.25">
      <c r="A912" s="1"/>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x14ac:dyDescent="0.25">
      <c r="A913" s="1"/>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x14ac:dyDescent="0.25">
      <c r="A914" s="1"/>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x14ac:dyDescent="0.25">
      <c r="A915" s="1"/>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x14ac:dyDescent="0.25">
      <c r="A916" s="1"/>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x14ac:dyDescent="0.25">
      <c r="A917" s="1"/>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x14ac:dyDescent="0.25">
      <c r="A918" s="1"/>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x14ac:dyDescent="0.25">
      <c r="A919" s="1"/>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x14ac:dyDescent="0.25">
      <c r="A920" s="1"/>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x14ac:dyDescent="0.25">
      <c r="A921" s="1"/>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x14ac:dyDescent="0.25">
      <c r="A922" s="1"/>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x14ac:dyDescent="0.25">
      <c r="A923" s="1"/>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x14ac:dyDescent="0.25">
      <c r="A924" s="1"/>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x14ac:dyDescent="0.25">
      <c r="A925" s="1"/>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x14ac:dyDescent="0.25">
      <c r="A926" s="1"/>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x14ac:dyDescent="0.25">
      <c r="A927" s="1"/>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x14ac:dyDescent="0.25">
      <c r="A928" s="1"/>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x14ac:dyDescent="0.25">
      <c r="A929" s="1"/>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x14ac:dyDescent="0.25">
      <c r="A930" s="1"/>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x14ac:dyDescent="0.25">
      <c r="A931" s="1"/>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x14ac:dyDescent="0.25">
      <c r="A932" s="1"/>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x14ac:dyDescent="0.25">
      <c r="A933" s="1"/>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x14ac:dyDescent="0.25">
      <c r="A934" s="1"/>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x14ac:dyDescent="0.25">
      <c r="A935" s="1"/>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x14ac:dyDescent="0.25">
      <c r="A936" s="1"/>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x14ac:dyDescent="0.25">
      <c r="A937" s="1"/>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x14ac:dyDescent="0.25">
      <c r="A938" s="1"/>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x14ac:dyDescent="0.25">
      <c r="A939" s="1"/>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x14ac:dyDescent="0.25">
      <c r="A940" s="1"/>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x14ac:dyDescent="0.25">
      <c r="A941" s="1"/>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x14ac:dyDescent="0.25">
      <c r="A942" s="1"/>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x14ac:dyDescent="0.25">
      <c r="A943" s="1"/>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x14ac:dyDescent="0.25">
      <c r="A944" s="1"/>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x14ac:dyDescent="0.25">
      <c r="A945" s="1"/>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x14ac:dyDescent="0.25">
      <c r="A946" s="1"/>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x14ac:dyDescent="0.25">
      <c r="A947" s="1"/>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x14ac:dyDescent="0.25">
      <c r="A948" s="1"/>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x14ac:dyDescent="0.25">
      <c r="A949" s="1"/>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x14ac:dyDescent="0.25">
      <c r="A950" s="1"/>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x14ac:dyDescent="0.25">
      <c r="A951" s="1"/>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x14ac:dyDescent="0.25">
      <c r="A952" s="1"/>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x14ac:dyDescent="0.25">
      <c r="A953" s="1"/>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x14ac:dyDescent="0.25">
      <c r="A954" s="1"/>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x14ac:dyDescent="0.25">
      <c r="A955" s="1"/>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x14ac:dyDescent="0.25">
      <c r="A956" s="1"/>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x14ac:dyDescent="0.25">
      <c r="A957" s="1"/>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x14ac:dyDescent="0.25">
      <c r="A958" s="1"/>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x14ac:dyDescent="0.25">
      <c r="A959" s="1"/>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x14ac:dyDescent="0.25">
      <c r="A960" s="1"/>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x14ac:dyDescent="0.25">
      <c r="A961" s="1"/>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x14ac:dyDescent="0.25">
      <c r="A962" s="1"/>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x14ac:dyDescent="0.25">
      <c r="A963" s="1"/>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x14ac:dyDescent="0.25">
      <c r="A964" s="1"/>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x14ac:dyDescent="0.25">
      <c r="A965" s="1"/>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x14ac:dyDescent="0.25">
      <c r="A966" s="1"/>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x14ac:dyDescent="0.25">
      <c r="A967" s="1"/>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x14ac:dyDescent="0.25">
      <c r="A968" s="1"/>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x14ac:dyDescent="0.25">
      <c r="A969" s="1"/>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x14ac:dyDescent="0.25">
      <c r="A970" s="1"/>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x14ac:dyDescent="0.25">
      <c r="A971" s="1"/>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x14ac:dyDescent="0.25">
      <c r="A972" s="1"/>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x14ac:dyDescent="0.25">
      <c r="A973" s="1"/>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x14ac:dyDescent="0.25">
      <c r="A974" s="1"/>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x14ac:dyDescent="0.25">
      <c r="A975" s="1"/>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x14ac:dyDescent="0.25">
      <c r="A976" s="1"/>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x14ac:dyDescent="0.25">
      <c r="A977" s="1"/>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x14ac:dyDescent="0.25">
      <c r="A978" s="1"/>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x14ac:dyDescent="0.25">
      <c r="A979" s="1"/>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x14ac:dyDescent="0.25">
      <c r="A980" s="1"/>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x14ac:dyDescent="0.25">
      <c r="A981" s="1"/>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x14ac:dyDescent="0.25">
      <c r="A982" s="1"/>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x14ac:dyDescent="0.25">
      <c r="A983" s="1"/>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x14ac:dyDescent="0.25">
      <c r="A984" s="1"/>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x14ac:dyDescent="0.25">
      <c r="A985" s="1"/>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x14ac:dyDescent="0.25">
      <c r="A986" s="1"/>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x14ac:dyDescent="0.25">
      <c r="A987" s="1"/>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x14ac:dyDescent="0.25">
      <c r="A988" s="1"/>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x14ac:dyDescent="0.25">
      <c r="A989" s="1"/>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x14ac:dyDescent="0.25">
      <c r="A990" s="1"/>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x14ac:dyDescent="0.25">
      <c r="A991" s="1"/>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x14ac:dyDescent="0.25">
      <c r="A992" s="1"/>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x14ac:dyDescent="0.25">
      <c r="A993" s="1"/>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x14ac:dyDescent="0.25">
      <c r="A994" s="1"/>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x14ac:dyDescent="0.25">
      <c r="A995" s="1"/>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x14ac:dyDescent="0.25">
      <c r="A996" s="1"/>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x14ac:dyDescent="0.25">
      <c r="A997" s="1"/>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x14ac:dyDescent="0.25">
      <c r="A998" s="1"/>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x14ac:dyDescent="0.25">
      <c r="A999" s="1"/>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x14ac:dyDescent="0.25">
      <c r="A1000" s="1"/>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ataValidations count="2">
    <dataValidation type="list" allowBlank="1" showInputMessage="1" showErrorMessage="1" sqref="D4:D15" xr:uid="{30BCB57A-B198-4640-B553-BE38EBDA343E}">
      <formula1>"Produce,Meat,Bakery"</formula1>
    </dataValidation>
    <dataValidation type="list" allowBlank="1" showInputMessage="1" showErrorMessage="1" sqref="D32:D43" xr:uid="{66352F0E-D72B-4BF5-86DD-2A0B341C5618}">
      <formula1>$F$32:$F$34</formula1>
    </dataValidation>
  </dataValidations>
  <hyperlinks>
    <hyperlink ref="A61" r:id="rId1" xr:uid="{00000000-0004-0000-0600-000000000000}"/>
    <hyperlink ref="A62" r:id="rId2" xr:uid="{00000000-0004-0000-0600-000001000000}"/>
  </hyperlinks>
  <pageMargins left="0.7" right="0.7" top="0.75" bottom="0.75" header="0" footer="0"/>
  <pageSetup orientation="portrait"/>
  <drawing r:id="rId3"/>
  <tableParts count="1">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15ED4-4207-4F23-932D-01BDF9503269}">
  <dimension ref="A3:B7"/>
  <sheetViews>
    <sheetView workbookViewId="0">
      <selection activeCell="A3" sqref="A3"/>
    </sheetView>
  </sheetViews>
  <sheetFormatPr defaultRowHeight="15" x14ac:dyDescent="0.25"/>
  <cols>
    <col min="1" max="1" width="14" bestFit="1" customWidth="1"/>
    <col min="2" max="2" width="11.140625" bestFit="1" customWidth="1"/>
  </cols>
  <sheetData>
    <row r="3" spans="1:2" x14ac:dyDescent="0.25">
      <c r="A3" s="44" t="s">
        <v>189</v>
      </c>
      <c r="B3" s="45" t="s">
        <v>473</v>
      </c>
    </row>
    <row r="4" spans="1:2" x14ac:dyDescent="0.25">
      <c r="A4" s="43" t="s">
        <v>195</v>
      </c>
      <c r="B4" s="45">
        <v>95000</v>
      </c>
    </row>
    <row r="5" spans="1:2" x14ac:dyDescent="0.25">
      <c r="A5" s="46" t="s">
        <v>198</v>
      </c>
      <c r="B5" s="47">
        <v>75000</v>
      </c>
    </row>
    <row r="6" spans="1:2" x14ac:dyDescent="0.25">
      <c r="A6" s="46" t="s">
        <v>5</v>
      </c>
      <c r="B6" s="47">
        <v>192000</v>
      </c>
    </row>
    <row r="7" spans="1:2" x14ac:dyDescent="0.25">
      <c r="A7" s="48" t="s">
        <v>89</v>
      </c>
      <c r="B7" s="49">
        <v>110000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showGridLines="0" workbookViewId="0">
      <selection activeCell="I55" sqref="I55"/>
    </sheetView>
  </sheetViews>
  <sheetFormatPr defaultColWidth="14.42578125" defaultRowHeight="15" customHeight="1" x14ac:dyDescent="0.25"/>
  <cols>
    <col min="1" max="1" width="12.7109375" customWidth="1"/>
    <col min="2" max="2" width="82.85546875" customWidth="1"/>
    <col min="3" max="3" width="13.85546875" customWidth="1"/>
    <col min="4" max="4" width="11" customWidth="1"/>
    <col min="5" max="5" width="10.85546875" customWidth="1"/>
    <col min="6" max="7" width="11.85546875" customWidth="1"/>
    <col min="8" max="26" width="8.85546875" customWidth="1"/>
  </cols>
  <sheetData>
    <row r="1" spans="1:26" ht="60" customHeight="1" x14ac:dyDescent="0.25">
      <c r="A1" s="1" t="s">
        <v>284</v>
      </c>
      <c r="B1" s="3"/>
      <c r="H1" s="3"/>
      <c r="I1" s="3"/>
      <c r="J1" s="3"/>
      <c r="K1" s="3"/>
      <c r="L1" s="3"/>
      <c r="M1" s="3"/>
      <c r="N1" s="3"/>
      <c r="O1" s="3"/>
      <c r="P1" s="3"/>
      <c r="Q1" s="3"/>
      <c r="R1" s="3"/>
      <c r="S1" s="3"/>
      <c r="T1" s="3"/>
      <c r="U1" s="3"/>
      <c r="V1" s="3"/>
      <c r="W1" s="3"/>
      <c r="X1" s="3"/>
      <c r="Y1" s="3"/>
      <c r="Z1" s="3"/>
    </row>
    <row r="2" spans="1:26" ht="15" customHeight="1" x14ac:dyDescent="0.25">
      <c r="A2" s="1" t="s">
        <v>285</v>
      </c>
      <c r="B2" s="3"/>
      <c r="H2" s="3"/>
      <c r="I2" s="3"/>
      <c r="J2" s="3"/>
      <c r="K2" s="3"/>
      <c r="L2" s="3"/>
      <c r="M2" s="3"/>
      <c r="N2" s="3"/>
      <c r="O2" s="3"/>
      <c r="P2" s="3"/>
      <c r="Q2" s="3"/>
      <c r="R2" s="3"/>
      <c r="S2" s="3"/>
      <c r="T2" s="3"/>
      <c r="U2" s="3"/>
      <c r="V2" s="3"/>
      <c r="W2" s="3"/>
      <c r="X2" s="3"/>
      <c r="Y2" s="3"/>
      <c r="Z2" s="3"/>
    </row>
    <row r="3" spans="1:26" ht="15" customHeight="1" x14ac:dyDescent="0.25">
      <c r="A3" s="1" t="s">
        <v>286</v>
      </c>
      <c r="B3" s="3"/>
      <c r="H3" s="3"/>
      <c r="I3" s="3"/>
      <c r="J3" s="3"/>
      <c r="K3" s="3"/>
      <c r="L3" s="3"/>
      <c r="M3" s="3"/>
      <c r="N3" s="3"/>
      <c r="O3" s="3"/>
      <c r="P3" s="3"/>
      <c r="Q3" s="3"/>
      <c r="R3" s="3"/>
      <c r="S3" s="3"/>
      <c r="T3" s="3"/>
      <c r="U3" s="3"/>
      <c r="V3" s="3"/>
      <c r="W3" s="3"/>
      <c r="X3" s="3"/>
      <c r="Y3" s="3"/>
      <c r="Z3" s="3"/>
    </row>
    <row r="4" spans="1:26" ht="15" customHeight="1" x14ac:dyDescent="0.25">
      <c r="A4" s="1" t="s">
        <v>287</v>
      </c>
      <c r="B4" s="3"/>
      <c r="H4" s="3"/>
      <c r="I4" s="3"/>
      <c r="J4" s="3"/>
      <c r="K4" s="3"/>
      <c r="L4" s="3"/>
      <c r="M4" s="3"/>
      <c r="N4" s="3"/>
      <c r="O4" s="3"/>
      <c r="P4" s="3"/>
      <c r="Q4" s="3"/>
      <c r="R4" s="3"/>
      <c r="S4" s="3"/>
      <c r="T4" s="3"/>
      <c r="U4" s="3"/>
      <c r="V4" s="3"/>
      <c r="W4" s="3"/>
      <c r="X4" s="3"/>
      <c r="Y4" s="3"/>
      <c r="Z4" s="3"/>
    </row>
    <row r="5" spans="1:26" ht="15" customHeight="1" x14ac:dyDescent="0.25">
      <c r="A5" s="1" t="s">
        <v>288</v>
      </c>
      <c r="B5" s="3"/>
      <c r="C5" s="25" t="s">
        <v>189</v>
      </c>
      <c r="D5" s="25" t="s">
        <v>86</v>
      </c>
      <c r="E5" s="25" t="s">
        <v>190</v>
      </c>
      <c r="F5" s="25" t="s">
        <v>191</v>
      </c>
      <c r="G5" s="25" t="s">
        <v>192</v>
      </c>
      <c r="H5" s="7"/>
      <c r="I5" s="7"/>
      <c r="J5" s="7"/>
      <c r="K5" s="7"/>
      <c r="L5" s="7"/>
      <c r="M5" s="7"/>
      <c r="N5" s="7"/>
      <c r="O5" s="7"/>
      <c r="P5" s="7"/>
      <c r="Q5" s="7"/>
      <c r="R5" s="7"/>
      <c r="S5" s="7"/>
      <c r="T5" s="7"/>
      <c r="U5" s="7"/>
      <c r="V5" s="7"/>
      <c r="W5" s="7"/>
      <c r="X5" s="7"/>
      <c r="Y5" s="7"/>
      <c r="Z5" s="7"/>
    </row>
    <row r="6" spans="1:26" ht="15" customHeight="1" x14ac:dyDescent="0.25">
      <c r="A6" s="1" t="s">
        <v>289</v>
      </c>
      <c r="B6" s="3"/>
      <c r="C6" s="25" t="s">
        <v>89</v>
      </c>
      <c r="D6" s="25" t="s">
        <v>197</v>
      </c>
      <c r="E6" s="24">
        <v>30000</v>
      </c>
      <c r="F6" s="24">
        <v>80000</v>
      </c>
      <c r="G6" s="24">
        <v>30000</v>
      </c>
      <c r="H6" s="7"/>
      <c r="I6" s="7"/>
      <c r="J6" s="7"/>
      <c r="K6" s="7"/>
      <c r="L6" s="7"/>
      <c r="M6" s="7"/>
      <c r="N6" s="7"/>
      <c r="O6" s="7"/>
      <c r="P6" s="7"/>
      <c r="Q6" s="7"/>
      <c r="R6" s="7"/>
      <c r="S6" s="7"/>
      <c r="T6" s="7"/>
      <c r="U6" s="7"/>
      <c r="V6" s="7"/>
      <c r="W6" s="7"/>
      <c r="X6" s="7"/>
      <c r="Y6" s="7"/>
      <c r="Z6" s="7"/>
    </row>
    <row r="7" spans="1:26" ht="15" customHeight="1" x14ac:dyDescent="0.25">
      <c r="A7" s="1" t="s">
        <v>290</v>
      </c>
      <c r="B7" s="3"/>
      <c r="C7" s="25" t="s">
        <v>89</v>
      </c>
      <c r="D7" s="25" t="s">
        <v>3</v>
      </c>
      <c r="E7" s="24">
        <v>10000</v>
      </c>
      <c r="F7" s="24">
        <v>30000</v>
      </c>
      <c r="G7" s="24">
        <v>40000</v>
      </c>
      <c r="H7" s="7"/>
      <c r="I7" s="7"/>
      <c r="J7" s="7"/>
      <c r="K7" s="7"/>
      <c r="L7" s="7"/>
      <c r="M7" s="7"/>
      <c r="N7" s="7"/>
      <c r="O7" s="7"/>
      <c r="P7" s="7"/>
      <c r="Q7" s="7"/>
      <c r="R7" s="7"/>
      <c r="S7" s="7"/>
      <c r="T7" s="7"/>
      <c r="U7" s="7"/>
      <c r="V7" s="7"/>
      <c r="W7" s="7"/>
      <c r="X7" s="7"/>
      <c r="Y7" s="7"/>
      <c r="Z7" s="7"/>
    </row>
    <row r="8" spans="1:26" ht="15" customHeight="1" x14ac:dyDescent="0.25">
      <c r="A8" s="1" t="s">
        <v>291</v>
      </c>
      <c r="B8" s="3"/>
      <c r="C8" s="25" t="s">
        <v>195</v>
      </c>
      <c r="D8" s="25" t="s">
        <v>200</v>
      </c>
      <c r="E8" s="24">
        <v>30000</v>
      </c>
      <c r="F8" s="24">
        <v>15000</v>
      </c>
      <c r="G8" s="24">
        <v>20000</v>
      </c>
      <c r="H8" s="7"/>
      <c r="I8" s="7"/>
      <c r="J8" s="7"/>
      <c r="K8" s="7"/>
      <c r="L8" s="7"/>
      <c r="M8" s="7"/>
      <c r="N8" s="7"/>
      <c r="O8" s="7"/>
      <c r="P8" s="7"/>
      <c r="Q8" s="7"/>
      <c r="R8" s="7"/>
      <c r="S8" s="7"/>
      <c r="T8" s="7"/>
      <c r="U8" s="7"/>
      <c r="V8" s="7"/>
      <c r="W8" s="7"/>
      <c r="X8" s="7"/>
      <c r="Y8" s="7"/>
      <c r="Z8" s="7"/>
    </row>
    <row r="9" spans="1:26" ht="15" customHeight="1" x14ac:dyDescent="0.25">
      <c r="A9" s="1" t="s">
        <v>292</v>
      </c>
      <c r="B9" s="3"/>
      <c r="C9" s="25" t="s">
        <v>195</v>
      </c>
      <c r="D9" s="25" t="s">
        <v>196</v>
      </c>
      <c r="E9" s="24">
        <v>25000</v>
      </c>
      <c r="F9" s="24">
        <v>80000</v>
      </c>
      <c r="G9" s="24">
        <v>120000</v>
      </c>
      <c r="H9" s="7"/>
      <c r="I9" s="7"/>
      <c r="J9" s="7"/>
      <c r="K9" s="7"/>
      <c r="L9" s="7"/>
      <c r="M9" s="7"/>
      <c r="N9" s="7"/>
      <c r="O9" s="7"/>
      <c r="P9" s="7"/>
      <c r="Q9" s="7"/>
      <c r="R9" s="7"/>
      <c r="S9" s="7"/>
      <c r="T9" s="7"/>
      <c r="U9" s="7"/>
      <c r="V9" s="7"/>
      <c r="W9" s="7"/>
      <c r="X9" s="7"/>
      <c r="Y9" s="7"/>
      <c r="Z9" s="7"/>
    </row>
    <row r="10" spans="1:26" ht="15" customHeight="1" x14ac:dyDescent="0.25">
      <c r="A10" s="1" t="s">
        <v>26</v>
      </c>
      <c r="B10" s="3"/>
      <c r="C10" s="25" t="s">
        <v>198</v>
      </c>
      <c r="D10" s="25" t="s">
        <v>235</v>
      </c>
      <c r="E10" s="24">
        <v>80000</v>
      </c>
      <c r="F10" s="24">
        <v>40000</v>
      </c>
      <c r="G10" s="24">
        <v>20000</v>
      </c>
      <c r="H10" s="7"/>
      <c r="I10" s="7"/>
      <c r="J10" s="7"/>
      <c r="K10" s="7"/>
      <c r="L10" s="7"/>
      <c r="M10" s="7"/>
      <c r="N10" s="7"/>
      <c r="O10" s="7"/>
      <c r="P10" s="7"/>
      <c r="Q10" s="7"/>
      <c r="R10" s="7"/>
      <c r="S10" s="7"/>
      <c r="T10" s="7"/>
      <c r="U10" s="7"/>
      <c r="V10" s="7"/>
      <c r="W10" s="7"/>
      <c r="X10" s="7"/>
      <c r="Y10" s="7"/>
      <c r="Z10" s="7"/>
    </row>
    <row r="11" spans="1:26" ht="15" customHeight="1" x14ac:dyDescent="0.25">
      <c r="A11" s="1"/>
      <c r="B11" s="3"/>
      <c r="C11" s="25" t="s">
        <v>198</v>
      </c>
      <c r="D11" s="25" t="s">
        <v>199</v>
      </c>
      <c r="E11" s="24">
        <v>90000</v>
      </c>
      <c r="F11" s="24">
        <v>35000</v>
      </c>
      <c r="G11" s="24">
        <v>25000</v>
      </c>
      <c r="H11" s="7"/>
      <c r="I11" s="7"/>
      <c r="J11" s="7"/>
      <c r="K11" s="7"/>
      <c r="L11" s="7"/>
      <c r="M11" s="7"/>
      <c r="N11" s="7"/>
      <c r="O11" s="7"/>
      <c r="P11" s="7"/>
      <c r="Q11" s="7"/>
      <c r="R11" s="7"/>
      <c r="S11" s="7"/>
      <c r="T11" s="7"/>
      <c r="U11" s="7"/>
      <c r="V11" s="7"/>
      <c r="W11" s="7"/>
      <c r="X11" s="7"/>
      <c r="Y11" s="7"/>
      <c r="Z11" s="7"/>
    </row>
    <row r="12" spans="1:26" ht="15" customHeight="1" x14ac:dyDescent="0.25">
      <c r="A12" s="1"/>
      <c r="B12" s="3"/>
      <c r="C12" s="25" t="s">
        <v>5</v>
      </c>
      <c r="D12" s="25" t="s">
        <v>8</v>
      </c>
      <c r="E12" s="24">
        <v>90000</v>
      </c>
      <c r="F12" s="24">
        <v>110000</v>
      </c>
      <c r="G12" s="24">
        <v>200000</v>
      </c>
      <c r="H12" s="7"/>
      <c r="I12" s="7"/>
      <c r="J12" s="7"/>
      <c r="K12" s="7"/>
      <c r="L12" s="7"/>
      <c r="M12" s="7"/>
      <c r="N12" s="7"/>
      <c r="O12" s="7"/>
      <c r="P12" s="7"/>
      <c r="Q12" s="7"/>
      <c r="R12" s="7"/>
      <c r="S12" s="7"/>
      <c r="T12" s="7"/>
      <c r="U12" s="7"/>
      <c r="V12" s="7"/>
      <c r="W12" s="7"/>
      <c r="X12" s="7"/>
      <c r="Y12" s="7"/>
      <c r="Z12" s="7"/>
    </row>
    <row r="13" spans="1:26" ht="15" customHeight="1" x14ac:dyDescent="0.25">
      <c r="A13" s="1"/>
      <c r="B13" s="3"/>
      <c r="C13" s="25" t="s">
        <v>5</v>
      </c>
      <c r="D13" s="25" t="s">
        <v>11</v>
      </c>
      <c r="E13" s="24">
        <v>75000</v>
      </c>
      <c r="F13" s="24">
        <v>82000</v>
      </c>
      <c r="G13" s="24">
        <v>150000</v>
      </c>
      <c r="H13" s="7"/>
      <c r="I13" s="7"/>
      <c r="J13" s="7"/>
      <c r="K13" s="7"/>
      <c r="L13" s="7"/>
      <c r="M13" s="7"/>
      <c r="N13" s="7"/>
      <c r="O13" s="7"/>
      <c r="P13" s="7"/>
      <c r="Q13" s="7"/>
      <c r="R13" s="7"/>
      <c r="S13" s="7"/>
      <c r="T13" s="7"/>
      <c r="U13" s="7"/>
      <c r="V13" s="7"/>
      <c r="W13" s="7"/>
      <c r="X13" s="7"/>
      <c r="Y13" s="7"/>
      <c r="Z13" s="7"/>
    </row>
    <row r="14" spans="1:26" ht="15" customHeight="1" x14ac:dyDescent="0.25">
      <c r="A14" s="1"/>
      <c r="B14" s="3"/>
      <c r="H14" s="7"/>
      <c r="I14" s="7"/>
      <c r="J14" s="7"/>
      <c r="K14" s="7"/>
      <c r="L14" s="7"/>
      <c r="M14" s="7"/>
      <c r="N14" s="7"/>
      <c r="O14" s="7"/>
      <c r="P14" s="7"/>
      <c r="Q14" s="7"/>
      <c r="R14" s="7"/>
      <c r="S14" s="7"/>
      <c r="T14" s="7"/>
      <c r="U14" s="7"/>
      <c r="V14" s="7"/>
      <c r="W14" s="7"/>
      <c r="X14" s="7"/>
      <c r="Y14" s="7"/>
      <c r="Z14" s="7"/>
    </row>
    <row r="15" spans="1:26" ht="15" customHeight="1" x14ac:dyDescent="0.25">
      <c r="A15" s="1"/>
      <c r="B15" s="3"/>
      <c r="H15" s="7"/>
      <c r="I15" s="7"/>
      <c r="J15" s="7"/>
      <c r="K15" s="7"/>
      <c r="L15" s="7"/>
      <c r="M15" s="7"/>
      <c r="N15" s="7"/>
      <c r="O15" s="7"/>
      <c r="P15" s="7"/>
      <c r="Q15" s="7"/>
      <c r="R15" s="7"/>
      <c r="S15" s="7"/>
      <c r="T15" s="7"/>
      <c r="U15" s="7"/>
      <c r="V15" s="7"/>
      <c r="W15" s="7"/>
      <c r="X15" s="7"/>
      <c r="Y15" s="7"/>
      <c r="Z15" s="7"/>
    </row>
    <row r="16" spans="1:26" ht="15" customHeight="1" x14ac:dyDescent="0.25">
      <c r="A16" s="1"/>
      <c r="B16" s="3"/>
      <c r="H16" s="7"/>
      <c r="I16" s="7"/>
      <c r="J16" s="7"/>
      <c r="K16" s="7"/>
      <c r="L16" s="7"/>
      <c r="M16" s="7"/>
      <c r="N16" s="7"/>
      <c r="O16" s="7"/>
      <c r="P16" s="7"/>
      <c r="Q16" s="7"/>
      <c r="R16" s="7"/>
      <c r="S16" s="7"/>
      <c r="T16" s="7"/>
      <c r="U16" s="7"/>
      <c r="V16" s="7"/>
      <c r="W16" s="7"/>
      <c r="X16" s="7"/>
      <c r="Y16" s="7"/>
      <c r="Z16" s="7"/>
    </row>
    <row r="17" spans="1:26" ht="15" customHeight="1" x14ac:dyDescent="0.25">
      <c r="A17" s="1"/>
      <c r="B17" s="3"/>
      <c r="H17" s="7"/>
      <c r="I17" s="7"/>
      <c r="J17" s="7"/>
      <c r="K17" s="7"/>
      <c r="L17" s="7"/>
      <c r="M17" s="7"/>
      <c r="N17" s="7"/>
      <c r="O17" s="7"/>
      <c r="P17" s="7"/>
      <c r="Q17" s="7"/>
      <c r="R17" s="7"/>
      <c r="S17" s="7"/>
      <c r="T17" s="7"/>
      <c r="U17" s="7"/>
      <c r="V17" s="7"/>
      <c r="W17" s="7"/>
      <c r="X17" s="7"/>
      <c r="Y17" s="7"/>
      <c r="Z17" s="7"/>
    </row>
    <row r="18" spans="1:26" ht="15" customHeight="1" x14ac:dyDescent="0.25">
      <c r="A18" s="1"/>
      <c r="B18" s="3"/>
      <c r="H18" s="7"/>
      <c r="I18" s="7"/>
      <c r="J18" s="7"/>
      <c r="K18" s="7"/>
      <c r="L18" s="7"/>
      <c r="M18" s="7"/>
      <c r="N18" s="7"/>
      <c r="O18" s="7"/>
      <c r="P18" s="7"/>
      <c r="Q18" s="7"/>
      <c r="R18" s="7"/>
      <c r="S18" s="7"/>
      <c r="T18" s="7"/>
      <c r="U18" s="7"/>
      <c r="V18" s="7"/>
      <c r="W18" s="7"/>
      <c r="X18" s="7"/>
      <c r="Y18" s="7"/>
      <c r="Z18" s="7"/>
    </row>
    <row r="19" spans="1:26" ht="15" customHeight="1" x14ac:dyDescent="0.25">
      <c r="A19" s="1"/>
      <c r="B19" s="3"/>
      <c r="H19" s="7"/>
      <c r="I19" s="7"/>
      <c r="J19" s="7"/>
      <c r="K19" s="7"/>
      <c r="L19" s="7"/>
      <c r="M19" s="7"/>
      <c r="N19" s="7"/>
      <c r="O19" s="7"/>
      <c r="P19" s="7"/>
      <c r="Q19" s="7"/>
      <c r="R19" s="7"/>
      <c r="S19" s="7"/>
      <c r="T19" s="7"/>
      <c r="U19" s="7"/>
      <c r="V19" s="7"/>
      <c r="W19" s="7"/>
      <c r="X19" s="7"/>
      <c r="Y19" s="7"/>
      <c r="Z19" s="7"/>
    </row>
    <row r="20" spans="1:26" ht="15" customHeight="1" x14ac:dyDescent="0.25">
      <c r="A20" s="1"/>
      <c r="B20" s="3"/>
      <c r="H20" s="7"/>
      <c r="I20" s="7"/>
      <c r="J20" s="7"/>
      <c r="K20" s="7"/>
      <c r="L20" s="7"/>
      <c r="M20" s="7"/>
      <c r="N20" s="7"/>
      <c r="O20" s="7"/>
      <c r="P20" s="7"/>
      <c r="Q20" s="7"/>
      <c r="R20" s="7"/>
      <c r="S20" s="7"/>
      <c r="T20" s="7"/>
      <c r="U20" s="7"/>
      <c r="V20" s="7"/>
      <c r="W20" s="7"/>
      <c r="X20" s="7"/>
      <c r="Y20" s="7"/>
      <c r="Z20" s="7"/>
    </row>
    <row r="21" spans="1:26" ht="15" customHeight="1" x14ac:dyDescent="0.25">
      <c r="A21" s="1"/>
      <c r="B21" s="3"/>
      <c r="H21" s="7"/>
      <c r="I21" s="7"/>
      <c r="J21" s="7"/>
      <c r="K21" s="7"/>
      <c r="L21" s="7"/>
      <c r="M21" s="7"/>
      <c r="N21" s="7"/>
      <c r="O21" s="7"/>
      <c r="P21" s="7"/>
      <c r="Q21" s="7"/>
      <c r="R21" s="7"/>
      <c r="S21" s="7"/>
      <c r="T21" s="7"/>
      <c r="U21" s="7"/>
      <c r="V21" s="7"/>
      <c r="W21" s="7"/>
      <c r="X21" s="7"/>
      <c r="Y21" s="7"/>
      <c r="Z21" s="7"/>
    </row>
    <row r="22" spans="1:26" ht="15" customHeight="1" x14ac:dyDescent="0.25">
      <c r="A22" s="1"/>
      <c r="B22" s="3"/>
      <c r="C22" s="7"/>
      <c r="D22" s="7"/>
      <c r="E22" s="7"/>
      <c r="F22" s="7"/>
      <c r="G22" s="7"/>
      <c r="H22" s="7"/>
      <c r="I22" s="7"/>
      <c r="J22" s="7"/>
      <c r="K22" s="7"/>
      <c r="L22" s="7"/>
      <c r="M22" s="7"/>
      <c r="N22" s="7"/>
      <c r="O22" s="7"/>
      <c r="P22" s="7"/>
      <c r="Q22" s="7"/>
      <c r="R22" s="7"/>
      <c r="S22" s="7"/>
      <c r="T22" s="7"/>
      <c r="U22" s="7"/>
      <c r="V22" s="7"/>
      <c r="W22" s="7"/>
      <c r="X22" s="7"/>
      <c r="Y22" s="7"/>
      <c r="Z22" s="7"/>
    </row>
    <row r="23" spans="1:26" ht="15" customHeight="1" x14ac:dyDescent="0.25">
      <c r="A23" s="1"/>
      <c r="B23" s="3"/>
      <c r="C23" s="7"/>
      <c r="D23" s="7"/>
      <c r="E23" s="7"/>
      <c r="F23" s="7"/>
      <c r="G23" s="7"/>
      <c r="H23" s="7"/>
      <c r="I23" s="7"/>
      <c r="J23" s="7"/>
      <c r="K23" s="7"/>
      <c r="L23" s="7"/>
      <c r="M23" s="7"/>
      <c r="N23" s="7"/>
      <c r="O23" s="7"/>
      <c r="P23" s="7"/>
      <c r="Q23" s="7"/>
      <c r="R23" s="7"/>
      <c r="S23" s="7"/>
      <c r="T23" s="7"/>
      <c r="U23" s="7"/>
      <c r="V23" s="7"/>
      <c r="W23" s="7"/>
      <c r="X23" s="7"/>
      <c r="Y23" s="7"/>
      <c r="Z23" s="7"/>
    </row>
    <row r="24" spans="1:26" ht="15" customHeight="1" x14ac:dyDescent="0.25">
      <c r="A24" s="1"/>
      <c r="B24" s="3"/>
      <c r="C24" s="7"/>
      <c r="D24" s="7"/>
      <c r="E24" s="7"/>
      <c r="F24" s="7"/>
      <c r="G24" s="7"/>
      <c r="H24" s="7"/>
      <c r="I24" s="7"/>
      <c r="J24" s="7"/>
      <c r="K24" s="7"/>
      <c r="L24" s="7"/>
      <c r="M24" s="7"/>
      <c r="N24" s="7"/>
      <c r="O24" s="7"/>
      <c r="P24" s="7"/>
      <c r="Q24" s="7"/>
      <c r="R24" s="7"/>
      <c r="S24" s="7"/>
      <c r="T24" s="7"/>
      <c r="U24" s="7"/>
      <c r="V24" s="7"/>
      <c r="W24" s="7"/>
      <c r="X24" s="7"/>
      <c r="Y24" s="7"/>
      <c r="Z24" s="7"/>
    </row>
    <row r="25" spans="1:26" ht="15.75" customHeight="1" x14ac:dyDescent="0.25">
      <c r="A25" s="1"/>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x14ac:dyDescent="0.25">
      <c r="A26" s="1"/>
      <c r="B26" s="3"/>
      <c r="C26" s="3"/>
      <c r="D26" s="3"/>
      <c r="E26" s="3"/>
      <c r="F26" s="3"/>
      <c r="G26" s="3"/>
      <c r="H26" s="3"/>
      <c r="I26" s="3"/>
      <c r="J26" s="3"/>
      <c r="K26" s="3"/>
      <c r="L26" s="3"/>
      <c r="M26" s="3"/>
      <c r="N26" s="3"/>
      <c r="O26" s="3"/>
      <c r="P26" s="3"/>
      <c r="Q26" s="3"/>
      <c r="R26" s="3"/>
      <c r="S26" s="3"/>
      <c r="T26" s="3"/>
      <c r="U26" s="3"/>
      <c r="V26" s="3"/>
      <c r="W26" s="3"/>
      <c r="X26" s="3"/>
      <c r="Y26" s="3"/>
      <c r="Z26" s="3"/>
    </row>
    <row r="27" spans="1:26" ht="15" customHeight="1" x14ac:dyDescent="0.25">
      <c r="A27" s="1" t="s">
        <v>293</v>
      </c>
      <c r="B27" s="3"/>
      <c r="H27" s="3"/>
      <c r="I27" s="3"/>
      <c r="J27" s="3"/>
      <c r="K27" s="3"/>
      <c r="L27" s="3"/>
      <c r="M27" s="3"/>
      <c r="N27" s="3"/>
      <c r="O27" s="3"/>
      <c r="P27" s="3"/>
      <c r="Q27" s="3"/>
      <c r="R27" s="3"/>
      <c r="S27" s="3"/>
      <c r="T27" s="3"/>
      <c r="U27" s="3"/>
      <c r="V27" s="3"/>
      <c r="W27" s="3"/>
      <c r="X27" s="3"/>
      <c r="Y27" s="3"/>
      <c r="Z27" s="3"/>
    </row>
    <row r="28" spans="1:26" ht="15" customHeight="1" x14ac:dyDescent="0.25">
      <c r="A28" s="1" t="s">
        <v>294</v>
      </c>
      <c r="B28" s="3"/>
      <c r="H28" s="3"/>
      <c r="I28" s="3"/>
      <c r="J28" s="3"/>
      <c r="K28" s="3"/>
      <c r="L28" s="3"/>
      <c r="M28" s="3"/>
      <c r="N28" s="3"/>
      <c r="O28" s="3"/>
      <c r="P28" s="3"/>
      <c r="Q28" s="3"/>
      <c r="R28" s="3"/>
      <c r="S28" s="3"/>
      <c r="T28" s="3"/>
      <c r="U28" s="3"/>
      <c r="V28" s="3"/>
      <c r="W28" s="3"/>
      <c r="X28" s="3"/>
      <c r="Y28" s="3"/>
      <c r="Z28" s="3"/>
    </row>
    <row r="29" spans="1:26" ht="15" customHeight="1" x14ac:dyDescent="0.25">
      <c r="A29" s="1" t="s">
        <v>295</v>
      </c>
      <c r="B29" s="3"/>
      <c r="H29" s="3"/>
      <c r="I29" s="3"/>
      <c r="J29" s="3"/>
      <c r="K29" s="3"/>
      <c r="L29" s="3"/>
      <c r="M29" s="3"/>
      <c r="N29" s="3"/>
      <c r="O29" s="3"/>
      <c r="P29" s="3"/>
      <c r="Q29" s="3"/>
      <c r="R29" s="3"/>
      <c r="S29" s="3"/>
      <c r="T29" s="3"/>
      <c r="U29" s="3"/>
      <c r="V29" s="3"/>
      <c r="W29" s="3"/>
      <c r="X29" s="3"/>
      <c r="Y29" s="3"/>
      <c r="Z29" s="3"/>
    </row>
    <row r="30" spans="1:26" ht="15" customHeight="1" x14ac:dyDescent="0.25">
      <c r="A30" s="1" t="s">
        <v>296</v>
      </c>
      <c r="B30" s="3"/>
      <c r="H30" s="3"/>
      <c r="I30" s="3"/>
      <c r="J30" s="3"/>
      <c r="K30" s="3"/>
      <c r="L30" s="3"/>
      <c r="M30" s="3"/>
      <c r="N30" s="3"/>
      <c r="O30" s="3"/>
      <c r="P30" s="3"/>
      <c r="Q30" s="3"/>
      <c r="R30" s="3"/>
      <c r="S30" s="3"/>
      <c r="T30" s="3"/>
      <c r="U30" s="3"/>
      <c r="V30" s="3"/>
      <c r="W30" s="3"/>
      <c r="X30" s="3"/>
      <c r="Y30" s="3"/>
      <c r="Z30" s="3"/>
    </row>
    <row r="31" spans="1:26" ht="15" customHeight="1" x14ac:dyDescent="0.25">
      <c r="A31" s="1" t="s">
        <v>297</v>
      </c>
      <c r="B31" s="3"/>
      <c r="C31" s="3"/>
      <c r="D31" s="3"/>
      <c r="E31" s="3"/>
      <c r="F31" s="3"/>
      <c r="G31" s="3"/>
      <c r="H31" s="3"/>
      <c r="I31" s="3"/>
      <c r="J31" s="3"/>
      <c r="K31" s="3"/>
      <c r="L31" s="3"/>
      <c r="M31" s="3"/>
      <c r="N31" s="3"/>
      <c r="O31" s="3"/>
      <c r="P31" s="3"/>
      <c r="Q31" s="3"/>
      <c r="R31" s="3"/>
      <c r="S31" s="3"/>
      <c r="T31" s="3"/>
      <c r="U31" s="3"/>
      <c r="V31" s="3"/>
      <c r="W31" s="3"/>
      <c r="X31" s="3"/>
      <c r="Y31" s="3"/>
      <c r="Z31" s="3"/>
    </row>
    <row r="32" spans="1:26" ht="15" customHeight="1" x14ac:dyDescent="0.25">
      <c r="A32" s="1" t="s">
        <v>298</v>
      </c>
      <c r="B32" s="3"/>
      <c r="H32" s="3"/>
      <c r="I32" s="3"/>
      <c r="J32" s="3"/>
      <c r="K32" s="3"/>
      <c r="L32" s="3"/>
      <c r="M32" s="3"/>
      <c r="N32" s="3"/>
      <c r="O32" s="3"/>
      <c r="P32" s="3"/>
      <c r="Q32" s="3"/>
      <c r="R32" s="3"/>
      <c r="S32" s="3"/>
      <c r="T32" s="3"/>
      <c r="U32" s="3"/>
      <c r="V32" s="3"/>
      <c r="W32" s="3"/>
      <c r="X32" s="3"/>
      <c r="Y32" s="3"/>
      <c r="Z32" s="3"/>
    </row>
    <row r="33" spans="1:26" ht="15" customHeight="1" x14ac:dyDescent="0.25">
      <c r="A33" s="1" t="s">
        <v>299</v>
      </c>
      <c r="B33" s="3"/>
      <c r="C33" s="3"/>
      <c r="D33" s="3"/>
      <c r="E33" s="3"/>
      <c r="F33" s="3"/>
      <c r="G33" s="3"/>
      <c r="H33" s="3"/>
      <c r="I33" s="3"/>
      <c r="J33" s="3"/>
      <c r="K33" s="3"/>
      <c r="L33" s="3"/>
      <c r="M33" s="3"/>
      <c r="N33" s="3"/>
      <c r="O33" s="3"/>
      <c r="P33" s="3"/>
      <c r="Q33" s="3"/>
      <c r="R33" s="3"/>
      <c r="S33" s="3"/>
      <c r="T33" s="3"/>
      <c r="U33" s="3"/>
      <c r="V33" s="3"/>
      <c r="W33" s="3"/>
      <c r="X33" s="3"/>
      <c r="Y33" s="3"/>
      <c r="Z33" s="3"/>
    </row>
    <row r="34" spans="1:26" ht="15" customHeight="1" x14ac:dyDescent="0.25">
      <c r="A34" s="1" t="s">
        <v>242</v>
      </c>
      <c r="B34" s="3"/>
      <c r="C34" s="25" t="s">
        <v>189</v>
      </c>
      <c r="D34" s="25" t="s">
        <v>86</v>
      </c>
      <c r="E34" s="25" t="s">
        <v>190</v>
      </c>
      <c r="F34" s="25" t="s">
        <v>191</v>
      </c>
      <c r="G34" s="25" t="s">
        <v>192</v>
      </c>
      <c r="H34" s="3"/>
      <c r="I34" s="3"/>
      <c r="J34" s="3"/>
      <c r="K34" s="3"/>
      <c r="L34" s="3"/>
      <c r="M34" s="3"/>
      <c r="N34" s="3"/>
      <c r="O34" s="3"/>
      <c r="P34" s="3"/>
      <c r="Q34" s="3"/>
      <c r="R34" s="3"/>
      <c r="S34" s="3"/>
      <c r="T34" s="3"/>
      <c r="U34" s="3"/>
      <c r="V34" s="3"/>
      <c r="W34" s="3"/>
      <c r="X34" s="3"/>
      <c r="Y34" s="3"/>
      <c r="Z34" s="3"/>
    </row>
    <row r="35" spans="1:26" ht="15" customHeight="1" x14ac:dyDescent="0.25">
      <c r="A35" s="1"/>
      <c r="B35" s="3"/>
      <c r="C35" s="25" t="s">
        <v>195</v>
      </c>
      <c r="D35" s="25" t="s">
        <v>200</v>
      </c>
      <c r="E35" s="24">
        <v>30000</v>
      </c>
      <c r="F35" s="24">
        <v>15000</v>
      </c>
      <c r="G35" s="24">
        <v>20000</v>
      </c>
      <c r="H35" s="3"/>
      <c r="I35" s="3"/>
      <c r="J35" s="3"/>
      <c r="K35" s="3"/>
      <c r="L35" s="3"/>
      <c r="M35" s="3"/>
      <c r="N35" s="3"/>
      <c r="O35" s="3"/>
      <c r="P35" s="3"/>
      <c r="Q35" s="3"/>
      <c r="R35" s="3"/>
      <c r="S35" s="3"/>
      <c r="T35" s="3"/>
      <c r="U35" s="3"/>
      <c r="V35" s="3"/>
      <c r="W35" s="3"/>
      <c r="X35" s="3"/>
      <c r="Y35" s="3"/>
      <c r="Z35" s="3"/>
    </row>
    <row r="36" spans="1:26" ht="15" customHeight="1" x14ac:dyDescent="0.25">
      <c r="A36" s="1"/>
      <c r="B36" s="3"/>
      <c r="C36" s="25" t="s">
        <v>195</v>
      </c>
      <c r="D36" s="25" t="s">
        <v>196</v>
      </c>
      <c r="E36" s="24">
        <v>25000</v>
      </c>
      <c r="F36" s="24">
        <v>80000</v>
      </c>
      <c r="G36" s="24">
        <v>120000</v>
      </c>
      <c r="H36" s="3"/>
      <c r="I36" s="3"/>
      <c r="J36" s="3"/>
      <c r="K36" s="3"/>
      <c r="L36" s="3"/>
      <c r="M36" s="3"/>
      <c r="N36" s="3"/>
      <c r="O36" s="3"/>
      <c r="P36" s="3"/>
      <c r="Q36" s="3"/>
      <c r="R36" s="3"/>
      <c r="S36" s="3"/>
      <c r="T36" s="3"/>
      <c r="U36" s="3"/>
      <c r="V36" s="3"/>
      <c r="W36" s="3"/>
      <c r="X36" s="3"/>
      <c r="Y36" s="3"/>
      <c r="Z36" s="3"/>
    </row>
    <row r="37" spans="1:26" ht="15" customHeight="1" x14ac:dyDescent="0.25">
      <c r="A37" s="1"/>
      <c r="B37" s="3"/>
      <c r="C37" s="25" t="s">
        <v>198</v>
      </c>
      <c r="D37" s="25" t="s">
        <v>201</v>
      </c>
      <c r="E37" s="24">
        <v>80000</v>
      </c>
      <c r="F37" s="24">
        <v>40000</v>
      </c>
      <c r="G37" s="24">
        <v>20000</v>
      </c>
      <c r="H37" s="3"/>
      <c r="I37" s="3"/>
      <c r="J37" s="3"/>
      <c r="K37" s="3"/>
      <c r="L37" s="3"/>
      <c r="M37" s="3"/>
      <c r="N37" s="3"/>
      <c r="O37" s="3"/>
      <c r="P37" s="3"/>
      <c r="Q37" s="3"/>
      <c r="R37" s="3"/>
      <c r="S37" s="3"/>
      <c r="T37" s="3"/>
      <c r="U37" s="3"/>
      <c r="V37" s="3"/>
      <c r="W37" s="3"/>
      <c r="X37" s="3"/>
      <c r="Y37" s="3"/>
      <c r="Z37" s="3"/>
    </row>
    <row r="38" spans="1:26" ht="15" customHeight="1" x14ac:dyDescent="0.25">
      <c r="A38" s="1"/>
      <c r="B38" s="3"/>
      <c r="C38" s="25" t="s">
        <v>198</v>
      </c>
      <c r="D38" s="25" t="s">
        <v>199</v>
      </c>
      <c r="E38" s="24">
        <v>90000</v>
      </c>
      <c r="F38" s="24">
        <v>35000</v>
      </c>
      <c r="G38" s="24">
        <v>25000</v>
      </c>
      <c r="H38" s="3"/>
      <c r="I38" s="3"/>
      <c r="J38" s="3"/>
      <c r="K38" s="3"/>
      <c r="L38" s="3"/>
      <c r="M38" s="3"/>
      <c r="N38" s="3"/>
      <c r="O38" s="3"/>
      <c r="P38" s="3"/>
      <c r="Q38" s="3"/>
      <c r="R38" s="3"/>
      <c r="S38" s="3"/>
      <c r="T38" s="3"/>
      <c r="U38" s="3"/>
      <c r="V38" s="3"/>
      <c r="W38" s="3"/>
      <c r="X38" s="3"/>
      <c r="Y38" s="3"/>
      <c r="Z38" s="3"/>
    </row>
    <row r="39" spans="1:26" ht="15" customHeight="1" x14ac:dyDescent="0.25">
      <c r="A39" s="1"/>
      <c r="B39" s="3"/>
      <c r="C39" s="25" t="s">
        <v>5</v>
      </c>
      <c r="D39" s="25" t="s">
        <v>8</v>
      </c>
      <c r="E39" s="24">
        <v>90000</v>
      </c>
      <c r="F39" s="24">
        <v>110000</v>
      </c>
      <c r="G39" s="24">
        <v>200000</v>
      </c>
      <c r="H39" s="3"/>
      <c r="I39" s="3"/>
      <c r="J39" s="3"/>
      <c r="K39" s="3"/>
      <c r="L39" s="3"/>
      <c r="M39" s="3"/>
      <c r="N39" s="3"/>
      <c r="O39" s="3"/>
      <c r="P39" s="3"/>
      <c r="Q39" s="3"/>
      <c r="R39" s="3"/>
      <c r="S39" s="3"/>
      <c r="T39" s="3"/>
      <c r="U39" s="3"/>
      <c r="V39" s="3"/>
      <c r="W39" s="3"/>
      <c r="X39" s="3"/>
      <c r="Y39" s="3"/>
      <c r="Z39" s="3"/>
    </row>
    <row r="40" spans="1:26" ht="15" customHeight="1" x14ac:dyDescent="0.25">
      <c r="A40" s="1"/>
      <c r="B40" s="3"/>
      <c r="C40" s="25" t="s">
        <v>5</v>
      </c>
      <c r="D40" s="25" t="s">
        <v>11</v>
      </c>
      <c r="E40" s="24">
        <v>75000</v>
      </c>
      <c r="F40" s="24">
        <v>82000</v>
      </c>
      <c r="G40" s="24">
        <v>150000</v>
      </c>
      <c r="H40" s="3"/>
      <c r="I40" s="3"/>
      <c r="J40" s="3"/>
      <c r="K40" s="3"/>
      <c r="L40" s="3"/>
      <c r="M40" s="3"/>
      <c r="N40" s="3"/>
      <c r="O40" s="3"/>
      <c r="P40" s="3"/>
      <c r="Q40" s="3"/>
      <c r="R40" s="3"/>
      <c r="S40" s="3"/>
      <c r="T40" s="3"/>
      <c r="U40" s="3"/>
      <c r="V40" s="3"/>
      <c r="W40" s="3"/>
      <c r="X40" s="3"/>
      <c r="Y40" s="3"/>
      <c r="Z40" s="3"/>
    </row>
    <row r="41" spans="1:26" ht="15" customHeight="1" x14ac:dyDescent="0.25">
      <c r="A41" s="1"/>
      <c r="B41" s="3"/>
      <c r="C41" s="25" t="s">
        <v>89</v>
      </c>
      <c r="D41" s="25" t="s">
        <v>197</v>
      </c>
      <c r="E41" s="24">
        <v>30000</v>
      </c>
      <c r="F41" s="24">
        <v>80000</v>
      </c>
      <c r="G41" s="24">
        <v>30000</v>
      </c>
      <c r="H41" s="3"/>
      <c r="I41" s="3"/>
      <c r="J41" s="3"/>
      <c r="K41" s="3"/>
      <c r="L41" s="3"/>
      <c r="M41" s="3"/>
      <c r="N41" s="3"/>
      <c r="O41" s="3"/>
      <c r="P41" s="3"/>
      <c r="Q41" s="3"/>
      <c r="R41" s="3"/>
      <c r="S41" s="3"/>
      <c r="T41" s="3"/>
      <c r="U41" s="3"/>
      <c r="V41" s="3"/>
      <c r="W41" s="3"/>
      <c r="X41" s="3"/>
      <c r="Y41" s="3"/>
      <c r="Z41" s="3"/>
    </row>
    <row r="42" spans="1:26" ht="15" customHeight="1" x14ac:dyDescent="0.25">
      <c r="A42" s="1"/>
      <c r="B42" s="3"/>
      <c r="C42" s="25" t="s">
        <v>89</v>
      </c>
      <c r="D42" s="25" t="s">
        <v>3</v>
      </c>
      <c r="E42" s="24">
        <v>10000</v>
      </c>
      <c r="F42" s="24">
        <v>30000</v>
      </c>
      <c r="G42" s="24">
        <v>40000</v>
      </c>
      <c r="H42" s="3"/>
      <c r="I42" s="3"/>
      <c r="J42" s="3"/>
      <c r="K42" s="3"/>
      <c r="L42" s="3"/>
      <c r="M42" s="3"/>
      <c r="N42" s="3"/>
      <c r="O42" s="3"/>
      <c r="P42" s="3"/>
      <c r="Q42" s="3"/>
      <c r="R42" s="3"/>
      <c r="S42" s="3"/>
      <c r="T42" s="3"/>
      <c r="U42" s="3"/>
      <c r="V42" s="3"/>
      <c r="W42" s="3"/>
      <c r="X42" s="3"/>
      <c r="Y42" s="3"/>
      <c r="Z42" s="3"/>
    </row>
    <row r="43" spans="1:26" ht="15" customHeight="1" x14ac:dyDescent="0.25">
      <c r="A43" s="1"/>
      <c r="B43" s="3"/>
      <c r="H43" s="3"/>
      <c r="I43" s="3"/>
      <c r="J43" s="3"/>
      <c r="K43" s="3"/>
      <c r="L43" s="3"/>
      <c r="M43" s="3"/>
      <c r="N43" s="3"/>
      <c r="O43" s="3"/>
      <c r="P43" s="3"/>
      <c r="Q43" s="3"/>
      <c r="R43" s="3"/>
      <c r="S43" s="3"/>
      <c r="T43" s="3"/>
      <c r="U43" s="3"/>
      <c r="V43" s="3"/>
      <c r="W43" s="3"/>
      <c r="X43" s="3"/>
      <c r="Y43" s="3"/>
      <c r="Z43" s="3"/>
    </row>
    <row r="44" spans="1:26" ht="15" customHeight="1" x14ac:dyDescent="0.25">
      <c r="A44" s="1"/>
      <c r="B44" s="3"/>
      <c r="H44" s="3"/>
      <c r="I44" s="3"/>
      <c r="J44" s="3"/>
      <c r="K44" s="3"/>
      <c r="L44" s="3"/>
      <c r="M44" s="3"/>
      <c r="N44" s="3"/>
      <c r="O44" s="3"/>
      <c r="P44" s="3"/>
      <c r="Q44" s="3"/>
      <c r="R44" s="3"/>
      <c r="S44" s="3"/>
      <c r="T44" s="3"/>
      <c r="U44" s="3"/>
      <c r="V44" s="3"/>
      <c r="W44" s="3"/>
      <c r="X44" s="3"/>
      <c r="Y44" s="3"/>
      <c r="Z44" s="3"/>
    </row>
    <row r="45" spans="1:26" ht="15" customHeight="1" x14ac:dyDescent="0.25">
      <c r="A45" s="1"/>
      <c r="B45" s="3"/>
      <c r="H45" s="3"/>
      <c r="I45" s="3"/>
      <c r="J45" s="3"/>
      <c r="K45" s="3"/>
      <c r="L45" s="3"/>
      <c r="M45" s="3"/>
      <c r="N45" s="3"/>
      <c r="O45" s="3"/>
      <c r="P45" s="3"/>
      <c r="Q45" s="3"/>
      <c r="R45" s="3"/>
      <c r="S45" s="3"/>
      <c r="T45" s="3"/>
      <c r="U45" s="3"/>
      <c r="V45" s="3"/>
      <c r="W45" s="3"/>
      <c r="X45" s="3"/>
      <c r="Y45" s="3"/>
      <c r="Z45" s="3"/>
    </row>
    <row r="46" spans="1:26" ht="15" customHeight="1" x14ac:dyDescent="0.25">
      <c r="A46" s="1"/>
      <c r="B46" s="3"/>
      <c r="H46" s="3"/>
      <c r="I46" s="3"/>
      <c r="J46" s="3"/>
      <c r="K46" s="3"/>
      <c r="L46" s="3"/>
      <c r="M46" s="3"/>
      <c r="N46" s="3"/>
      <c r="O46" s="3"/>
      <c r="P46" s="3"/>
      <c r="Q46" s="3"/>
      <c r="R46" s="3"/>
      <c r="S46" s="3"/>
      <c r="T46" s="3"/>
      <c r="U46" s="3"/>
      <c r="V46" s="3"/>
      <c r="W46" s="3"/>
      <c r="X46" s="3"/>
      <c r="Y46" s="3"/>
      <c r="Z46" s="3"/>
    </row>
    <row r="47" spans="1:26" ht="15" customHeight="1" x14ac:dyDescent="0.25">
      <c r="A47" s="1" t="s">
        <v>300</v>
      </c>
      <c r="B47" s="3"/>
      <c r="H47" s="3"/>
      <c r="I47" s="3"/>
      <c r="J47" s="3"/>
      <c r="K47" s="3"/>
      <c r="L47" s="3"/>
      <c r="M47" s="3"/>
      <c r="N47" s="3"/>
      <c r="O47" s="3"/>
      <c r="P47" s="3"/>
      <c r="Q47" s="3"/>
      <c r="R47" s="3"/>
      <c r="S47" s="3"/>
      <c r="T47" s="3"/>
      <c r="U47" s="3"/>
      <c r="V47" s="3"/>
      <c r="W47" s="3"/>
      <c r="X47" s="3"/>
      <c r="Y47" s="3"/>
      <c r="Z47" s="3"/>
    </row>
    <row r="48" spans="1:26" ht="15" customHeight="1" x14ac:dyDescent="0.25">
      <c r="A48" s="1" t="s">
        <v>301</v>
      </c>
      <c r="B48" s="3"/>
      <c r="H48" s="3"/>
      <c r="I48" s="3"/>
      <c r="J48" s="3"/>
      <c r="K48" s="3"/>
      <c r="L48" s="3"/>
      <c r="M48" s="3"/>
      <c r="N48" s="3"/>
      <c r="O48" s="3"/>
      <c r="P48" s="3"/>
      <c r="Q48" s="3"/>
      <c r="R48" s="3"/>
      <c r="S48" s="3"/>
      <c r="T48" s="3"/>
      <c r="U48" s="3"/>
      <c r="V48" s="3"/>
      <c r="W48" s="3"/>
      <c r="X48" s="3"/>
      <c r="Y48" s="3"/>
      <c r="Z48" s="3"/>
    </row>
    <row r="49" spans="1:26" ht="15" customHeight="1" x14ac:dyDescent="0.25">
      <c r="A49" s="1" t="s">
        <v>302</v>
      </c>
      <c r="B49" s="3"/>
      <c r="H49" s="3"/>
      <c r="I49" s="3"/>
      <c r="J49" s="3"/>
      <c r="K49" s="3"/>
      <c r="L49" s="3"/>
      <c r="M49" s="3"/>
      <c r="N49" s="3"/>
      <c r="O49" s="3"/>
      <c r="P49" s="3"/>
      <c r="Q49" s="3"/>
      <c r="R49" s="3"/>
      <c r="S49" s="3"/>
      <c r="T49" s="3"/>
      <c r="U49" s="3"/>
      <c r="V49" s="3"/>
      <c r="W49" s="3"/>
      <c r="X49" s="3"/>
      <c r="Y49" s="3"/>
      <c r="Z49" s="3"/>
    </row>
    <row r="50" spans="1:26" ht="15" customHeight="1" x14ac:dyDescent="0.25">
      <c r="A50" s="1" t="s">
        <v>303</v>
      </c>
      <c r="B50" s="3"/>
      <c r="H50" s="3"/>
      <c r="I50" s="3"/>
      <c r="J50" s="3"/>
      <c r="K50" s="3"/>
      <c r="L50" s="3"/>
      <c r="M50" s="3"/>
      <c r="N50" s="3"/>
      <c r="O50" s="3"/>
      <c r="P50" s="3"/>
      <c r="Q50" s="3"/>
      <c r="R50" s="3"/>
      <c r="S50" s="3"/>
      <c r="T50" s="3"/>
      <c r="U50" s="3"/>
      <c r="V50" s="3"/>
      <c r="W50" s="3"/>
      <c r="X50" s="3"/>
      <c r="Y50" s="3"/>
      <c r="Z50" s="3"/>
    </row>
    <row r="51" spans="1:26" ht="15" customHeight="1" x14ac:dyDescent="0.25">
      <c r="A51" s="1" t="s">
        <v>304</v>
      </c>
      <c r="B51" s="3"/>
      <c r="H51" s="3"/>
      <c r="I51" s="3"/>
      <c r="J51" s="3"/>
      <c r="K51" s="3"/>
      <c r="L51" s="3"/>
      <c r="M51" s="3"/>
      <c r="N51" s="3"/>
      <c r="O51" s="3"/>
      <c r="P51" s="3"/>
      <c r="Q51" s="3"/>
      <c r="R51" s="3"/>
      <c r="S51" s="3"/>
      <c r="T51" s="3"/>
      <c r="U51" s="3"/>
      <c r="V51" s="3"/>
      <c r="W51" s="3"/>
      <c r="X51" s="3"/>
      <c r="Y51" s="3"/>
      <c r="Z51" s="3"/>
    </row>
    <row r="52" spans="1:26" ht="15" customHeight="1" x14ac:dyDescent="0.25">
      <c r="A52" s="1" t="s">
        <v>305</v>
      </c>
      <c r="B52" s="3"/>
      <c r="H52" s="3"/>
      <c r="I52" s="3"/>
      <c r="J52" s="3"/>
      <c r="K52" s="3"/>
      <c r="L52" s="3"/>
      <c r="M52" s="3"/>
      <c r="N52" s="3"/>
      <c r="O52" s="3"/>
      <c r="P52" s="3"/>
      <c r="Q52" s="3"/>
      <c r="R52" s="3"/>
      <c r="S52" s="3"/>
      <c r="T52" s="3"/>
      <c r="U52" s="3"/>
      <c r="V52" s="3"/>
      <c r="W52" s="3"/>
      <c r="X52" s="3"/>
      <c r="Y52" s="3"/>
      <c r="Z52" s="3"/>
    </row>
    <row r="53" spans="1:26" ht="15" customHeight="1" x14ac:dyDescent="0.25">
      <c r="A53" s="1" t="s">
        <v>306</v>
      </c>
      <c r="B53" s="3"/>
      <c r="H53" s="3"/>
      <c r="I53" s="3"/>
      <c r="J53" s="3"/>
      <c r="K53" s="3"/>
      <c r="L53" s="3"/>
      <c r="M53" s="3"/>
      <c r="N53" s="3"/>
      <c r="O53" s="3"/>
      <c r="P53" s="3"/>
      <c r="Q53" s="3"/>
      <c r="R53" s="3"/>
      <c r="S53" s="3"/>
      <c r="T53" s="3"/>
      <c r="U53" s="3"/>
      <c r="V53" s="3"/>
      <c r="W53" s="3"/>
      <c r="X53" s="3"/>
      <c r="Y53" s="3"/>
      <c r="Z53" s="3"/>
    </row>
    <row r="54" spans="1:26" ht="15" customHeight="1" x14ac:dyDescent="0.25">
      <c r="A54" s="1" t="s">
        <v>307</v>
      </c>
      <c r="B54" s="3"/>
      <c r="C54" s="25" t="s">
        <v>189</v>
      </c>
      <c r="D54" s="25" t="s">
        <v>86</v>
      </c>
      <c r="E54" s="25" t="s">
        <v>190</v>
      </c>
      <c r="F54" s="25" t="s">
        <v>191</v>
      </c>
      <c r="G54" s="25" t="s">
        <v>192</v>
      </c>
      <c r="H54" s="3"/>
      <c r="I54" s="3"/>
      <c r="J54" s="3"/>
      <c r="K54" s="3"/>
      <c r="L54" s="3"/>
      <c r="M54" s="3"/>
      <c r="N54" s="3"/>
      <c r="O54" s="3"/>
      <c r="P54" s="3"/>
      <c r="Q54" s="3"/>
      <c r="R54" s="3"/>
      <c r="S54" s="3"/>
      <c r="T54" s="3"/>
      <c r="U54" s="3"/>
      <c r="V54" s="3"/>
      <c r="W54" s="3"/>
      <c r="X54" s="3"/>
      <c r="Y54" s="3"/>
      <c r="Z54" s="3"/>
    </row>
    <row r="55" spans="1:26" ht="15" customHeight="1" x14ac:dyDescent="0.25">
      <c r="A55" s="1"/>
      <c r="B55" s="3"/>
      <c r="C55" s="25" t="s">
        <v>195</v>
      </c>
      <c r="D55" s="25" t="s">
        <v>200</v>
      </c>
      <c r="E55" s="24">
        <v>30000</v>
      </c>
      <c r="F55" s="24">
        <v>15000</v>
      </c>
      <c r="G55" s="24">
        <v>20000</v>
      </c>
      <c r="H55" s="3"/>
      <c r="I55" s="3"/>
      <c r="J55" s="3"/>
      <c r="K55" s="3"/>
      <c r="L55" s="3"/>
      <c r="M55" s="3"/>
      <c r="N55" s="3"/>
      <c r="O55" s="3"/>
      <c r="P55" s="3"/>
      <c r="Q55" s="3"/>
      <c r="R55" s="3"/>
      <c r="S55" s="3"/>
      <c r="T55" s="3"/>
      <c r="U55" s="3"/>
      <c r="V55" s="3"/>
      <c r="W55" s="3"/>
      <c r="X55" s="3"/>
      <c r="Y55" s="3"/>
      <c r="Z55" s="3"/>
    </row>
    <row r="56" spans="1:26" ht="15" customHeight="1" x14ac:dyDescent="0.25">
      <c r="A56" s="1"/>
      <c r="B56" s="3"/>
      <c r="C56" s="25" t="s">
        <v>195</v>
      </c>
      <c r="D56" s="25" t="s">
        <v>196</v>
      </c>
      <c r="E56" s="24">
        <v>25000</v>
      </c>
      <c r="F56" s="24">
        <v>80000</v>
      </c>
      <c r="G56" s="24">
        <v>120000</v>
      </c>
      <c r="H56" s="3"/>
      <c r="I56" s="3"/>
      <c r="J56" s="3"/>
      <c r="K56" s="3"/>
      <c r="L56" s="3"/>
      <c r="M56" s="3"/>
      <c r="N56" s="3"/>
      <c r="O56" s="3"/>
      <c r="P56" s="3"/>
      <c r="Q56" s="3"/>
      <c r="R56" s="3"/>
      <c r="S56" s="3"/>
      <c r="T56" s="3"/>
      <c r="U56" s="3"/>
      <c r="V56" s="3"/>
      <c r="W56" s="3"/>
      <c r="X56" s="3"/>
      <c r="Y56" s="3"/>
      <c r="Z56" s="3"/>
    </row>
    <row r="57" spans="1:26" ht="15" customHeight="1" x14ac:dyDescent="0.25">
      <c r="A57" s="1"/>
      <c r="B57" s="3"/>
      <c r="C57" s="25" t="s">
        <v>198</v>
      </c>
      <c r="D57" s="25" t="s">
        <v>201</v>
      </c>
      <c r="E57" s="24">
        <v>80000</v>
      </c>
      <c r="F57" s="24">
        <v>40000</v>
      </c>
      <c r="G57" s="24">
        <v>20000</v>
      </c>
      <c r="H57" s="3"/>
      <c r="I57" s="3"/>
      <c r="J57" s="3"/>
      <c r="K57" s="3"/>
      <c r="L57" s="3"/>
      <c r="M57" s="3"/>
      <c r="N57" s="3"/>
      <c r="O57" s="3"/>
      <c r="P57" s="3"/>
      <c r="Q57" s="3"/>
      <c r="R57" s="3"/>
      <c r="S57" s="3"/>
      <c r="T57" s="3"/>
      <c r="U57" s="3"/>
      <c r="V57" s="3"/>
      <c r="W57" s="3"/>
      <c r="X57" s="3"/>
      <c r="Y57" s="3"/>
      <c r="Z57" s="3"/>
    </row>
    <row r="58" spans="1:26" ht="15" customHeight="1" x14ac:dyDescent="0.25">
      <c r="A58" s="1"/>
      <c r="B58" s="3"/>
      <c r="C58" s="25" t="s">
        <v>198</v>
      </c>
      <c r="D58" s="25" t="s">
        <v>199</v>
      </c>
      <c r="E58" s="24">
        <v>90000</v>
      </c>
      <c r="F58" s="24">
        <v>35000</v>
      </c>
      <c r="G58" s="24">
        <v>25000</v>
      </c>
      <c r="H58" s="3"/>
      <c r="I58" s="3"/>
      <c r="J58" s="3"/>
      <c r="K58" s="3"/>
      <c r="L58" s="3"/>
      <c r="M58" s="3"/>
      <c r="N58" s="3"/>
      <c r="O58" s="3"/>
      <c r="P58" s="3"/>
      <c r="Q58" s="3"/>
      <c r="R58" s="3"/>
      <c r="S58" s="3"/>
      <c r="T58" s="3"/>
      <c r="U58" s="3"/>
      <c r="V58" s="3"/>
      <c r="W58" s="3"/>
      <c r="X58" s="3"/>
      <c r="Y58" s="3"/>
      <c r="Z58" s="3"/>
    </row>
    <row r="59" spans="1:26" ht="15" customHeight="1" x14ac:dyDescent="0.25">
      <c r="A59" s="1"/>
      <c r="B59" s="3"/>
      <c r="C59" s="25" t="s">
        <v>5</v>
      </c>
      <c r="D59" s="25" t="s">
        <v>8</v>
      </c>
      <c r="E59" s="24">
        <v>90000</v>
      </c>
      <c r="F59" s="24">
        <v>110000</v>
      </c>
      <c r="G59" s="24">
        <v>200000</v>
      </c>
      <c r="H59" s="3"/>
      <c r="I59" s="3"/>
      <c r="J59" s="3"/>
      <c r="K59" s="3"/>
      <c r="L59" s="3"/>
      <c r="M59" s="3"/>
      <c r="N59" s="3"/>
      <c r="O59" s="3"/>
      <c r="P59" s="3"/>
      <c r="Q59" s="3"/>
      <c r="R59" s="3"/>
      <c r="S59" s="3"/>
      <c r="T59" s="3"/>
      <c r="U59" s="3"/>
      <c r="V59" s="3"/>
      <c r="W59" s="3"/>
      <c r="X59" s="3"/>
      <c r="Y59" s="3"/>
      <c r="Z59" s="3"/>
    </row>
    <row r="60" spans="1:26" ht="15" customHeight="1" x14ac:dyDescent="0.25">
      <c r="A60" s="1"/>
      <c r="B60" s="3"/>
      <c r="C60" s="25" t="s">
        <v>5</v>
      </c>
      <c r="D60" s="25" t="s">
        <v>11</v>
      </c>
      <c r="E60" s="24">
        <v>75000</v>
      </c>
      <c r="F60" s="24">
        <v>82000</v>
      </c>
      <c r="G60" s="24">
        <v>150000</v>
      </c>
      <c r="H60" s="3"/>
      <c r="I60" s="3"/>
      <c r="J60" s="3"/>
      <c r="K60" s="3"/>
      <c r="L60" s="3"/>
      <c r="M60" s="3"/>
      <c r="N60" s="3"/>
      <c r="O60" s="3"/>
      <c r="P60" s="3"/>
      <c r="Q60" s="3"/>
      <c r="R60" s="3"/>
      <c r="S60" s="3"/>
      <c r="T60" s="3"/>
      <c r="U60" s="3"/>
      <c r="V60" s="3"/>
      <c r="W60" s="3"/>
      <c r="X60" s="3"/>
      <c r="Y60" s="3"/>
      <c r="Z60" s="3"/>
    </row>
    <row r="61" spans="1:26" ht="15" customHeight="1" x14ac:dyDescent="0.25">
      <c r="A61" s="1"/>
      <c r="B61" s="3"/>
      <c r="C61" s="25" t="s">
        <v>89</v>
      </c>
      <c r="D61" s="25" t="s">
        <v>197</v>
      </c>
      <c r="E61" s="24">
        <v>30000</v>
      </c>
      <c r="F61" s="24">
        <v>80000</v>
      </c>
      <c r="G61" s="24">
        <v>30000</v>
      </c>
      <c r="H61" s="3"/>
      <c r="I61" s="3"/>
      <c r="J61" s="3"/>
      <c r="K61" s="3"/>
      <c r="L61" s="3"/>
      <c r="M61" s="3"/>
      <c r="N61" s="3"/>
      <c r="O61" s="3"/>
      <c r="P61" s="3"/>
      <c r="Q61" s="3"/>
      <c r="R61" s="3"/>
      <c r="S61" s="3"/>
      <c r="T61" s="3"/>
      <c r="U61" s="3"/>
      <c r="V61" s="3"/>
      <c r="W61" s="3"/>
      <c r="X61" s="3"/>
      <c r="Y61" s="3"/>
      <c r="Z61" s="3"/>
    </row>
    <row r="62" spans="1:26" ht="15" customHeight="1" x14ac:dyDescent="0.25">
      <c r="A62" s="1"/>
      <c r="B62" s="3"/>
      <c r="C62" s="25" t="s">
        <v>89</v>
      </c>
      <c r="D62" s="25" t="s">
        <v>3</v>
      </c>
      <c r="E62" s="24">
        <v>10000</v>
      </c>
      <c r="F62" s="24">
        <v>30000</v>
      </c>
      <c r="G62" s="24">
        <v>40000</v>
      </c>
      <c r="H62" s="3"/>
      <c r="I62" s="3"/>
      <c r="J62" s="3"/>
      <c r="K62" s="3"/>
      <c r="L62" s="3"/>
      <c r="M62" s="3"/>
      <c r="N62" s="3"/>
      <c r="O62" s="3"/>
      <c r="P62" s="3"/>
      <c r="Q62" s="3"/>
      <c r="R62" s="3"/>
      <c r="S62" s="3"/>
      <c r="T62" s="3"/>
      <c r="U62" s="3"/>
      <c r="V62" s="3"/>
      <c r="W62" s="3"/>
      <c r="X62" s="3"/>
      <c r="Y62" s="3"/>
      <c r="Z62" s="3"/>
    </row>
    <row r="63" spans="1:26" ht="15.75" customHeight="1" x14ac:dyDescent="0.25">
      <c r="A63" s="1"/>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x14ac:dyDescent="0.25">
      <c r="A64" s="1"/>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x14ac:dyDescent="0.25">
      <c r="A65" s="1"/>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x14ac:dyDescent="0.25">
      <c r="A66" s="1"/>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x14ac:dyDescent="0.25">
      <c r="A67" s="1"/>
      <c r="B67" s="3"/>
      <c r="C67" s="3"/>
      <c r="D67" s="3"/>
      <c r="E67" s="3"/>
      <c r="F67" s="3"/>
      <c r="G67" s="3"/>
      <c r="H67" s="3"/>
      <c r="I67" s="3"/>
      <c r="J67" s="3"/>
      <c r="K67" s="3"/>
      <c r="L67" s="3"/>
      <c r="M67" s="3"/>
      <c r="N67" s="3"/>
      <c r="O67" s="3"/>
      <c r="P67" s="3"/>
      <c r="Q67" s="3"/>
      <c r="R67" s="3"/>
      <c r="S67" s="3"/>
      <c r="T67" s="3"/>
      <c r="U67" s="3"/>
      <c r="V67" s="3"/>
      <c r="W67" s="3"/>
      <c r="X67" s="3"/>
      <c r="Y67" s="3"/>
      <c r="Z67" s="3"/>
    </row>
    <row r="68" spans="1:26" ht="15" customHeight="1" x14ac:dyDescent="0.25">
      <c r="A68" s="1" t="s">
        <v>62</v>
      </c>
      <c r="B68" s="3"/>
      <c r="C68" s="3"/>
      <c r="D68" s="3"/>
      <c r="E68" s="3"/>
      <c r="F68" s="3"/>
      <c r="G68" s="3"/>
      <c r="H68" s="3"/>
      <c r="I68" s="3"/>
      <c r="J68" s="3"/>
      <c r="K68" s="3"/>
      <c r="L68" s="3"/>
      <c r="M68" s="3"/>
      <c r="N68" s="3"/>
      <c r="O68" s="3"/>
      <c r="P68" s="3"/>
      <c r="Q68" s="3"/>
      <c r="R68" s="3"/>
      <c r="S68" s="3"/>
      <c r="T68" s="3"/>
      <c r="U68" s="3"/>
      <c r="V68" s="3"/>
      <c r="W68" s="3"/>
      <c r="X68" s="3"/>
      <c r="Y68" s="3"/>
      <c r="Z68" s="3"/>
    </row>
    <row r="69" spans="1:26" ht="15" customHeight="1" x14ac:dyDescent="0.25">
      <c r="A69" s="11" t="s">
        <v>308</v>
      </c>
      <c r="B69" s="3"/>
      <c r="H69" s="3"/>
      <c r="I69" s="3"/>
      <c r="J69" s="3"/>
      <c r="K69" s="3"/>
      <c r="L69" s="3"/>
      <c r="M69" s="3"/>
      <c r="N69" s="3"/>
      <c r="O69" s="3"/>
      <c r="P69" s="3"/>
      <c r="Q69" s="3"/>
      <c r="R69" s="3"/>
      <c r="S69" s="3"/>
      <c r="T69" s="3"/>
      <c r="U69" s="3"/>
      <c r="V69" s="3"/>
      <c r="W69" s="3"/>
      <c r="X69" s="3"/>
      <c r="Y69" s="3"/>
      <c r="Z69" s="3"/>
    </row>
    <row r="70" spans="1:26" ht="15" customHeight="1" x14ac:dyDescent="0.25">
      <c r="A70" s="11" t="s">
        <v>309</v>
      </c>
      <c r="B70" s="3"/>
      <c r="H70" s="3"/>
      <c r="I70" s="3"/>
      <c r="J70" s="3"/>
      <c r="K70" s="3"/>
      <c r="L70" s="3"/>
      <c r="M70" s="3"/>
      <c r="N70" s="3"/>
      <c r="O70" s="3"/>
      <c r="P70" s="3"/>
      <c r="Q70" s="3"/>
      <c r="R70" s="3"/>
      <c r="S70" s="3"/>
      <c r="T70" s="3"/>
      <c r="U70" s="3"/>
      <c r="V70" s="3"/>
      <c r="W70" s="3"/>
      <c r="X70" s="3"/>
      <c r="Y70" s="3"/>
      <c r="Z70" s="3"/>
    </row>
    <row r="71" spans="1:26" ht="15" customHeight="1" x14ac:dyDescent="0.25">
      <c r="A71" s="1" t="s">
        <v>67</v>
      </c>
      <c r="B71" s="3"/>
      <c r="H71" s="3"/>
      <c r="I71" s="3"/>
      <c r="J71" s="3"/>
      <c r="K71" s="3"/>
      <c r="L71" s="3"/>
      <c r="M71" s="3"/>
      <c r="N71" s="3"/>
      <c r="O71" s="3"/>
      <c r="P71" s="3"/>
      <c r="Q71" s="3"/>
      <c r="R71" s="3"/>
      <c r="S71" s="3"/>
      <c r="T71" s="3"/>
      <c r="U71" s="3"/>
      <c r="V71" s="3"/>
      <c r="W71" s="3"/>
      <c r="X71" s="3"/>
      <c r="Y71" s="3"/>
      <c r="Z71" s="3"/>
    </row>
    <row r="72" spans="1:26" ht="15.75" customHeight="1" x14ac:dyDescent="0.25">
      <c r="A72" s="1"/>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x14ac:dyDescent="0.25">
      <c r="A73" s="1"/>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x14ac:dyDescent="0.25">
      <c r="A74" s="1"/>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x14ac:dyDescent="0.25">
      <c r="A75" s="1"/>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x14ac:dyDescent="0.25">
      <c r="A76" s="1"/>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x14ac:dyDescent="0.25">
      <c r="A77" s="1"/>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x14ac:dyDescent="0.25">
      <c r="A78" s="1"/>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x14ac:dyDescent="0.25">
      <c r="A79" s="1"/>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x14ac:dyDescent="0.25">
      <c r="A80" s="1"/>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x14ac:dyDescent="0.25">
      <c r="A81" s="1"/>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x14ac:dyDescent="0.25">
      <c r="A82" s="1"/>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x14ac:dyDescent="0.25">
      <c r="A83" s="1"/>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x14ac:dyDescent="0.25">
      <c r="A84" s="1"/>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x14ac:dyDescent="0.25">
      <c r="A85" s="1"/>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x14ac:dyDescent="0.25">
      <c r="A86" s="1"/>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x14ac:dyDescent="0.25">
      <c r="A87" s="1"/>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x14ac:dyDescent="0.25">
      <c r="A88" s="1"/>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x14ac:dyDescent="0.25">
      <c r="A89" s="1"/>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x14ac:dyDescent="0.25">
      <c r="A90" s="1"/>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x14ac:dyDescent="0.25">
      <c r="A91" s="1"/>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x14ac:dyDescent="0.25">
      <c r="A92" s="1"/>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x14ac:dyDescent="0.25">
      <c r="A93" s="1"/>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x14ac:dyDescent="0.25">
      <c r="A94" s="1"/>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x14ac:dyDescent="0.25">
      <c r="A95" s="1"/>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x14ac:dyDescent="0.25">
      <c r="A96" s="1"/>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x14ac:dyDescent="0.25">
      <c r="A97" s="1"/>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x14ac:dyDescent="0.25">
      <c r="A98" s="1"/>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x14ac:dyDescent="0.25">
      <c r="A99" s="1"/>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x14ac:dyDescent="0.25">
      <c r="A100" s="1"/>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x14ac:dyDescent="0.25">
      <c r="A101" s="1"/>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x14ac:dyDescent="0.25">
      <c r="A102" s="1"/>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x14ac:dyDescent="0.25">
      <c r="A103" s="1"/>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x14ac:dyDescent="0.25">
      <c r="A104" s="1"/>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x14ac:dyDescent="0.25">
      <c r="A105" s="1"/>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x14ac:dyDescent="0.25">
      <c r="A106" s="1"/>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x14ac:dyDescent="0.25">
      <c r="A107" s="1"/>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x14ac:dyDescent="0.25">
      <c r="A108" s="1"/>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x14ac:dyDescent="0.25">
      <c r="A109" s="1"/>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x14ac:dyDescent="0.25">
      <c r="A110" s="1"/>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x14ac:dyDescent="0.25">
      <c r="A111" s="1"/>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x14ac:dyDescent="0.25">
      <c r="A112" s="1"/>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x14ac:dyDescent="0.25">
      <c r="A113" s="1"/>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x14ac:dyDescent="0.25">
      <c r="A114" s="1"/>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x14ac:dyDescent="0.25">
      <c r="A115" s="1"/>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x14ac:dyDescent="0.25">
      <c r="A116" s="1"/>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x14ac:dyDescent="0.25">
      <c r="A117" s="1"/>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x14ac:dyDescent="0.25">
      <c r="A118" s="1"/>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x14ac:dyDescent="0.25">
      <c r="A119" s="1"/>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x14ac:dyDescent="0.25">
      <c r="A120" s="1"/>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x14ac:dyDescent="0.25">
      <c r="A121" s="1"/>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x14ac:dyDescent="0.25">
      <c r="A122" s="1"/>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x14ac:dyDescent="0.25">
      <c r="A123" s="1"/>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x14ac:dyDescent="0.25">
      <c r="A124" s="1"/>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x14ac:dyDescent="0.25">
      <c r="A125" s="1"/>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x14ac:dyDescent="0.25">
      <c r="A126" s="1"/>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x14ac:dyDescent="0.25">
      <c r="A127" s="1"/>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x14ac:dyDescent="0.25">
      <c r="A128" s="1"/>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x14ac:dyDescent="0.25">
      <c r="A129" s="1"/>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x14ac:dyDescent="0.25">
      <c r="A130" s="1"/>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x14ac:dyDescent="0.25">
      <c r="A131" s="1"/>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x14ac:dyDescent="0.25">
      <c r="A132" s="1"/>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x14ac:dyDescent="0.25">
      <c r="A133" s="1"/>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x14ac:dyDescent="0.25">
      <c r="A134" s="1"/>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x14ac:dyDescent="0.25">
      <c r="A135" s="1"/>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x14ac:dyDescent="0.25">
      <c r="A136" s="1"/>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x14ac:dyDescent="0.25">
      <c r="A137" s="1"/>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x14ac:dyDescent="0.25">
      <c r="A138" s="1"/>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x14ac:dyDescent="0.25">
      <c r="A139" s="1"/>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x14ac:dyDescent="0.25">
      <c r="A140" s="1"/>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x14ac:dyDescent="0.25">
      <c r="A141" s="1"/>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x14ac:dyDescent="0.25">
      <c r="A142" s="1"/>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x14ac:dyDescent="0.25">
      <c r="A143" s="1"/>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x14ac:dyDescent="0.25">
      <c r="A144" s="1"/>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x14ac:dyDescent="0.25">
      <c r="A145" s="1"/>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x14ac:dyDescent="0.25">
      <c r="A146" s="1"/>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x14ac:dyDescent="0.25">
      <c r="A147" s="1"/>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x14ac:dyDescent="0.25">
      <c r="A148" s="1"/>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x14ac:dyDescent="0.25">
      <c r="A149" s="1"/>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x14ac:dyDescent="0.25">
      <c r="A150" s="1"/>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x14ac:dyDescent="0.25">
      <c r="A151" s="1"/>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x14ac:dyDescent="0.25">
      <c r="A152" s="1"/>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x14ac:dyDescent="0.25">
      <c r="A153" s="1"/>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x14ac:dyDescent="0.25">
      <c r="A154" s="1"/>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x14ac:dyDescent="0.25">
      <c r="A155" s="1"/>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x14ac:dyDescent="0.25">
      <c r="A156" s="1"/>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x14ac:dyDescent="0.25">
      <c r="A157" s="1"/>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x14ac:dyDescent="0.25">
      <c r="A158" s="1"/>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x14ac:dyDescent="0.25">
      <c r="A159" s="1"/>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x14ac:dyDescent="0.25">
      <c r="A160" s="1"/>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x14ac:dyDescent="0.25">
      <c r="A161" s="1"/>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x14ac:dyDescent="0.25">
      <c r="A162" s="1"/>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x14ac:dyDescent="0.25">
      <c r="A163" s="1"/>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x14ac:dyDescent="0.25">
      <c r="A164" s="1"/>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x14ac:dyDescent="0.25">
      <c r="A165" s="1"/>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x14ac:dyDescent="0.25">
      <c r="A166" s="1"/>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x14ac:dyDescent="0.25">
      <c r="A167" s="1"/>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x14ac:dyDescent="0.25">
      <c r="A168" s="1"/>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x14ac:dyDescent="0.25">
      <c r="A169" s="1"/>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x14ac:dyDescent="0.25">
      <c r="A170" s="1"/>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x14ac:dyDescent="0.25">
      <c r="A171" s="1"/>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x14ac:dyDescent="0.25">
      <c r="A172" s="1"/>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x14ac:dyDescent="0.25">
      <c r="A173" s="1"/>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x14ac:dyDescent="0.25">
      <c r="A174" s="1"/>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x14ac:dyDescent="0.25">
      <c r="A175" s="1"/>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x14ac:dyDescent="0.25">
      <c r="A176" s="1"/>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x14ac:dyDescent="0.25">
      <c r="A177" s="1"/>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x14ac:dyDescent="0.25">
      <c r="A178" s="1"/>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x14ac:dyDescent="0.25">
      <c r="A179" s="1"/>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x14ac:dyDescent="0.25">
      <c r="A180" s="1"/>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x14ac:dyDescent="0.25">
      <c r="A181" s="1"/>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x14ac:dyDescent="0.25">
      <c r="A182" s="1"/>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x14ac:dyDescent="0.25">
      <c r="A183" s="1"/>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x14ac:dyDescent="0.25">
      <c r="A184" s="1"/>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x14ac:dyDescent="0.25">
      <c r="A185" s="1"/>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x14ac:dyDescent="0.25">
      <c r="A186" s="1"/>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x14ac:dyDescent="0.25">
      <c r="A187" s="1"/>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x14ac:dyDescent="0.25">
      <c r="A188" s="1"/>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x14ac:dyDescent="0.25">
      <c r="A189" s="1"/>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x14ac:dyDescent="0.25">
      <c r="A190" s="1"/>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x14ac:dyDescent="0.25">
      <c r="A191" s="1"/>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x14ac:dyDescent="0.25">
      <c r="A192" s="1"/>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x14ac:dyDescent="0.25">
      <c r="A193" s="1"/>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x14ac:dyDescent="0.25">
      <c r="A194" s="1"/>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x14ac:dyDescent="0.25">
      <c r="A195" s="1"/>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x14ac:dyDescent="0.25">
      <c r="A196" s="1"/>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x14ac:dyDescent="0.25">
      <c r="A197" s="1"/>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x14ac:dyDescent="0.25">
      <c r="A198" s="1"/>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x14ac:dyDescent="0.25">
      <c r="A199" s="1"/>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x14ac:dyDescent="0.25">
      <c r="A200" s="1"/>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x14ac:dyDescent="0.25">
      <c r="A201" s="1"/>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x14ac:dyDescent="0.25">
      <c r="A202" s="1"/>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x14ac:dyDescent="0.25">
      <c r="A203" s="1"/>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x14ac:dyDescent="0.25">
      <c r="A204" s="1"/>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x14ac:dyDescent="0.25">
      <c r="A205" s="1"/>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x14ac:dyDescent="0.25">
      <c r="A206" s="1"/>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x14ac:dyDescent="0.25">
      <c r="A207" s="1"/>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x14ac:dyDescent="0.25">
      <c r="A208" s="1"/>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x14ac:dyDescent="0.25">
      <c r="A209" s="1"/>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x14ac:dyDescent="0.25">
      <c r="A210" s="1"/>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x14ac:dyDescent="0.25">
      <c r="A211" s="1"/>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x14ac:dyDescent="0.25">
      <c r="A212" s="1"/>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x14ac:dyDescent="0.25">
      <c r="A213" s="1"/>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x14ac:dyDescent="0.25">
      <c r="A214" s="1"/>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x14ac:dyDescent="0.25">
      <c r="A215" s="1"/>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x14ac:dyDescent="0.25">
      <c r="A216" s="1"/>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x14ac:dyDescent="0.25">
      <c r="A217" s="1"/>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x14ac:dyDescent="0.25">
      <c r="A218" s="1"/>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x14ac:dyDescent="0.25">
      <c r="A219" s="1"/>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x14ac:dyDescent="0.25">
      <c r="A220" s="1"/>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x14ac:dyDescent="0.25">
      <c r="A221" s="1"/>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x14ac:dyDescent="0.25">
      <c r="A222" s="1"/>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x14ac:dyDescent="0.25">
      <c r="A223" s="1"/>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x14ac:dyDescent="0.25">
      <c r="A224" s="1"/>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x14ac:dyDescent="0.25">
      <c r="A225" s="1"/>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x14ac:dyDescent="0.25">
      <c r="A226" s="1"/>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x14ac:dyDescent="0.25">
      <c r="A227" s="1"/>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x14ac:dyDescent="0.25">
      <c r="A228" s="1"/>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x14ac:dyDescent="0.25">
      <c r="A229" s="1"/>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x14ac:dyDescent="0.25">
      <c r="A230" s="1"/>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x14ac:dyDescent="0.25">
      <c r="A231" s="1"/>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x14ac:dyDescent="0.25">
      <c r="A232" s="1"/>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x14ac:dyDescent="0.25">
      <c r="A233" s="1"/>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x14ac:dyDescent="0.25">
      <c r="A234" s="1"/>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x14ac:dyDescent="0.25">
      <c r="A235" s="1"/>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x14ac:dyDescent="0.25">
      <c r="A236" s="1"/>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x14ac:dyDescent="0.25">
      <c r="A237" s="1"/>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x14ac:dyDescent="0.25">
      <c r="A238" s="1"/>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x14ac:dyDescent="0.25">
      <c r="A239" s="1"/>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x14ac:dyDescent="0.25">
      <c r="A240" s="1"/>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x14ac:dyDescent="0.25">
      <c r="A241" s="1"/>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x14ac:dyDescent="0.25">
      <c r="A242" s="1"/>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x14ac:dyDescent="0.25">
      <c r="A243" s="1"/>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x14ac:dyDescent="0.25">
      <c r="A244" s="1"/>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x14ac:dyDescent="0.25">
      <c r="A245" s="1"/>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x14ac:dyDescent="0.25">
      <c r="A246" s="1"/>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x14ac:dyDescent="0.25">
      <c r="A247" s="1"/>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x14ac:dyDescent="0.25">
      <c r="A248" s="1"/>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x14ac:dyDescent="0.25">
      <c r="A249" s="1"/>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x14ac:dyDescent="0.25">
      <c r="A250" s="1"/>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x14ac:dyDescent="0.25">
      <c r="A251" s="1"/>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x14ac:dyDescent="0.25">
      <c r="A252" s="1"/>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x14ac:dyDescent="0.25">
      <c r="A253" s="1"/>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x14ac:dyDescent="0.25">
      <c r="A254" s="1"/>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x14ac:dyDescent="0.25">
      <c r="A255" s="1"/>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x14ac:dyDescent="0.25">
      <c r="A256" s="1"/>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x14ac:dyDescent="0.25">
      <c r="A257" s="1"/>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x14ac:dyDescent="0.25">
      <c r="A258" s="1"/>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x14ac:dyDescent="0.25">
      <c r="A259" s="1"/>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x14ac:dyDescent="0.25">
      <c r="A260" s="1"/>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x14ac:dyDescent="0.25">
      <c r="A261" s="1"/>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x14ac:dyDescent="0.25">
      <c r="A262" s="1"/>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x14ac:dyDescent="0.25">
      <c r="A263" s="1"/>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x14ac:dyDescent="0.25">
      <c r="A264" s="1"/>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x14ac:dyDescent="0.25">
      <c r="A265" s="1"/>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x14ac:dyDescent="0.25">
      <c r="A266" s="1"/>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x14ac:dyDescent="0.25">
      <c r="A267" s="1"/>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x14ac:dyDescent="0.25">
      <c r="A268" s="1"/>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x14ac:dyDescent="0.25">
      <c r="A269" s="1"/>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x14ac:dyDescent="0.25">
      <c r="A270" s="1"/>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x14ac:dyDescent="0.25">
      <c r="A271" s="1"/>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x14ac:dyDescent="0.25">
      <c r="A272" s="1"/>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x14ac:dyDescent="0.25">
      <c r="A273" s="1"/>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x14ac:dyDescent="0.25">
      <c r="A274" s="1"/>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x14ac:dyDescent="0.25">
      <c r="A275" s="1"/>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x14ac:dyDescent="0.25">
      <c r="A276" s="1"/>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x14ac:dyDescent="0.25">
      <c r="A277" s="1"/>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x14ac:dyDescent="0.25">
      <c r="A278" s="1"/>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x14ac:dyDescent="0.25">
      <c r="A279" s="1"/>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x14ac:dyDescent="0.25">
      <c r="A280" s="1"/>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x14ac:dyDescent="0.25">
      <c r="A281" s="1"/>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x14ac:dyDescent="0.25">
      <c r="A282" s="1"/>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x14ac:dyDescent="0.25">
      <c r="A283" s="1"/>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x14ac:dyDescent="0.25">
      <c r="A284" s="1"/>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x14ac:dyDescent="0.25">
      <c r="A285" s="1"/>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x14ac:dyDescent="0.25">
      <c r="A286" s="1"/>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x14ac:dyDescent="0.25">
      <c r="A287" s="1"/>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x14ac:dyDescent="0.25">
      <c r="A288" s="1"/>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x14ac:dyDescent="0.25">
      <c r="A289" s="1"/>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x14ac:dyDescent="0.25">
      <c r="A290" s="1"/>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x14ac:dyDescent="0.25">
      <c r="A291" s="1"/>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x14ac:dyDescent="0.25">
      <c r="A292" s="1"/>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x14ac:dyDescent="0.25">
      <c r="A293" s="1"/>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x14ac:dyDescent="0.25">
      <c r="A294" s="1"/>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x14ac:dyDescent="0.25">
      <c r="A295" s="1"/>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x14ac:dyDescent="0.25">
      <c r="A296" s="1"/>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x14ac:dyDescent="0.25">
      <c r="A297" s="1"/>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x14ac:dyDescent="0.25">
      <c r="A298" s="1"/>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x14ac:dyDescent="0.25">
      <c r="A299" s="1"/>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x14ac:dyDescent="0.25">
      <c r="A300" s="1"/>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x14ac:dyDescent="0.25">
      <c r="A301" s="1"/>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x14ac:dyDescent="0.25">
      <c r="A302" s="1"/>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x14ac:dyDescent="0.25">
      <c r="A303" s="1"/>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x14ac:dyDescent="0.25">
      <c r="A304" s="1"/>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x14ac:dyDescent="0.25">
      <c r="A305" s="1"/>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x14ac:dyDescent="0.25">
      <c r="A306" s="1"/>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x14ac:dyDescent="0.25">
      <c r="A307" s="1"/>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x14ac:dyDescent="0.25">
      <c r="A308" s="1"/>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x14ac:dyDescent="0.25">
      <c r="A309" s="1"/>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x14ac:dyDescent="0.25">
      <c r="A310" s="1"/>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x14ac:dyDescent="0.25">
      <c r="A311" s="1"/>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x14ac:dyDescent="0.25">
      <c r="A312" s="1"/>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x14ac:dyDescent="0.25">
      <c r="A313" s="1"/>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x14ac:dyDescent="0.25">
      <c r="A314" s="1"/>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x14ac:dyDescent="0.25">
      <c r="A315" s="1"/>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x14ac:dyDescent="0.25">
      <c r="A316" s="1"/>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x14ac:dyDescent="0.25">
      <c r="A317" s="1"/>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x14ac:dyDescent="0.25">
      <c r="A318" s="1"/>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x14ac:dyDescent="0.25">
      <c r="A319" s="1"/>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x14ac:dyDescent="0.25">
      <c r="A320" s="1"/>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x14ac:dyDescent="0.25">
      <c r="A321" s="1"/>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x14ac:dyDescent="0.25">
      <c r="A322" s="1"/>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x14ac:dyDescent="0.25">
      <c r="A323" s="1"/>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x14ac:dyDescent="0.25">
      <c r="A324" s="1"/>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x14ac:dyDescent="0.25">
      <c r="A325" s="1"/>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x14ac:dyDescent="0.25">
      <c r="A326" s="1"/>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x14ac:dyDescent="0.25">
      <c r="A327" s="1"/>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x14ac:dyDescent="0.25">
      <c r="A328" s="1"/>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x14ac:dyDescent="0.25">
      <c r="A329" s="1"/>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x14ac:dyDescent="0.25">
      <c r="A330" s="1"/>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x14ac:dyDescent="0.25">
      <c r="A331" s="1"/>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x14ac:dyDescent="0.25">
      <c r="A332" s="1"/>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x14ac:dyDescent="0.25">
      <c r="A333" s="1"/>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x14ac:dyDescent="0.25">
      <c r="A334" s="1"/>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x14ac:dyDescent="0.25">
      <c r="A335" s="1"/>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x14ac:dyDescent="0.25">
      <c r="A336" s="1"/>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x14ac:dyDescent="0.25">
      <c r="A337" s="1"/>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x14ac:dyDescent="0.25">
      <c r="A338" s="1"/>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x14ac:dyDescent="0.25">
      <c r="A339" s="1"/>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x14ac:dyDescent="0.25">
      <c r="A340" s="1"/>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x14ac:dyDescent="0.25">
      <c r="A341" s="1"/>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x14ac:dyDescent="0.25">
      <c r="A342" s="1"/>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x14ac:dyDescent="0.25">
      <c r="A343" s="1"/>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x14ac:dyDescent="0.25">
      <c r="A344" s="1"/>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x14ac:dyDescent="0.25">
      <c r="A345" s="1"/>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x14ac:dyDescent="0.25">
      <c r="A346" s="1"/>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x14ac:dyDescent="0.25">
      <c r="A347" s="1"/>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x14ac:dyDescent="0.25">
      <c r="A348" s="1"/>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x14ac:dyDescent="0.25">
      <c r="A349" s="1"/>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x14ac:dyDescent="0.25">
      <c r="A350" s="1"/>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x14ac:dyDescent="0.25">
      <c r="A351" s="1"/>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x14ac:dyDescent="0.25">
      <c r="A352" s="1"/>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x14ac:dyDescent="0.25">
      <c r="A353" s="1"/>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x14ac:dyDescent="0.25">
      <c r="A354" s="1"/>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x14ac:dyDescent="0.25">
      <c r="A355" s="1"/>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x14ac:dyDescent="0.25">
      <c r="A356" s="1"/>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x14ac:dyDescent="0.25">
      <c r="A357" s="1"/>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x14ac:dyDescent="0.25">
      <c r="A358" s="1"/>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x14ac:dyDescent="0.25">
      <c r="A359" s="1"/>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x14ac:dyDescent="0.25">
      <c r="A360" s="1"/>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x14ac:dyDescent="0.25">
      <c r="A361" s="1"/>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x14ac:dyDescent="0.25">
      <c r="A362" s="1"/>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x14ac:dyDescent="0.25">
      <c r="A363" s="1"/>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x14ac:dyDescent="0.25">
      <c r="A364" s="1"/>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x14ac:dyDescent="0.25">
      <c r="A365" s="1"/>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x14ac:dyDescent="0.25">
      <c r="A366" s="1"/>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x14ac:dyDescent="0.25">
      <c r="A367" s="1"/>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x14ac:dyDescent="0.25">
      <c r="A368" s="1"/>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x14ac:dyDescent="0.25">
      <c r="A369" s="1"/>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x14ac:dyDescent="0.25">
      <c r="A370" s="1"/>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x14ac:dyDescent="0.25">
      <c r="A371" s="1"/>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x14ac:dyDescent="0.25">
      <c r="A372" s="1"/>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x14ac:dyDescent="0.25">
      <c r="A373" s="1"/>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x14ac:dyDescent="0.25">
      <c r="A374" s="1"/>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x14ac:dyDescent="0.25">
      <c r="A375" s="1"/>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x14ac:dyDescent="0.25">
      <c r="A376" s="1"/>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x14ac:dyDescent="0.25">
      <c r="A377" s="1"/>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x14ac:dyDescent="0.25">
      <c r="A378" s="1"/>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x14ac:dyDescent="0.25">
      <c r="A379" s="1"/>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x14ac:dyDescent="0.25">
      <c r="A380" s="1"/>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x14ac:dyDescent="0.25">
      <c r="A381" s="1"/>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x14ac:dyDescent="0.25">
      <c r="A382" s="1"/>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x14ac:dyDescent="0.25">
      <c r="A383" s="1"/>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x14ac:dyDescent="0.25">
      <c r="A384" s="1"/>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x14ac:dyDescent="0.25">
      <c r="A385" s="1"/>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x14ac:dyDescent="0.25">
      <c r="A386" s="1"/>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x14ac:dyDescent="0.25">
      <c r="A387" s="1"/>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x14ac:dyDescent="0.25">
      <c r="A388" s="1"/>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x14ac:dyDescent="0.25">
      <c r="A389" s="1"/>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x14ac:dyDescent="0.25">
      <c r="A390" s="1"/>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x14ac:dyDescent="0.25">
      <c r="A391" s="1"/>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x14ac:dyDescent="0.25">
      <c r="A392" s="1"/>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x14ac:dyDescent="0.25">
      <c r="A393" s="1"/>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x14ac:dyDescent="0.25">
      <c r="A394" s="1"/>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x14ac:dyDescent="0.25">
      <c r="A395" s="1"/>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x14ac:dyDescent="0.25">
      <c r="A396" s="1"/>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x14ac:dyDescent="0.25">
      <c r="A397" s="1"/>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x14ac:dyDescent="0.25">
      <c r="A398" s="1"/>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x14ac:dyDescent="0.25">
      <c r="A399" s="1"/>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x14ac:dyDescent="0.25">
      <c r="A400" s="1"/>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x14ac:dyDescent="0.25">
      <c r="A401" s="1"/>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x14ac:dyDescent="0.25">
      <c r="A402" s="1"/>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x14ac:dyDescent="0.25">
      <c r="A403" s="1"/>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x14ac:dyDescent="0.25">
      <c r="A404" s="1"/>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x14ac:dyDescent="0.25">
      <c r="A405" s="1"/>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x14ac:dyDescent="0.25">
      <c r="A406" s="1"/>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x14ac:dyDescent="0.25">
      <c r="A407" s="1"/>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x14ac:dyDescent="0.25">
      <c r="A408" s="1"/>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x14ac:dyDescent="0.25">
      <c r="A409" s="1"/>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x14ac:dyDescent="0.25">
      <c r="A410" s="1"/>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x14ac:dyDescent="0.25">
      <c r="A411" s="1"/>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x14ac:dyDescent="0.25">
      <c r="A412" s="1"/>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x14ac:dyDescent="0.25">
      <c r="A413" s="1"/>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x14ac:dyDescent="0.25">
      <c r="A414" s="1"/>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x14ac:dyDescent="0.25">
      <c r="A415" s="1"/>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x14ac:dyDescent="0.25">
      <c r="A416" s="1"/>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x14ac:dyDescent="0.25">
      <c r="A417" s="1"/>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x14ac:dyDescent="0.25">
      <c r="A418" s="1"/>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x14ac:dyDescent="0.25">
      <c r="A419" s="1"/>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x14ac:dyDescent="0.25">
      <c r="A420" s="1"/>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x14ac:dyDescent="0.25">
      <c r="A421" s="1"/>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x14ac:dyDescent="0.25">
      <c r="A422" s="1"/>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x14ac:dyDescent="0.25">
      <c r="A423" s="1"/>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x14ac:dyDescent="0.25">
      <c r="A424" s="1"/>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x14ac:dyDescent="0.25">
      <c r="A425" s="1"/>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x14ac:dyDescent="0.25">
      <c r="A426" s="1"/>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x14ac:dyDescent="0.25">
      <c r="A427" s="1"/>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x14ac:dyDescent="0.25">
      <c r="A428" s="1"/>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x14ac:dyDescent="0.25">
      <c r="A429" s="1"/>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x14ac:dyDescent="0.25">
      <c r="A430" s="1"/>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x14ac:dyDescent="0.25">
      <c r="A431" s="1"/>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x14ac:dyDescent="0.25">
      <c r="A432" s="1"/>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x14ac:dyDescent="0.25">
      <c r="A433" s="1"/>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x14ac:dyDescent="0.25">
      <c r="A434" s="1"/>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x14ac:dyDescent="0.25">
      <c r="A435" s="1"/>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x14ac:dyDescent="0.25">
      <c r="A436" s="1"/>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x14ac:dyDescent="0.25">
      <c r="A437" s="1"/>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x14ac:dyDescent="0.25">
      <c r="A438" s="1"/>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x14ac:dyDescent="0.25">
      <c r="A439" s="1"/>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x14ac:dyDescent="0.25">
      <c r="A440" s="1"/>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x14ac:dyDescent="0.25">
      <c r="A441" s="1"/>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x14ac:dyDescent="0.25">
      <c r="A442" s="1"/>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x14ac:dyDescent="0.25">
      <c r="A443" s="1"/>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x14ac:dyDescent="0.25">
      <c r="A444" s="1"/>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x14ac:dyDescent="0.25">
      <c r="A445" s="1"/>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x14ac:dyDescent="0.25">
      <c r="A446" s="1"/>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x14ac:dyDescent="0.25">
      <c r="A447" s="1"/>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x14ac:dyDescent="0.25">
      <c r="A448" s="1"/>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x14ac:dyDescent="0.25">
      <c r="A449" s="1"/>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x14ac:dyDescent="0.25">
      <c r="A450" s="1"/>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x14ac:dyDescent="0.25">
      <c r="A451" s="1"/>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x14ac:dyDescent="0.25">
      <c r="A452" s="1"/>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x14ac:dyDescent="0.25">
      <c r="A453" s="1"/>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x14ac:dyDescent="0.25">
      <c r="A454" s="1"/>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x14ac:dyDescent="0.25">
      <c r="A455" s="1"/>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x14ac:dyDescent="0.25">
      <c r="A456" s="1"/>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x14ac:dyDescent="0.25">
      <c r="A457" s="1"/>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x14ac:dyDescent="0.25">
      <c r="A458" s="1"/>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x14ac:dyDescent="0.25">
      <c r="A459" s="1"/>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x14ac:dyDescent="0.25">
      <c r="A460" s="1"/>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x14ac:dyDescent="0.25">
      <c r="A461" s="1"/>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x14ac:dyDescent="0.25">
      <c r="A462" s="1"/>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x14ac:dyDescent="0.25">
      <c r="A463" s="1"/>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x14ac:dyDescent="0.25">
      <c r="A464" s="1"/>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x14ac:dyDescent="0.25">
      <c r="A465" s="1"/>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x14ac:dyDescent="0.25">
      <c r="A466" s="1"/>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x14ac:dyDescent="0.25">
      <c r="A467" s="1"/>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x14ac:dyDescent="0.25">
      <c r="A468" s="1"/>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x14ac:dyDescent="0.25">
      <c r="A469" s="1"/>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x14ac:dyDescent="0.25">
      <c r="A470" s="1"/>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x14ac:dyDescent="0.25">
      <c r="A471" s="1"/>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x14ac:dyDescent="0.25">
      <c r="A472" s="1"/>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x14ac:dyDescent="0.25">
      <c r="A473" s="1"/>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x14ac:dyDescent="0.25">
      <c r="A474" s="1"/>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x14ac:dyDescent="0.25">
      <c r="A475" s="1"/>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x14ac:dyDescent="0.25">
      <c r="A476" s="1"/>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x14ac:dyDescent="0.25">
      <c r="A477" s="1"/>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x14ac:dyDescent="0.25">
      <c r="A478" s="1"/>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x14ac:dyDescent="0.25">
      <c r="A479" s="1"/>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x14ac:dyDescent="0.25">
      <c r="A480" s="1"/>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x14ac:dyDescent="0.25">
      <c r="A481" s="1"/>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x14ac:dyDescent="0.25">
      <c r="A482" s="1"/>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x14ac:dyDescent="0.25">
      <c r="A483" s="1"/>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x14ac:dyDescent="0.25">
      <c r="A484" s="1"/>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x14ac:dyDescent="0.25">
      <c r="A485" s="1"/>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x14ac:dyDescent="0.25">
      <c r="A486" s="1"/>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x14ac:dyDescent="0.25">
      <c r="A487" s="1"/>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x14ac:dyDescent="0.25">
      <c r="A488" s="1"/>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x14ac:dyDescent="0.25">
      <c r="A489" s="1"/>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x14ac:dyDescent="0.25">
      <c r="A490" s="1"/>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x14ac:dyDescent="0.25">
      <c r="A491" s="1"/>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x14ac:dyDescent="0.25">
      <c r="A492" s="1"/>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x14ac:dyDescent="0.25">
      <c r="A493" s="1"/>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x14ac:dyDescent="0.25">
      <c r="A494" s="1"/>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x14ac:dyDescent="0.25">
      <c r="A495" s="1"/>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x14ac:dyDescent="0.25">
      <c r="A496" s="1"/>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x14ac:dyDescent="0.25">
      <c r="A497" s="1"/>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x14ac:dyDescent="0.25">
      <c r="A498" s="1"/>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x14ac:dyDescent="0.25">
      <c r="A499" s="1"/>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x14ac:dyDescent="0.25">
      <c r="A500" s="1"/>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x14ac:dyDescent="0.25">
      <c r="A501" s="1"/>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x14ac:dyDescent="0.25">
      <c r="A502" s="1"/>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x14ac:dyDescent="0.25">
      <c r="A503" s="1"/>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x14ac:dyDescent="0.25">
      <c r="A504" s="1"/>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x14ac:dyDescent="0.25">
      <c r="A505" s="1"/>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x14ac:dyDescent="0.25">
      <c r="A506" s="1"/>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x14ac:dyDescent="0.25">
      <c r="A507" s="1"/>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x14ac:dyDescent="0.25">
      <c r="A508" s="1"/>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x14ac:dyDescent="0.25">
      <c r="A509" s="1"/>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x14ac:dyDescent="0.25">
      <c r="A510" s="1"/>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x14ac:dyDescent="0.25">
      <c r="A511" s="1"/>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x14ac:dyDescent="0.25">
      <c r="A512" s="1"/>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x14ac:dyDescent="0.25">
      <c r="A513" s="1"/>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x14ac:dyDescent="0.25">
      <c r="A514" s="1"/>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x14ac:dyDescent="0.25">
      <c r="A515" s="1"/>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x14ac:dyDescent="0.25">
      <c r="A516" s="1"/>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x14ac:dyDescent="0.25">
      <c r="A517" s="1"/>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x14ac:dyDescent="0.25">
      <c r="A518" s="1"/>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x14ac:dyDescent="0.25">
      <c r="A519" s="1"/>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x14ac:dyDescent="0.25">
      <c r="A520" s="1"/>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x14ac:dyDescent="0.25">
      <c r="A521" s="1"/>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x14ac:dyDescent="0.25">
      <c r="A522" s="1"/>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x14ac:dyDescent="0.25">
      <c r="A523" s="1"/>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x14ac:dyDescent="0.25">
      <c r="A524" s="1"/>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x14ac:dyDescent="0.25">
      <c r="A525" s="1"/>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x14ac:dyDescent="0.25">
      <c r="A526" s="1"/>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x14ac:dyDescent="0.25">
      <c r="A527" s="1"/>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x14ac:dyDescent="0.25">
      <c r="A528" s="1"/>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x14ac:dyDescent="0.25">
      <c r="A529" s="1"/>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x14ac:dyDescent="0.25">
      <c r="A530" s="1"/>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x14ac:dyDescent="0.25">
      <c r="A531" s="1"/>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x14ac:dyDescent="0.25">
      <c r="A532" s="1"/>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x14ac:dyDescent="0.25">
      <c r="A533" s="1"/>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x14ac:dyDescent="0.25">
      <c r="A534" s="1"/>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x14ac:dyDescent="0.25">
      <c r="A535" s="1"/>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x14ac:dyDescent="0.25">
      <c r="A536" s="1"/>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x14ac:dyDescent="0.25">
      <c r="A537" s="1"/>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x14ac:dyDescent="0.25">
      <c r="A538" s="1"/>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x14ac:dyDescent="0.25">
      <c r="A539" s="1"/>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x14ac:dyDescent="0.25">
      <c r="A540" s="1"/>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x14ac:dyDescent="0.25">
      <c r="A541" s="1"/>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x14ac:dyDescent="0.25">
      <c r="A542" s="1"/>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x14ac:dyDescent="0.25">
      <c r="A543" s="1"/>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x14ac:dyDescent="0.25">
      <c r="A544" s="1"/>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x14ac:dyDescent="0.25">
      <c r="A545" s="1"/>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x14ac:dyDescent="0.25">
      <c r="A546" s="1"/>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x14ac:dyDescent="0.25">
      <c r="A547" s="1"/>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x14ac:dyDescent="0.25">
      <c r="A548" s="1"/>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x14ac:dyDescent="0.25">
      <c r="A549" s="1"/>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x14ac:dyDescent="0.25">
      <c r="A550" s="1"/>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x14ac:dyDescent="0.25">
      <c r="A551" s="1"/>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x14ac:dyDescent="0.25">
      <c r="A552" s="1"/>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x14ac:dyDescent="0.25">
      <c r="A553" s="1"/>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x14ac:dyDescent="0.25">
      <c r="A554" s="1"/>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x14ac:dyDescent="0.25">
      <c r="A555" s="1"/>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x14ac:dyDescent="0.25">
      <c r="A556" s="1"/>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x14ac:dyDescent="0.25">
      <c r="A557" s="1"/>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x14ac:dyDescent="0.25">
      <c r="A558" s="1"/>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x14ac:dyDescent="0.25">
      <c r="A559" s="1"/>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x14ac:dyDescent="0.25">
      <c r="A560" s="1"/>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x14ac:dyDescent="0.25">
      <c r="A561" s="1"/>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x14ac:dyDescent="0.25">
      <c r="A562" s="1"/>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x14ac:dyDescent="0.25">
      <c r="A563" s="1"/>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x14ac:dyDescent="0.25">
      <c r="A564" s="1"/>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x14ac:dyDescent="0.25">
      <c r="A565" s="1"/>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x14ac:dyDescent="0.25">
      <c r="A566" s="1"/>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x14ac:dyDescent="0.25">
      <c r="A567" s="1"/>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x14ac:dyDescent="0.25">
      <c r="A568" s="1"/>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x14ac:dyDescent="0.25">
      <c r="A569" s="1"/>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x14ac:dyDescent="0.25">
      <c r="A570" s="1"/>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x14ac:dyDescent="0.25">
      <c r="A571" s="1"/>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x14ac:dyDescent="0.25">
      <c r="A572" s="1"/>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x14ac:dyDescent="0.25">
      <c r="A573" s="1"/>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x14ac:dyDescent="0.25">
      <c r="A574" s="1"/>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x14ac:dyDescent="0.25">
      <c r="A575" s="1"/>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x14ac:dyDescent="0.25">
      <c r="A576" s="1"/>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x14ac:dyDescent="0.25">
      <c r="A577" s="1"/>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x14ac:dyDescent="0.25">
      <c r="A578" s="1"/>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x14ac:dyDescent="0.25">
      <c r="A579" s="1"/>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x14ac:dyDescent="0.25">
      <c r="A580" s="1"/>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x14ac:dyDescent="0.25">
      <c r="A581" s="1"/>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x14ac:dyDescent="0.25">
      <c r="A582" s="1"/>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x14ac:dyDescent="0.25">
      <c r="A583" s="1"/>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x14ac:dyDescent="0.25">
      <c r="A584" s="1"/>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x14ac:dyDescent="0.25">
      <c r="A585" s="1"/>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x14ac:dyDescent="0.25">
      <c r="A586" s="1"/>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x14ac:dyDescent="0.25">
      <c r="A587" s="1"/>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x14ac:dyDescent="0.25">
      <c r="A588" s="1"/>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x14ac:dyDescent="0.25">
      <c r="A589" s="1"/>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x14ac:dyDescent="0.25">
      <c r="A590" s="1"/>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x14ac:dyDescent="0.25">
      <c r="A591" s="1"/>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x14ac:dyDescent="0.25">
      <c r="A592" s="1"/>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x14ac:dyDescent="0.25">
      <c r="A593" s="1"/>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x14ac:dyDescent="0.25">
      <c r="A594" s="1"/>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x14ac:dyDescent="0.25">
      <c r="A595" s="1"/>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x14ac:dyDescent="0.25">
      <c r="A596" s="1"/>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x14ac:dyDescent="0.25">
      <c r="A597" s="1"/>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x14ac:dyDescent="0.25">
      <c r="A598" s="1"/>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x14ac:dyDescent="0.25">
      <c r="A599" s="1"/>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x14ac:dyDescent="0.25">
      <c r="A600" s="1"/>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x14ac:dyDescent="0.25">
      <c r="A601" s="1"/>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x14ac:dyDescent="0.25">
      <c r="A602" s="1"/>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x14ac:dyDescent="0.25">
      <c r="A603" s="1"/>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x14ac:dyDescent="0.25">
      <c r="A604" s="1"/>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x14ac:dyDescent="0.25">
      <c r="A605" s="1"/>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x14ac:dyDescent="0.25">
      <c r="A606" s="1"/>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x14ac:dyDescent="0.25">
      <c r="A607" s="1"/>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x14ac:dyDescent="0.25">
      <c r="A608" s="1"/>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x14ac:dyDescent="0.25">
      <c r="A609" s="1"/>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x14ac:dyDescent="0.25">
      <c r="A610" s="1"/>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x14ac:dyDescent="0.25">
      <c r="A611" s="1"/>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x14ac:dyDescent="0.25">
      <c r="A612" s="1"/>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x14ac:dyDescent="0.25">
      <c r="A613" s="1"/>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x14ac:dyDescent="0.25">
      <c r="A614" s="1"/>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x14ac:dyDescent="0.25">
      <c r="A615" s="1"/>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x14ac:dyDescent="0.25">
      <c r="A616" s="1"/>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x14ac:dyDescent="0.25">
      <c r="A617" s="1"/>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x14ac:dyDescent="0.25">
      <c r="A618" s="1"/>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x14ac:dyDescent="0.25">
      <c r="A619" s="1"/>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x14ac:dyDescent="0.25">
      <c r="A620" s="1"/>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x14ac:dyDescent="0.25">
      <c r="A621" s="1"/>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x14ac:dyDescent="0.25">
      <c r="A622" s="1"/>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x14ac:dyDescent="0.25">
      <c r="A623" s="1"/>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x14ac:dyDescent="0.25">
      <c r="A624" s="1"/>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x14ac:dyDescent="0.25">
      <c r="A625" s="1"/>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x14ac:dyDescent="0.25">
      <c r="A626" s="1"/>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x14ac:dyDescent="0.25">
      <c r="A627" s="1"/>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x14ac:dyDescent="0.25">
      <c r="A628" s="1"/>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x14ac:dyDescent="0.25">
      <c r="A629" s="1"/>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x14ac:dyDescent="0.25">
      <c r="A630" s="1"/>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x14ac:dyDescent="0.25">
      <c r="A631" s="1"/>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x14ac:dyDescent="0.25">
      <c r="A632" s="1"/>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x14ac:dyDescent="0.25">
      <c r="A633" s="1"/>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x14ac:dyDescent="0.25">
      <c r="A634" s="1"/>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x14ac:dyDescent="0.25">
      <c r="A635" s="1"/>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x14ac:dyDescent="0.25">
      <c r="A636" s="1"/>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x14ac:dyDescent="0.25">
      <c r="A637" s="1"/>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x14ac:dyDescent="0.25">
      <c r="A638" s="1"/>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x14ac:dyDescent="0.25">
      <c r="A639" s="1"/>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x14ac:dyDescent="0.25">
      <c r="A640" s="1"/>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x14ac:dyDescent="0.25">
      <c r="A641" s="1"/>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x14ac:dyDescent="0.25">
      <c r="A642" s="1"/>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x14ac:dyDescent="0.25">
      <c r="A643" s="1"/>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x14ac:dyDescent="0.25">
      <c r="A644" s="1"/>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x14ac:dyDescent="0.25">
      <c r="A645" s="1"/>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x14ac:dyDescent="0.25">
      <c r="A646" s="1"/>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x14ac:dyDescent="0.25">
      <c r="A647" s="1"/>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x14ac:dyDescent="0.25">
      <c r="A648" s="1"/>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x14ac:dyDescent="0.25">
      <c r="A649" s="1"/>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x14ac:dyDescent="0.25">
      <c r="A650" s="1"/>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x14ac:dyDescent="0.25">
      <c r="A651" s="1"/>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x14ac:dyDescent="0.25">
      <c r="A652" s="1"/>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x14ac:dyDescent="0.25">
      <c r="A653" s="1"/>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x14ac:dyDescent="0.25">
      <c r="A654" s="1"/>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x14ac:dyDescent="0.25">
      <c r="A655" s="1"/>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x14ac:dyDescent="0.25">
      <c r="A656" s="1"/>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x14ac:dyDescent="0.25">
      <c r="A657" s="1"/>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x14ac:dyDescent="0.25">
      <c r="A658" s="1"/>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x14ac:dyDescent="0.25">
      <c r="A659" s="1"/>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x14ac:dyDescent="0.25">
      <c r="A660" s="1"/>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x14ac:dyDescent="0.25">
      <c r="A661" s="1"/>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x14ac:dyDescent="0.25">
      <c r="A662" s="1"/>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x14ac:dyDescent="0.25">
      <c r="A663" s="1"/>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x14ac:dyDescent="0.25">
      <c r="A664" s="1"/>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x14ac:dyDescent="0.25">
      <c r="A665" s="1"/>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x14ac:dyDescent="0.25">
      <c r="A666" s="1"/>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x14ac:dyDescent="0.25">
      <c r="A667" s="1"/>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x14ac:dyDescent="0.25">
      <c r="A668" s="1"/>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x14ac:dyDescent="0.25">
      <c r="A669" s="1"/>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x14ac:dyDescent="0.25">
      <c r="A670" s="1"/>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x14ac:dyDescent="0.25">
      <c r="A671" s="1"/>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x14ac:dyDescent="0.25">
      <c r="A672" s="1"/>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x14ac:dyDescent="0.25">
      <c r="A673" s="1"/>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x14ac:dyDescent="0.25">
      <c r="A674" s="1"/>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x14ac:dyDescent="0.25">
      <c r="A675" s="1"/>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x14ac:dyDescent="0.25">
      <c r="A676" s="1"/>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x14ac:dyDescent="0.25">
      <c r="A677" s="1"/>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x14ac:dyDescent="0.25">
      <c r="A678" s="1"/>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x14ac:dyDescent="0.25">
      <c r="A679" s="1"/>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x14ac:dyDescent="0.25">
      <c r="A680" s="1"/>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x14ac:dyDescent="0.25">
      <c r="A681" s="1"/>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x14ac:dyDescent="0.25">
      <c r="A682" s="1"/>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x14ac:dyDescent="0.25">
      <c r="A683" s="1"/>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x14ac:dyDescent="0.25">
      <c r="A684" s="1"/>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x14ac:dyDescent="0.25">
      <c r="A685" s="1"/>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x14ac:dyDescent="0.25">
      <c r="A686" s="1"/>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x14ac:dyDescent="0.25">
      <c r="A687" s="1"/>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x14ac:dyDescent="0.25">
      <c r="A688" s="1"/>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x14ac:dyDescent="0.25">
      <c r="A689" s="1"/>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x14ac:dyDescent="0.25">
      <c r="A690" s="1"/>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x14ac:dyDescent="0.25">
      <c r="A691" s="1"/>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x14ac:dyDescent="0.25">
      <c r="A692" s="1"/>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x14ac:dyDescent="0.25">
      <c r="A693" s="1"/>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x14ac:dyDescent="0.25">
      <c r="A694" s="1"/>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x14ac:dyDescent="0.25">
      <c r="A695" s="1"/>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x14ac:dyDescent="0.25">
      <c r="A696" s="1"/>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x14ac:dyDescent="0.25">
      <c r="A697" s="1"/>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x14ac:dyDescent="0.25">
      <c r="A698" s="1"/>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x14ac:dyDescent="0.25">
      <c r="A699" s="1"/>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x14ac:dyDescent="0.25">
      <c r="A700" s="1"/>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x14ac:dyDescent="0.25">
      <c r="A701" s="1"/>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x14ac:dyDescent="0.25">
      <c r="A702" s="1"/>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x14ac:dyDescent="0.25">
      <c r="A703" s="1"/>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x14ac:dyDescent="0.25">
      <c r="A704" s="1"/>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x14ac:dyDescent="0.25">
      <c r="A705" s="1"/>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x14ac:dyDescent="0.25">
      <c r="A706" s="1"/>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x14ac:dyDescent="0.25">
      <c r="A707" s="1"/>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x14ac:dyDescent="0.25">
      <c r="A708" s="1"/>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x14ac:dyDescent="0.25">
      <c r="A709" s="1"/>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x14ac:dyDescent="0.25">
      <c r="A710" s="1"/>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x14ac:dyDescent="0.25">
      <c r="A711" s="1"/>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x14ac:dyDescent="0.25">
      <c r="A712" s="1"/>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x14ac:dyDescent="0.25">
      <c r="A713" s="1"/>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x14ac:dyDescent="0.25">
      <c r="A714" s="1"/>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x14ac:dyDescent="0.25">
      <c r="A715" s="1"/>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x14ac:dyDescent="0.25">
      <c r="A716" s="1"/>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x14ac:dyDescent="0.25">
      <c r="A717" s="1"/>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x14ac:dyDescent="0.25">
      <c r="A718" s="1"/>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x14ac:dyDescent="0.25">
      <c r="A719" s="1"/>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x14ac:dyDescent="0.25">
      <c r="A720" s="1"/>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x14ac:dyDescent="0.25">
      <c r="A721" s="1"/>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x14ac:dyDescent="0.25">
      <c r="A722" s="1"/>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x14ac:dyDescent="0.25">
      <c r="A723" s="1"/>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x14ac:dyDescent="0.25">
      <c r="A724" s="1"/>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x14ac:dyDescent="0.25">
      <c r="A725" s="1"/>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x14ac:dyDescent="0.25">
      <c r="A726" s="1"/>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x14ac:dyDescent="0.25">
      <c r="A727" s="1"/>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x14ac:dyDescent="0.25">
      <c r="A728" s="1"/>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x14ac:dyDescent="0.25">
      <c r="A729" s="1"/>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x14ac:dyDescent="0.25">
      <c r="A730" s="1"/>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x14ac:dyDescent="0.25">
      <c r="A731" s="1"/>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x14ac:dyDescent="0.25">
      <c r="A732" s="1"/>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x14ac:dyDescent="0.25">
      <c r="A733" s="1"/>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x14ac:dyDescent="0.25">
      <c r="A734" s="1"/>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x14ac:dyDescent="0.25">
      <c r="A735" s="1"/>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x14ac:dyDescent="0.25">
      <c r="A736" s="1"/>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x14ac:dyDescent="0.25">
      <c r="A737" s="1"/>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x14ac:dyDescent="0.25">
      <c r="A738" s="1"/>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x14ac:dyDescent="0.25">
      <c r="A739" s="1"/>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x14ac:dyDescent="0.25">
      <c r="A740" s="1"/>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x14ac:dyDescent="0.25">
      <c r="A741" s="1"/>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x14ac:dyDescent="0.25">
      <c r="A742" s="1"/>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x14ac:dyDescent="0.25">
      <c r="A743" s="1"/>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x14ac:dyDescent="0.25">
      <c r="A744" s="1"/>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x14ac:dyDescent="0.25">
      <c r="A745" s="1"/>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x14ac:dyDescent="0.25">
      <c r="A746" s="1"/>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x14ac:dyDescent="0.25">
      <c r="A747" s="1"/>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x14ac:dyDescent="0.25">
      <c r="A748" s="1"/>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x14ac:dyDescent="0.25">
      <c r="A749" s="1"/>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x14ac:dyDescent="0.25">
      <c r="A750" s="1"/>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x14ac:dyDescent="0.25">
      <c r="A751" s="1"/>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x14ac:dyDescent="0.25">
      <c r="A752" s="1"/>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x14ac:dyDescent="0.25">
      <c r="A753" s="1"/>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x14ac:dyDescent="0.25">
      <c r="A754" s="1"/>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x14ac:dyDescent="0.25">
      <c r="A755" s="1"/>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x14ac:dyDescent="0.25">
      <c r="A756" s="1"/>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x14ac:dyDescent="0.25">
      <c r="A757" s="1"/>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x14ac:dyDescent="0.25">
      <c r="A758" s="1"/>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x14ac:dyDescent="0.25">
      <c r="A759" s="1"/>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x14ac:dyDescent="0.25">
      <c r="A760" s="1"/>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x14ac:dyDescent="0.25">
      <c r="A761" s="1"/>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x14ac:dyDescent="0.25">
      <c r="A762" s="1"/>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x14ac:dyDescent="0.25">
      <c r="A763" s="1"/>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x14ac:dyDescent="0.25">
      <c r="A764" s="1"/>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x14ac:dyDescent="0.25">
      <c r="A765" s="1"/>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x14ac:dyDescent="0.25">
      <c r="A766" s="1"/>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x14ac:dyDescent="0.25">
      <c r="A767" s="1"/>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x14ac:dyDescent="0.25">
      <c r="A768" s="1"/>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x14ac:dyDescent="0.25">
      <c r="A769" s="1"/>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x14ac:dyDescent="0.25">
      <c r="A770" s="1"/>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x14ac:dyDescent="0.25">
      <c r="A771" s="1"/>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x14ac:dyDescent="0.25">
      <c r="A772" s="1"/>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x14ac:dyDescent="0.25">
      <c r="A773" s="1"/>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x14ac:dyDescent="0.25">
      <c r="A774" s="1"/>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x14ac:dyDescent="0.25">
      <c r="A775" s="1"/>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x14ac:dyDescent="0.25">
      <c r="A776" s="1"/>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x14ac:dyDescent="0.25">
      <c r="A777" s="1"/>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x14ac:dyDescent="0.25">
      <c r="A778" s="1"/>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x14ac:dyDescent="0.25">
      <c r="A779" s="1"/>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x14ac:dyDescent="0.25">
      <c r="A780" s="1"/>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x14ac:dyDescent="0.25">
      <c r="A781" s="1"/>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x14ac:dyDescent="0.25">
      <c r="A782" s="1"/>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x14ac:dyDescent="0.25">
      <c r="A783" s="1"/>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x14ac:dyDescent="0.25">
      <c r="A784" s="1"/>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x14ac:dyDescent="0.25">
      <c r="A785" s="1"/>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x14ac:dyDescent="0.25">
      <c r="A786" s="1"/>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x14ac:dyDescent="0.25">
      <c r="A787" s="1"/>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x14ac:dyDescent="0.25">
      <c r="A788" s="1"/>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x14ac:dyDescent="0.25">
      <c r="A789" s="1"/>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x14ac:dyDescent="0.25">
      <c r="A790" s="1"/>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x14ac:dyDescent="0.25">
      <c r="A791" s="1"/>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x14ac:dyDescent="0.25">
      <c r="A792" s="1"/>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x14ac:dyDescent="0.25">
      <c r="A793" s="1"/>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x14ac:dyDescent="0.25">
      <c r="A794" s="1"/>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x14ac:dyDescent="0.25">
      <c r="A795" s="1"/>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x14ac:dyDescent="0.25">
      <c r="A796" s="1"/>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x14ac:dyDescent="0.25">
      <c r="A797" s="1"/>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x14ac:dyDescent="0.25">
      <c r="A798" s="1"/>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x14ac:dyDescent="0.25">
      <c r="A799" s="1"/>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x14ac:dyDescent="0.25">
      <c r="A800" s="1"/>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x14ac:dyDescent="0.25">
      <c r="A801" s="1"/>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x14ac:dyDescent="0.25">
      <c r="A802" s="1"/>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x14ac:dyDescent="0.25">
      <c r="A803" s="1"/>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x14ac:dyDescent="0.25">
      <c r="A804" s="1"/>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x14ac:dyDescent="0.25">
      <c r="A805" s="1"/>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x14ac:dyDescent="0.25">
      <c r="A806" s="1"/>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x14ac:dyDescent="0.25">
      <c r="A807" s="1"/>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x14ac:dyDescent="0.25">
      <c r="A808" s="1"/>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x14ac:dyDescent="0.25">
      <c r="A809" s="1"/>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x14ac:dyDescent="0.25">
      <c r="A810" s="1"/>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x14ac:dyDescent="0.25">
      <c r="A811" s="1"/>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x14ac:dyDescent="0.25">
      <c r="A812" s="1"/>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x14ac:dyDescent="0.25">
      <c r="A813" s="1"/>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x14ac:dyDescent="0.25">
      <c r="A814" s="1"/>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x14ac:dyDescent="0.25">
      <c r="A815" s="1"/>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x14ac:dyDescent="0.25">
      <c r="A816" s="1"/>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x14ac:dyDescent="0.25">
      <c r="A817" s="1"/>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x14ac:dyDescent="0.25">
      <c r="A818" s="1"/>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x14ac:dyDescent="0.25">
      <c r="A819" s="1"/>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x14ac:dyDescent="0.25">
      <c r="A820" s="1"/>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x14ac:dyDescent="0.25">
      <c r="A821" s="1"/>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x14ac:dyDescent="0.25">
      <c r="A822" s="1"/>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x14ac:dyDescent="0.25">
      <c r="A823" s="1"/>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x14ac:dyDescent="0.25">
      <c r="A824" s="1"/>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x14ac:dyDescent="0.25">
      <c r="A825" s="1"/>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x14ac:dyDescent="0.25">
      <c r="A826" s="1"/>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x14ac:dyDescent="0.25">
      <c r="A827" s="1"/>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x14ac:dyDescent="0.25">
      <c r="A828" s="1"/>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x14ac:dyDescent="0.25">
      <c r="A829" s="1"/>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x14ac:dyDescent="0.25">
      <c r="A830" s="1"/>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x14ac:dyDescent="0.25">
      <c r="A831" s="1"/>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x14ac:dyDescent="0.25">
      <c r="A832" s="1"/>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x14ac:dyDescent="0.25">
      <c r="A833" s="1"/>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x14ac:dyDescent="0.25">
      <c r="A834" s="1"/>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x14ac:dyDescent="0.25">
      <c r="A835" s="1"/>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x14ac:dyDescent="0.25">
      <c r="A836" s="1"/>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x14ac:dyDescent="0.25">
      <c r="A837" s="1"/>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x14ac:dyDescent="0.25">
      <c r="A838" s="1"/>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x14ac:dyDescent="0.25">
      <c r="A839" s="1"/>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x14ac:dyDescent="0.25">
      <c r="A840" s="1"/>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x14ac:dyDescent="0.25">
      <c r="A841" s="1"/>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x14ac:dyDescent="0.25">
      <c r="A842" s="1"/>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x14ac:dyDescent="0.25">
      <c r="A843" s="1"/>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x14ac:dyDescent="0.25">
      <c r="A844" s="1"/>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x14ac:dyDescent="0.25">
      <c r="A845" s="1"/>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x14ac:dyDescent="0.25">
      <c r="A846" s="1"/>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x14ac:dyDescent="0.25">
      <c r="A847" s="1"/>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x14ac:dyDescent="0.25">
      <c r="A848" s="1"/>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x14ac:dyDescent="0.25">
      <c r="A849" s="1"/>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x14ac:dyDescent="0.25">
      <c r="A850" s="1"/>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x14ac:dyDescent="0.25">
      <c r="A851" s="1"/>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x14ac:dyDescent="0.25">
      <c r="A852" s="1"/>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x14ac:dyDescent="0.25">
      <c r="A853" s="1"/>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x14ac:dyDescent="0.25">
      <c r="A854" s="1"/>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x14ac:dyDescent="0.25">
      <c r="A855" s="1"/>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x14ac:dyDescent="0.25">
      <c r="A856" s="1"/>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x14ac:dyDescent="0.25">
      <c r="A857" s="1"/>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x14ac:dyDescent="0.25">
      <c r="A858" s="1"/>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x14ac:dyDescent="0.25">
      <c r="A859" s="1"/>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x14ac:dyDescent="0.25">
      <c r="A860" s="1"/>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x14ac:dyDescent="0.25">
      <c r="A861" s="1"/>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x14ac:dyDescent="0.25">
      <c r="A862" s="1"/>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x14ac:dyDescent="0.25">
      <c r="A863" s="1"/>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x14ac:dyDescent="0.25">
      <c r="A864" s="1"/>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x14ac:dyDescent="0.25">
      <c r="A865" s="1"/>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x14ac:dyDescent="0.25">
      <c r="A866" s="1"/>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x14ac:dyDescent="0.25">
      <c r="A867" s="1"/>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x14ac:dyDescent="0.25">
      <c r="A868" s="1"/>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x14ac:dyDescent="0.25">
      <c r="A869" s="1"/>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x14ac:dyDescent="0.25">
      <c r="A870" s="1"/>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x14ac:dyDescent="0.25">
      <c r="A871" s="1"/>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x14ac:dyDescent="0.25">
      <c r="A872" s="1"/>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x14ac:dyDescent="0.25">
      <c r="A873" s="1"/>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x14ac:dyDescent="0.25">
      <c r="A874" s="1"/>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x14ac:dyDescent="0.25">
      <c r="A875" s="1"/>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x14ac:dyDescent="0.25">
      <c r="A876" s="1"/>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x14ac:dyDescent="0.25">
      <c r="A877" s="1"/>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x14ac:dyDescent="0.25">
      <c r="A878" s="1"/>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x14ac:dyDescent="0.25">
      <c r="A879" s="1"/>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x14ac:dyDescent="0.25">
      <c r="A880" s="1"/>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x14ac:dyDescent="0.25">
      <c r="A881" s="1"/>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x14ac:dyDescent="0.25">
      <c r="A882" s="1"/>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x14ac:dyDescent="0.25">
      <c r="A883" s="1"/>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x14ac:dyDescent="0.25">
      <c r="A884" s="1"/>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x14ac:dyDescent="0.25">
      <c r="A885" s="1"/>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x14ac:dyDescent="0.25">
      <c r="A886" s="1"/>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x14ac:dyDescent="0.25">
      <c r="A887" s="1"/>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x14ac:dyDescent="0.25">
      <c r="A888" s="1"/>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x14ac:dyDescent="0.25">
      <c r="A889" s="1"/>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x14ac:dyDescent="0.25">
      <c r="A890" s="1"/>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x14ac:dyDescent="0.25">
      <c r="A891" s="1"/>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x14ac:dyDescent="0.25">
      <c r="A892" s="1"/>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x14ac:dyDescent="0.25">
      <c r="A893" s="1"/>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x14ac:dyDescent="0.25">
      <c r="A894" s="1"/>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x14ac:dyDescent="0.25">
      <c r="A895" s="1"/>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x14ac:dyDescent="0.25">
      <c r="A896" s="1"/>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x14ac:dyDescent="0.25">
      <c r="A897" s="1"/>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x14ac:dyDescent="0.25">
      <c r="A898" s="1"/>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x14ac:dyDescent="0.25">
      <c r="A899" s="1"/>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x14ac:dyDescent="0.25">
      <c r="A900" s="1"/>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x14ac:dyDescent="0.25">
      <c r="A901" s="1"/>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x14ac:dyDescent="0.25">
      <c r="A902" s="1"/>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x14ac:dyDescent="0.25">
      <c r="A903" s="1"/>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x14ac:dyDescent="0.25">
      <c r="A904" s="1"/>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x14ac:dyDescent="0.25">
      <c r="A905" s="1"/>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x14ac:dyDescent="0.25">
      <c r="A906" s="1"/>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x14ac:dyDescent="0.25">
      <c r="A907" s="1"/>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x14ac:dyDescent="0.25">
      <c r="A908" s="1"/>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x14ac:dyDescent="0.25">
      <c r="A909" s="1"/>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x14ac:dyDescent="0.25">
      <c r="A910" s="1"/>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x14ac:dyDescent="0.25">
      <c r="A911" s="1"/>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x14ac:dyDescent="0.25">
      <c r="A912" s="1"/>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x14ac:dyDescent="0.25">
      <c r="A913" s="1"/>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x14ac:dyDescent="0.25">
      <c r="A914" s="1"/>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x14ac:dyDescent="0.25">
      <c r="A915" s="1"/>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x14ac:dyDescent="0.25">
      <c r="A916" s="1"/>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x14ac:dyDescent="0.25">
      <c r="A917" s="1"/>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x14ac:dyDescent="0.25">
      <c r="A918" s="1"/>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x14ac:dyDescent="0.25">
      <c r="A919" s="1"/>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x14ac:dyDescent="0.25">
      <c r="A920" s="1"/>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x14ac:dyDescent="0.25">
      <c r="A921" s="1"/>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x14ac:dyDescent="0.25">
      <c r="A922" s="1"/>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x14ac:dyDescent="0.25">
      <c r="A923" s="1"/>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x14ac:dyDescent="0.25">
      <c r="A924" s="1"/>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x14ac:dyDescent="0.25">
      <c r="A925" s="1"/>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x14ac:dyDescent="0.25">
      <c r="A926" s="1"/>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x14ac:dyDescent="0.25">
      <c r="A927" s="1"/>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x14ac:dyDescent="0.25">
      <c r="A928" s="1"/>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x14ac:dyDescent="0.25">
      <c r="A929" s="1"/>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x14ac:dyDescent="0.25">
      <c r="A930" s="1"/>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x14ac:dyDescent="0.25">
      <c r="A931" s="1"/>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x14ac:dyDescent="0.25">
      <c r="A932" s="1"/>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x14ac:dyDescent="0.25">
      <c r="A933" s="1"/>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x14ac:dyDescent="0.25">
      <c r="A934" s="1"/>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x14ac:dyDescent="0.25">
      <c r="A935" s="1"/>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x14ac:dyDescent="0.25">
      <c r="A936" s="1"/>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x14ac:dyDescent="0.25">
      <c r="A937" s="1"/>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x14ac:dyDescent="0.25">
      <c r="A938" s="1"/>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x14ac:dyDescent="0.25">
      <c r="A939" s="1"/>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x14ac:dyDescent="0.25">
      <c r="A940" s="1"/>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x14ac:dyDescent="0.25">
      <c r="A941" s="1"/>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x14ac:dyDescent="0.25">
      <c r="A942" s="1"/>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x14ac:dyDescent="0.25">
      <c r="A943" s="1"/>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x14ac:dyDescent="0.25">
      <c r="A944" s="1"/>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x14ac:dyDescent="0.25">
      <c r="A945" s="1"/>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x14ac:dyDescent="0.25">
      <c r="A946" s="1"/>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x14ac:dyDescent="0.25">
      <c r="A947" s="1"/>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x14ac:dyDescent="0.25">
      <c r="A948" s="1"/>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x14ac:dyDescent="0.25">
      <c r="A949" s="1"/>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x14ac:dyDescent="0.25">
      <c r="A950" s="1"/>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x14ac:dyDescent="0.25">
      <c r="A951" s="1"/>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x14ac:dyDescent="0.25">
      <c r="A952" s="1"/>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x14ac:dyDescent="0.25">
      <c r="A953" s="1"/>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x14ac:dyDescent="0.25">
      <c r="A954" s="1"/>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x14ac:dyDescent="0.25">
      <c r="A955" s="1"/>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x14ac:dyDescent="0.25">
      <c r="A956" s="1"/>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x14ac:dyDescent="0.25">
      <c r="A957" s="1"/>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x14ac:dyDescent="0.25">
      <c r="A958" s="1"/>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x14ac:dyDescent="0.25">
      <c r="A959" s="1"/>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x14ac:dyDescent="0.25">
      <c r="A960" s="1"/>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x14ac:dyDescent="0.25">
      <c r="A961" s="1"/>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x14ac:dyDescent="0.25">
      <c r="A962" s="1"/>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x14ac:dyDescent="0.25">
      <c r="A963" s="1"/>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x14ac:dyDescent="0.25">
      <c r="A964" s="1"/>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x14ac:dyDescent="0.25">
      <c r="A965" s="1"/>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x14ac:dyDescent="0.25">
      <c r="A966" s="1"/>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x14ac:dyDescent="0.25">
      <c r="A967" s="1"/>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x14ac:dyDescent="0.25">
      <c r="A968" s="1"/>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x14ac:dyDescent="0.25">
      <c r="A969" s="1"/>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x14ac:dyDescent="0.25">
      <c r="A970" s="1"/>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x14ac:dyDescent="0.25">
      <c r="A971" s="1"/>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x14ac:dyDescent="0.25">
      <c r="A972" s="1"/>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x14ac:dyDescent="0.25">
      <c r="A973" s="1"/>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x14ac:dyDescent="0.25">
      <c r="A974" s="1"/>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x14ac:dyDescent="0.25">
      <c r="A975" s="1"/>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x14ac:dyDescent="0.25">
      <c r="A976" s="1"/>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x14ac:dyDescent="0.25">
      <c r="A977" s="1"/>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x14ac:dyDescent="0.25">
      <c r="A978" s="1"/>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x14ac:dyDescent="0.25">
      <c r="A979" s="1"/>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x14ac:dyDescent="0.25">
      <c r="A980" s="1"/>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x14ac:dyDescent="0.25">
      <c r="A981" s="1"/>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x14ac:dyDescent="0.25">
      <c r="A982" s="1"/>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x14ac:dyDescent="0.25">
      <c r="A983" s="1"/>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x14ac:dyDescent="0.25">
      <c r="A984" s="1"/>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x14ac:dyDescent="0.25">
      <c r="A985" s="1"/>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x14ac:dyDescent="0.25">
      <c r="A986" s="1"/>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x14ac:dyDescent="0.25">
      <c r="A987" s="1"/>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x14ac:dyDescent="0.25">
      <c r="A988" s="1"/>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x14ac:dyDescent="0.25">
      <c r="A989" s="1"/>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x14ac:dyDescent="0.25">
      <c r="A990" s="1"/>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x14ac:dyDescent="0.25">
      <c r="A991" s="1"/>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x14ac:dyDescent="0.25">
      <c r="A992" s="1"/>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x14ac:dyDescent="0.25">
      <c r="A993" s="1"/>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x14ac:dyDescent="0.25">
      <c r="A994" s="1"/>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x14ac:dyDescent="0.25">
      <c r="A995" s="1"/>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x14ac:dyDescent="0.25">
      <c r="A996" s="1"/>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x14ac:dyDescent="0.25">
      <c r="A997" s="1"/>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x14ac:dyDescent="0.25">
      <c r="A998" s="1"/>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x14ac:dyDescent="0.25">
      <c r="A999" s="1"/>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x14ac:dyDescent="0.25">
      <c r="A1000" s="1"/>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conditionalFormatting sqref="D6:D13">
    <cfRule type="dataBar" priority="3">
      <dataBar>
        <cfvo type="min"/>
        <cfvo type="max"/>
        <color rgb="FF638EC6"/>
      </dataBar>
      <extLst>
        <ext xmlns:x14="http://schemas.microsoft.com/office/spreadsheetml/2009/9/main" uri="{B025F937-C7B1-47D3-B67F-A62EFF666E3E}">
          <x14:id>{C0DA60B8-4EB4-4555-A185-5FEBB6612B60}</x14:id>
        </ext>
      </extLst>
    </cfRule>
  </conditionalFormatting>
  <conditionalFormatting sqref="E6:G13">
    <cfRule type="dataBar" priority="1">
      <dataBar>
        <cfvo type="min"/>
        <cfvo type="max"/>
        <color rgb="FF638EC6"/>
      </dataBar>
      <extLst>
        <ext xmlns:x14="http://schemas.microsoft.com/office/spreadsheetml/2009/9/main" uri="{B025F937-C7B1-47D3-B67F-A62EFF666E3E}">
          <x14:id>{7176BAC2-9BEB-4242-A5AD-FB0BA7F61A6F}</x14:id>
        </ext>
      </extLst>
    </cfRule>
  </conditionalFormatting>
  <hyperlinks>
    <hyperlink ref="A69" r:id="rId1" xr:uid="{00000000-0004-0000-0700-000000000000}"/>
    <hyperlink ref="A70" r:id="rId2" xr:uid="{00000000-0004-0000-0700-000001000000}"/>
  </hyperlinks>
  <pageMargins left="0.7" right="0.7" top="0.75" bottom="0.75" header="0" footer="0"/>
  <pageSetup orientation="portrait"/>
  <drawing r:id="rId3"/>
  <tableParts count="3">
    <tablePart r:id="rId4"/>
    <tablePart r:id="rId5"/>
    <tablePart r:id="rId6"/>
  </tableParts>
  <extLst>
    <ext xmlns:x14="http://schemas.microsoft.com/office/spreadsheetml/2009/9/main" uri="{78C0D931-6437-407d-A8EE-F0AAD7539E65}">
      <x14:conditionalFormattings>
        <x14:conditionalFormatting xmlns:xm="http://schemas.microsoft.com/office/excel/2006/main">
          <x14:cfRule type="dataBar" id="{C0DA60B8-4EB4-4555-A185-5FEBB6612B60}">
            <x14:dataBar minLength="0" maxLength="100" gradient="0">
              <x14:cfvo type="autoMin"/>
              <x14:cfvo type="autoMax"/>
              <x14:negativeFillColor rgb="FFFF0000"/>
              <x14:axisColor rgb="FF000000"/>
            </x14:dataBar>
          </x14:cfRule>
          <xm:sqref>D6:D13</xm:sqref>
        </x14:conditionalFormatting>
        <x14:conditionalFormatting xmlns:xm="http://schemas.microsoft.com/office/excel/2006/main">
          <x14:cfRule type="dataBar" id="{7176BAC2-9BEB-4242-A5AD-FB0BA7F61A6F}">
            <x14:dataBar minLength="0" maxLength="100" gradient="0">
              <x14:cfvo type="autoMin"/>
              <x14:cfvo type="autoMax"/>
              <x14:negativeFillColor rgb="FFFF0000"/>
              <x14:axisColor rgb="FF000000"/>
            </x14:dataBar>
          </x14:cfRule>
          <xm:sqref>E6:G13</xm:sqref>
        </x14:conditionalFormatting>
      </x14:conditionalFormattings>
    </ext>
    <ext xmlns:x14="http://schemas.microsoft.com/office/spreadsheetml/2009/9/main" uri="{05C60535-1F16-4fd2-B633-F4F36F0B64E0}">
      <x14:sparklineGroups xmlns:xm="http://schemas.microsoft.com/office/excel/2006/main">
        <x14:sparklineGroup displayEmptyCellsAs="span" xr2:uid="{263ECB13-5FCD-49F3-B594-70B33E1B65FA}">
          <x14:colorSeries theme="4"/>
          <x14:colorNegative rgb="FFD00000"/>
          <x14:colorAxis rgb="FF000000"/>
          <x14:colorMarkers rgb="FFD00000"/>
          <x14:colorFirst rgb="FFD00000"/>
          <x14:colorLast rgb="FFD00000"/>
          <x14:colorHigh rgb="FFD00000"/>
          <x14:colorLow rgb="FFD00000"/>
          <x14:sparklines>
            <x14:sparkline>
              <xm:f>'8. Analyze'!D55:G55</xm:f>
              <xm:sqref>H55</xm:sqref>
            </x14:sparkline>
            <x14:sparkline>
              <xm:f>'8. Analyze'!D56:G56</xm:f>
              <xm:sqref>H56</xm:sqref>
            </x14:sparkline>
            <x14:sparkline>
              <xm:f>'8. Analyze'!D57:G57</xm:f>
              <xm:sqref>H57</xm:sqref>
            </x14:sparkline>
            <x14:sparkline>
              <xm:f>'8. Analyze'!D58:G58</xm:f>
              <xm:sqref>H58</xm:sqref>
            </x14:sparkline>
            <x14:sparkline>
              <xm:f>'8. Analyze'!D59:G59</xm:f>
              <xm:sqref>H59</xm:sqref>
            </x14:sparkline>
            <x14:sparkline>
              <xm:f>'8. Analyze'!D60:G60</xm:f>
              <xm:sqref>H60</xm:sqref>
            </x14:sparkline>
            <x14:sparkline>
              <xm:f>'8. Analyze'!D61:G61</xm:f>
              <xm:sqref>H61</xm:sqref>
            </x14:sparkline>
            <x14:sparkline>
              <xm:f>'8. Analyze'!D62:G62</xm:f>
              <xm:sqref>H62</xm:sqref>
            </x14:sparkline>
          </x14:sparklines>
        </x14:sparklineGroup>
      </x14:sparklineGroup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showGridLines="0" workbookViewId="0">
      <selection activeCell="C10" sqref="C10"/>
    </sheetView>
  </sheetViews>
  <sheetFormatPr defaultColWidth="14.42578125" defaultRowHeight="15" customHeight="1" x14ac:dyDescent="0.25"/>
  <cols>
    <col min="1" max="1" width="12.7109375" customWidth="1"/>
    <col min="2" max="2" width="82.85546875" customWidth="1"/>
    <col min="3" max="3" width="13.85546875" customWidth="1"/>
    <col min="4" max="4" width="24.42578125" customWidth="1"/>
    <col min="5" max="5" width="23.85546875" customWidth="1"/>
    <col min="6" max="6" width="15.5703125" customWidth="1"/>
    <col min="7" max="26" width="8.85546875" customWidth="1"/>
  </cols>
  <sheetData>
    <row r="1" spans="1:26" ht="60" customHeight="1" x14ac:dyDescent="0.25">
      <c r="A1" s="1" t="s">
        <v>310</v>
      </c>
      <c r="B1" s="3"/>
      <c r="G1" s="3"/>
      <c r="H1" s="3"/>
      <c r="I1" s="3"/>
      <c r="J1" s="3"/>
      <c r="K1" s="3"/>
      <c r="L1" s="3"/>
      <c r="M1" s="3"/>
      <c r="N1" s="3"/>
      <c r="O1" s="3"/>
      <c r="P1" s="3"/>
      <c r="Q1" s="3"/>
      <c r="R1" s="3"/>
      <c r="S1" s="3"/>
      <c r="T1" s="3"/>
      <c r="U1" s="3"/>
      <c r="V1" s="3"/>
      <c r="W1" s="3"/>
      <c r="X1" s="3"/>
      <c r="Y1" s="3"/>
      <c r="Z1" s="3"/>
    </row>
    <row r="2" spans="1:26" ht="15" customHeight="1" x14ac:dyDescent="0.25">
      <c r="A2" s="1" t="s">
        <v>311</v>
      </c>
      <c r="B2" s="3"/>
      <c r="G2" s="3"/>
      <c r="H2" s="3"/>
      <c r="I2" s="3"/>
      <c r="J2" s="3"/>
      <c r="K2" s="3"/>
      <c r="L2" s="3"/>
      <c r="M2" s="3"/>
      <c r="N2" s="3"/>
      <c r="O2" s="3"/>
      <c r="P2" s="3"/>
      <c r="Q2" s="3"/>
      <c r="R2" s="3"/>
      <c r="S2" s="3"/>
      <c r="T2" s="3"/>
      <c r="U2" s="3"/>
      <c r="V2" s="3"/>
      <c r="W2" s="3"/>
      <c r="X2" s="3"/>
      <c r="Y2" s="3"/>
      <c r="Z2" s="3"/>
    </row>
    <row r="3" spans="1:26" ht="15" customHeight="1" x14ac:dyDescent="0.25">
      <c r="A3" s="1" t="s">
        <v>312</v>
      </c>
      <c r="B3" s="3"/>
      <c r="G3" s="3"/>
      <c r="H3" s="3"/>
      <c r="I3" s="3"/>
      <c r="J3" s="3"/>
      <c r="K3" s="3"/>
      <c r="L3" s="3"/>
      <c r="M3" s="3"/>
      <c r="N3" s="3"/>
      <c r="O3" s="3"/>
      <c r="P3" s="3"/>
      <c r="Q3" s="3"/>
      <c r="R3" s="3"/>
      <c r="S3" s="3"/>
      <c r="T3" s="3"/>
      <c r="U3" s="3"/>
      <c r="V3" s="3"/>
      <c r="W3" s="3"/>
      <c r="X3" s="3"/>
      <c r="Y3" s="3"/>
      <c r="Z3" s="3"/>
    </row>
    <row r="4" spans="1:26" ht="15" customHeight="1" x14ac:dyDescent="0.25">
      <c r="A4" s="1" t="s">
        <v>313</v>
      </c>
      <c r="B4" s="3"/>
      <c r="G4" s="3"/>
      <c r="H4" s="3"/>
      <c r="I4" s="3"/>
      <c r="J4" s="3"/>
      <c r="K4" s="3"/>
      <c r="L4" s="3"/>
      <c r="M4" s="3"/>
      <c r="N4" s="3"/>
      <c r="O4" s="3"/>
      <c r="P4" s="3"/>
      <c r="Q4" s="3"/>
      <c r="R4" s="3"/>
      <c r="S4" s="3"/>
      <c r="T4" s="3"/>
      <c r="U4" s="3"/>
      <c r="V4" s="3"/>
      <c r="W4" s="3"/>
      <c r="X4" s="3"/>
      <c r="Y4" s="3"/>
      <c r="Z4" s="3"/>
    </row>
    <row r="5" spans="1:26" ht="15" customHeight="1" x14ac:dyDescent="0.25">
      <c r="A5" s="1" t="s">
        <v>314</v>
      </c>
      <c r="B5" s="3"/>
      <c r="C5" s="25" t="s">
        <v>315</v>
      </c>
      <c r="D5" s="25" t="s">
        <v>316</v>
      </c>
      <c r="G5" s="7"/>
      <c r="H5" s="7"/>
      <c r="I5" s="7"/>
      <c r="J5" s="7"/>
      <c r="K5" s="7"/>
      <c r="L5" s="7"/>
      <c r="M5" s="7"/>
      <c r="N5" s="7"/>
      <c r="O5" s="7"/>
      <c r="P5" s="7"/>
      <c r="Q5" s="7"/>
      <c r="R5" s="7"/>
      <c r="S5" s="7"/>
      <c r="T5" s="7"/>
      <c r="U5" s="7"/>
      <c r="V5" s="7"/>
      <c r="W5" s="7"/>
      <c r="X5" s="7"/>
      <c r="Y5" s="7"/>
      <c r="Z5" s="7"/>
    </row>
    <row r="6" spans="1:26" ht="15" customHeight="1" x14ac:dyDescent="0.25">
      <c r="A6" s="1" t="s">
        <v>317</v>
      </c>
      <c r="B6" s="3"/>
      <c r="C6" s="25">
        <f ca="1">YEAR(TODAY())-5</f>
        <v>2018</v>
      </c>
      <c r="D6" s="25">
        <v>500</v>
      </c>
      <c r="G6" s="7"/>
      <c r="H6" s="7"/>
      <c r="I6" s="7"/>
      <c r="J6" s="7"/>
      <c r="K6" s="7"/>
      <c r="L6" s="7"/>
      <c r="M6" s="7"/>
      <c r="N6" s="7"/>
      <c r="O6" s="7"/>
      <c r="P6" s="7"/>
      <c r="Q6" s="7"/>
      <c r="R6" s="7"/>
      <c r="S6" s="7"/>
      <c r="T6" s="7"/>
      <c r="U6" s="7"/>
      <c r="V6" s="7"/>
      <c r="W6" s="7"/>
      <c r="X6" s="7"/>
      <c r="Y6" s="7"/>
      <c r="Z6" s="7"/>
    </row>
    <row r="7" spans="1:26" ht="15" customHeight="1" x14ac:dyDescent="0.25">
      <c r="A7" s="1" t="s">
        <v>318</v>
      </c>
      <c r="B7" s="3"/>
      <c r="C7" s="25">
        <f ca="1">YEAR(TODAY())-4</f>
        <v>2019</v>
      </c>
      <c r="D7" s="25">
        <v>800</v>
      </c>
      <c r="G7" s="7"/>
      <c r="H7" s="7"/>
      <c r="I7" s="7"/>
      <c r="J7" s="7"/>
      <c r="K7" s="7"/>
      <c r="L7" s="7"/>
      <c r="M7" s="7"/>
      <c r="N7" s="7"/>
      <c r="O7" s="7"/>
      <c r="P7" s="7"/>
      <c r="Q7" s="7"/>
      <c r="R7" s="7"/>
      <c r="S7" s="7"/>
      <c r="T7" s="7"/>
      <c r="U7" s="7"/>
      <c r="V7" s="7"/>
      <c r="W7" s="7"/>
      <c r="X7" s="7"/>
      <c r="Y7" s="7"/>
      <c r="Z7" s="7"/>
    </row>
    <row r="8" spans="1:26" ht="15" customHeight="1" x14ac:dyDescent="0.25">
      <c r="A8" s="1" t="s">
        <v>319</v>
      </c>
      <c r="B8" s="3"/>
      <c r="C8" s="25">
        <f ca="1">YEAR(TODAY())-3</f>
        <v>2020</v>
      </c>
      <c r="D8" s="25">
        <v>1000</v>
      </c>
      <c r="G8" s="7"/>
      <c r="H8" s="7"/>
      <c r="I8" s="7"/>
      <c r="J8" s="7"/>
      <c r="K8" s="7"/>
      <c r="L8" s="7"/>
      <c r="M8" s="7"/>
      <c r="N8" s="7"/>
      <c r="O8" s="7"/>
      <c r="P8" s="7"/>
      <c r="Q8" s="7"/>
      <c r="R8" s="7"/>
      <c r="S8" s="7"/>
      <c r="T8" s="7"/>
      <c r="U8" s="7"/>
      <c r="V8" s="7"/>
      <c r="W8" s="7"/>
      <c r="X8" s="7"/>
      <c r="Y8" s="7"/>
      <c r="Z8" s="7"/>
    </row>
    <row r="9" spans="1:26" ht="15" customHeight="1" x14ac:dyDescent="0.25">
      <c r="A9" s="12" t="s">
        <v>320</v>
      </c>
      <c r="B9" s="3"/>
      <c r="C9" s="25">
        <f ca="1">YEAR(TODAY())-2</f>
        <v>2021</v>
      </c>
      <c r="D9" s="25">
        <v>900</v>
      </c>
      <c r="G9" s="7"/>
      <c r="H9" s="7"/>
      <c r="I9" s="7"/>
      <c r="J9" s="7"/>
      <c r="K9" s="7"/>
      <c r="L9" s="7"/>
      <c r="M9" s="7"/>
      <c r="N9" s="7"/>
      <c r="O9" s="7"/>
      <c r="P9" s="7"/>
      <c r="Q9" s="7"/>
      <c r="R9" s="7"/>
      <c r="S9" s="7"/>
      <c r="T9" s="7"/>
      <c r="U9" s="7"/>
      <c r="V9" s="7"/>
      <c r="W9" s="7"/>
      <c r="X9" s="7"/>
      <c r="Y9" s="7"/>
      <c r="Z9" s="7"/>
    </row>
    <row r="10" spans="1:26" ht="15" customHeight="1" x14ac:dyDescent="0.25">
      <c r="A10" s="1" t="s">
        <v>26</v>
      </c>
      <c r="B10" s="3"/>
      <c r="C10" s="25">
        <f ca="1">YEAR(TODAY())-1</f>
        <v>2022</v>
      </c>
      <c r="D10" s="25">
        <v>1000</v>
      </c>
      <c r="G10" s="7"/>
      <c r="H10" s="7"/>
      <c r="I10" s="7"/>
      <c r="J10" s="7"/>
      <c r="K10" s="7"/>
      <c r="L10" s="7"/>
      <c r="M10" s="7"/>
      <c r="N10" s="7"/>
      <c r="O10" s="7"/>
      <c r="P10" s="7"/>
      <c r="Q10" s="7"/>
      <c r="R10" s="7"/>
      <c r="S10" s="7"/>
      <c r="T10" s="7"/>
      <c r="U10" s="7"/>
      <c r="V10" s="7"/>
      <c r="W10" s="7"/>
      <c r="X10" s="7"/>
      <c r="Y10" s="7"/>
      <c r="Z10" s="7"/>
    </row>
    <row r="11" spans="1:26" ht="15" customHeight="1" x14ac:dyDescent="0.25">
      <c r="A11" s="1"/>
      <c r="B11" s="3"/>
      <c r="C11" s="25">
        <f ca="1">YEAR(TODAY())</f>
        <v>2023</v>
      </c>
      <c r="D11" s="25">
        <v>1200</v>
      </c>
      <c r="G11" s="7"/>
      <c r="H11" s="7"/>
      <c r="I11" s="7"/>
      <c r="J11" s="7"/>
      <c r="K11" s="7"/>
      <c r="L11" s="7"/>
      <c r="M11" s="7"/>
      <c r="N11" s="7"/>
      <c r="O11" s="7"/>
      <c r="P11" s="7"/>
      <c r="Q11" s="7"/>
      <c r="R11" s="7"/>
      <c r="S11" s="7"/>
      <c r="T11" s="7"/>
      <c r="U11" s="7"/>
      <c r="V11" s="7"/>
      <c r="W11" s="7"/>
      <c r="X11" s="7"/>
      <c r="Y11" s="7"/>
      <c r="Z11" s="7"/>
    </row>
    <row r="12" spans="1:26" ht="15" customHeight="1" x14ac:dyDescent="0.25">
      <c r="A12" s="1"/>
      <c r="B12" s="3"/>
      <c r="G12" s="7"/>
      <c r="H12" s="7"/>
      <c r="I12" s="7"/>
      <c r="J12" s="7"/>
      <c r="K12" s="7"/>
      <c r="L12" s="7"/>
      <c r="M12" s="7"/>
      <c r="N12" s="7"/>
      <c r="O12" s="7"/>
      <c r="P12" s="7"/>
      <c r="Q12" s="7"/>
      <c r="R12" s="7"/>
      <c r="S12" s="7"/>
      <c r="T12" s="7"/>
      <c r="U12" s="7"/>
      <c r="V12" s="7"/>
      <c r="W12" s="7"/>
      <c r="X12" s="7"/>
      <c r="Y12" s="7"/>
      <c r="Z12" s="7"/>
    </row>
    <row r="13" spans="1:26" ht="15" customHeight="1" x14ac:dyDescent="0.25">
      <c r="A13" s="1"/>
      <c r="B13" s="3"/>
      <c r="G13" s="7"/>
      <c r="H13" s="7"/>
      <c r="I13" s="7"/>
      <c r="J13" s="7"/>
      <c r="K13" s="7"/>
      <c r="L13" s="7"/>
      <c r="M13" s="7"/>
      <c r="N13" s="7"/>
      <c r="O13" s="7"/>
      <c r="P13" s="7"/>
      <c r="Q13" s="7"/>
      <c r="R13" s="7"/>
      <c r="S13" s="7"/>
      <c r="T13" s="7"/>
      <c r="U13" s="7"/>
      <c r="V13" s="7"/>
      <c r="W13" s="7"/>
      <c r="X13" s="7"/>
      <c r="Y13" s="7"/>
      <c r="Z13" s="7"/>
    </row>
    <row r="14" spans="1:26" ht="15" customHeight="1" x14ac:dyDescent="0.25">
      <c r="A14" s="1"/>
      <c r="B14" s="3"/>
      <c r="G14" s="7"/>
      <c r="H14" s="7"/>
      <c r="I14" s="7"/>
      <c r="J14" s="7"/>
      <c r="K14" s="7"/>
      <c r="L14" s="7"/>
      <c r="M14" s="7"/>
      <c r="N14" s="7"/>
      <c r="O14" s="7"/>
      <c r="P14" s="7"/>
      <c r="Q14" s="7"/>
      <c r="R14" s="7"/>
      <c r="S14" s="7"/>
      <c r="T14" s="7"/>
      <c r="U14" s="7"/>
      <c r="V14" s="7"/>
      <c r="W14" s="7"/>
      <c r="X14" s="7"/>
      <c r="Y14" s="7"/>
      <c r="Z14" s="7"/>
    </row>
    <row r="15" spans="1:26" ht="15" customHeight="1" x14ac:dyDescent="0.25">
      <c r="A15" s="1"/>
      <c r="B15" s="3"/>
      <c r="G15" s="7"/>
      <c r="H15" s="7"/>
      <c r="I15" s="7"/>
      <c r="J15" s="7"/>
      <c r="K15" s="7"/>
      <c r="L15" s="7"/>
      <c r="M15" s="7"/>
      <c r="N15" s="7"/>
      <c r="O15" s="7"/>
      <c r="P15" s="7"/>
      <c r="Q15" s="7"/>
      <c r="R15" s="7"/>
      <c r="S15" s="7"/>
      <c r="T15" s="7"/>
      <c r="U15" s="7"/>
      <c r="V15" s="7"/>
      <c r="W15" s="7"/>
      <c r="X15" s="7"/>
      <c r="Y15" s="7"/>
      <c r="Z15" s="7"/>
    </row>
    <row r="16" spans="1:26" ht="15" customHeight="1" x14ac:dyDescent="0.25">
      <c r="A16" s="1"/>
      <c r="B16" s="3"/>
      <c r="G16" s="7"/>
      <c r="H16" s="7"/>
      <c r="I16" s="7"/>
      <c r="J16" s="7"/>
      <c r="K16" s="7"/>
      <c r="L16" s="7"/>
      <c r="M16" s="7"/>
      <c r="N16" s="7"/>
      <c r="O16" s="7"/>
      <c r="P16" s="7"/>
      <c r="Q16" s="7"/>
      <c r="R16" s="7"/>
      <c r="S16" s="7"/>
      <c r="T16" s="7"/>
      <c r="U16" s="7"/>
      <c r="V16" s="7"/>
      <c r="W16" s="7"/>
      <c r="X16" s="7"/>
      <c r="Y16" s="7"/>
      <c r="Z16" s="7"/>
    </row>
    <row r="17" spans="1:26" ht="15" customHeight="1" x14ac:dyDescent="0.25">
      <c r="A17" s="1"/>
      <c r="B17" s="3"/>
      <c r="G17" s="7"/>
      <c r="H17" s="7"/>
      <c r="I17" s="7"/>
      <c r="J17" s="7"/>
      <c r="K17" s="7"/>
      <c r="L17" s="7"/>
      <c r="M17" s="7"/>
      <c r="N17" s="7"/>
      <c r="O17" s="7"/>
      <c r="P17" s="7"/>
      <c r="Q17" s="7"/>
      <c r="R17" s="7"/>
      <c r="S17" s="7"/>
      <c r="T17" s="7"/>
      <c r="U17" s="7"/>
      <c r="V17" s="7"/>
      <c r="W17" s="7"/>
      <c r="X17" s="7"/>
      <c r="Y17" s="7"/>
      <c r="Z17" s="7"/>
    </row>
    <row r="18" spans="1:26" ht="15" customHeight="1" x14ac:dyDescent="0.25">
      <c r="A18" s="1"/>
      <c r="B18" s="3"/>
      <c r="G18" s="7"/>
      <c r="H18" s="7"/>
      <c r="I18" s="7"/>
      <c r="J18" s="7"/>
      <c r="K18" s="7"/>
      <c r="L18" s="7"/>
      <c r="M18" s="7"/>
      <c r="N18" s="7"/>
      <c r="O18" s="7"/>
      <c r="P18" s="7"/>
      <c r="Q18" s="7"/>
      <c r="R18" s="7"/>
      <c r="S18" s="7"/>
      <c r="T18" s="7"/>
      <c r="U18" s="7"/>
      <c r="V18" s="7"/>
      <c r="W18" s="7"/>
      <c r="X18" s="7"/>
      <c r="Y18" s="7"/>
      <c r="Z18" s="7"/>
    </row>
    <row r="19" spans="1:26" ht="15" customHeight="1" x14ac:dyDescent="0.25">
      <c r="A19" s="1"/>
      <c r="B19" s="3"/>
      <c r="G19" s="7"/>
      <c r="H19" s="7"/>
      <c r="I19" s="7"/>
      <c r="J19" s="7"/>
      <c r="K19" s="7"/>
      <c r="L19" s="7"/>
      <c r="M19" s="7"/>
      <c r="N19" s="7"/>
      <c r="O19" s="7"/>
      <c r="P19" s="7"/>
      <c r="Q19" s="7"/>
      <c r="R19" s="7"/>
      <c r="S19" s="7"/>
      <c r="T19" s="7"/>
      <c r="U19" s="7"/>
      <c r="V19" s="7"/>
      <c r="W19" s="7"/>
      <c r="X19" s="7"/>
      <c r="Y19" s="7"/>
      <c r="Z19" s="7"/>
    </row>
    <row r="20" spans="1:26" ht="15" customHeight="1" x14ac:dyDescent="0.25">
      <c r="A20" s="1"/>
      <c r="B20" s="3"/>
      <c r="G20" s="7"/>
      <c r="H20" s="7"/>
      <c r="I20" s="7"/>
      <c r="J20" s="7"/>
      <c r="K20" s="7"/>
      <c r="L20" s="7"/>
      <c r="M20" s="7"/>
      <c r="N20" s="7"/>
      <c r="O20" s="7"/>
      <c r="P20" s="7"/>
      <c r="Q20" s="7"/>
      <c r="R20" s="7"/>
      <c r="S20" s="7"/>
      <c r="T20" s="7"/>
      <c r="U20" s="7"/>
      <c r="V20" s="7"/>
      <c r="W20" s="7"/>
      <c r="X20" s="7"/>
      <c r="Y20" s="7"/>
      <c r="Z20" s="7"/>
    </row>
    <row r="21" spans="1:26" ht="15" customHeight="1" x14ac:dyDescent="0.25">
      <c r="A21" s="1"/>
      <c r="B21" s="3"/>
      <c r="G21" s="7"/>
      <c r="H21" s="7"/>
      <c r="I21" s="7"/>
      <c r="J21" s="7"/>
      <c r="K21" s="7"/>
      <c r="L21" s="7"/>
      <c r="M21" s="7"/>
      <c r="N21" s="7"/>
      <c r="O21" s="7"/>
      <c r="P21" s="7"/>
      <c r="Q21" s="7"/>
      <c r="R21" s="7"/>
      <c r="S21" s="7"/>
      <c r="T21" s="7"/>
      <c r="U21" s="7"/>
      <c r="V21" s="7"/>
      <c r="W21" s="7"/>
      <c r="X21" s="7"/>
      <c r="Y21" s="7"/>
      <c r="Z21" s="7"/>
    </row>
    <row r="22" spans="1:26" ht="15" customHeight="1" x14ac:dyDescent="0.25">
      <c r="A22" s="1"/>
      <c r="B22" s="3"/>
      <c r="C22" s="7"/>
      <c r="D22" s="7"/>
      <c r="E22" s="7"/>
      <c r="F22" s="7"/>
      <c r="G22" s="7"/>
      <c r="H22" s="7"/>
      <c r="I22" s="7"/>
      <c r="J22" s="7"/>
      <c r="K22" s="7"/>
      <c r="L22" s="7"/>
      <c r="M22" s="7"/>
      <c r="N22" s="7"/>
      <c r="O22" s="7"/>
      <c r="P22" s="7"/>
      <c r="Q22" s="7"/>
      <c r="R22" s="7"/>
      <c r="S22" s="7"/>
      <c r="T22" s="7"/>
      <c r="U22" s="7"/>
      <c r="V22" s="7"/>
      <c r="W22" s="7"/>
      <c r="X22" s="7"/>
      <c r="Y22" s="7"/>
      <c r="Z22" s="7"/>
    </row>
    <row r="23" spans="1:26" ht="15" customHeight="1" x14ac:dyDescent="0.25">
      <c r="A23" s="1"/>
      <c r="B23" s="3"/>
      <c r="C23" s="7"/>
      <c r="D23" s="7"/>
      <c r="E23" s="7"/>
      <c r="F23" s="7"/>
      <c r="G23" s="7"/>
      <c r="H23" s="7"/>
      <c r="I23" s="7"/>
      <c r="J23" s="7"/>
      <c r="K23" s="7"/>
      <c r="L23" s="7"/>
      <c r="M23" s="7"/>
      <c r="N23" s="7"/>
      <c r="O23" s="7"/>
      <c r="P23" s="7"/>
      <c r="Q23" s="7"/>
      <c r="R23" s="7"/>
      <c r="S23" s="7"/>
      <c r="T23" s="7"/>
      <c r="U23" s="7"/>
      <c r="V23" s="7"/>
      <c r="W23" s="7"/>
      <c r="X23" s="7"/>
      <c r="Y23" s="7"/>
      <c r="Z23" s="7"/>
    </row>
    <row r="24" spans="1:26" ht="15" customHeight="1" x14ac:dyDescent="0.25">
      <c r="A24" s="1"/>
      <c r="B24" s="3"/>
      <c r="C24" s="7"/>
      <c r="D24" s="7"/>
      <c r="E24" s="7"/>
      <c r="F24" s="7"/>
      <c r="G24" s="7"/>
      <c r="H24" s="7"/>
      <c r="I24" s="7"/>
      <c r="J24" s="7"/>
      <c r="K24" s="7"/>
      <c r="L24" s="7"/>
      <c r="M24" s="7"/>
      <c r="N24" s="7"/>
      <c r="O24" s="7"/>
      <c r="P24" s="7"/>
      <c r="Q24" s="7"/>
      <c r="R24" s="7"/>
      <c r="S24" s="7"/>
      <c r="T24" s="7"/>
      <c r="U24" s="7"/>
      <c r="V24" s="7"/>
      <c r="W24" s="7"/>
      <c r="X24" s="7"/>
      <c r="Y24" s="7"/>
      <c r="Z24" s="7"/>
    </row>
    <row r="25" spans="1:26" ht="15.75" customHeight="1" x14ac:dyDescent="0.25">
      <c r="A25" s="1"/>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x14ac:dyDescent="0.25">
      <c r="A26" s="1"/>
      <c r="B26" s="3"/>
      <c r="C26" s="3"/>
      <c r="D26" s="3"/>
      <c r="E26" s="3"/>
      <c r="F26" s="3"/>
      <c r="G26" s="3"/>
      <c r="H26" s="3"/>
      <c r="I26" s="3"/>
      <c r="J26" s="3"/>
      <c r="K26" s="3"/>
      <c r="L26" s="3"/>
      <c r="M26" s="3"/>
      <c r="N26" s="3"/>
      <c r="O26" s="3"/>
      <c r="P26" s="3"/>
      <c r="Q26" s="3"/>
      <c r="R26" s="3"/>
      <c r="S26" s="3"/>
      <c r="T26" s="3"/>
      <c r="U26" s="3"/>
      <c r="V26" s="3"/>
      <c r="W26" s="3"/>
      <c r="X26" s="3"/>
      <c r="Y26" s="3"/>
      <c r="Z26" s="3"/>
    </row>
    <row r="27" spans="1:26" ht="15" customHeight="1" x14ac:dyDescent="0.25">
      <c r="A27" s="1" t="s">
        <v>321</v>
      </c>
      <c r="B27" s="3"/>
      <c r="G27" s="3"/>
      <c r="H27" s="3"/>
      <c r="I27" s="3"/>
      <c r="J27" s="3"/>
      <c r="K27" s="3"/>
      <c r="L27" s="3"/>
      <c r="M27" s="3"/>
      <c r="N27" s="3"/>
      <c r="O27" s="3"/>
      <c r="P27" s="3"/>
      <c r="Q27" s="3"/>
      <c r="R27" s="3"/>
      <c r="S27" s="3"/>
      <c r="T27" s="3"/>
      <c r="U27" s="3"/>
      <c r="V27" s="3"/>
      <c r="W27" s="3"/>
      <c r="X27" s="3"/>
      <c r="Y27" s="3"/>
      <c r="Z27" s="3"/>
    </row>
    <row r="28" spans="1:26" ht="15" customHeight="1" x14ac:dyDescent="0.25">
      <c r="A28" s="1" t="s">
        <v>322</v>
      </c>
      <c r="B28" s="3"/>
      <c r="G28" s="3"/>
      <c r="H28" s="3"/>
      <c r="I28" s="3"/>
      <c r="J28" s="3"/>
      <c r="K28" s="3"/>
      <c r="L28" s="3"/>
      <c r="M28" s="3"/>
      <c r="N28" s="3"/>
      <c r="O28" s="3"/>
      <c r="P28" s="3"/>
      <c r="Q28" s="3"/>
      <c r="R28" s="3"/>
      <c r="S28" s="3"/>
      <c r="T28" s="3"/>
      <c r="U28" s="3"/>
      <c r="V28" s="3"/>
      <c r="W28" s="3"/>
      <c r="X28" s="3"/>
      <c r="Y28" s="3"/>
      <c r="Z28" s="3"/>
    </row>
    <row r="29" spans="1:26" ht="15" customHeight="1" x14ac:dyDescent="0.25">
      <c r="A29" s="1" t="s">
        <v>323</v>
      </c>
      <c r="B29" s="3"/>
      <c r="G29" s="3"/>
      <c r="H29" s="3"/>
      <c r="I29" s="3"/>
      <c r="J29" s="3"/>
      <c r="K29" s="3"/>
      <c r="L29" s="3"/>
      <c r="M29" s="3"/>
      <c r="N29" s="3"/>
      <c r="O29" s="3"/>
      <c r="P29" s="3"/>
      <c r="Q29" s="3"/>
      <c r="R29" s="3"/>
      <c r="S29" s="3"/>
      <c r="T29" s="3"/>
      <c r="U29" s="3"/>
      <c r="V29" s="3"/>
      <c r="W29" s="3"/>
      <c r="X29" s="3"/>
      <c r="Y29" s="3"/>
      <c r="Z29" s="3"/>
    </row>
    <row r="30" spans="1:26" ht="15" customHeight="1" x14ac:dyDescent="0.25">
      <c r="A30" s="1" t="s">
        <v>324</v>
      </c>
      <c r="B30" s="3"/>
      <c r="G30" s="3"/>
      <c r="H30" s="3"/>
      <c r="I30" s="3"/>
      <c r="J30" s="3"/>
      <c r="K30" s="3"/>
      <c r="L30" s="3"/>
      <c r="M30" s="3"/>
      <c r="N30" s="3"/>
      <c r="O30" s="3"/>
      <c r="P30" s="3"/>
      <c r="Q30" s="3"/>
      <c r="R30" s="3"/>
      <c r="S30" s="3"/>
      <c r="T30" s="3"/>
      <c r="U30" s="3"/>
      <c r="V30" s="3"/>
      <c r="W30" s="3"/>
      <c r="X30" s="3"/>
      <c r="Y30" s="3"/>
      <c r="Z30" s="3"/>
    </row>
    <row r="31" spans="1:26" ht="15" customHeight="1" x14ac:dyDescent="0.25">
      <c r="A31" s="1" t="s">
        <v>325</v>
      </c>
      <c r="B31" s="3"/>
      <c r="G31" s="3"/>
      <c r="H31" s="3"/>
      <c r="I31" s="3"/>
      <c r="J31" s="3"/>
      <c r="K31" s="3"/>
      <c r="L31" s="3"/>
      <c r="M31" s="3"/>
      <c r="N31" s="3"/>
      <c r="O31" s="3"/>
      <c r="P31" s="3"/>
      <c r="Q31" s="3"/>
      <c r="R31" s="3"/>
      <c r="S31" s="3"/>
      <c r="T31" s="3"/>
      <c r="U31" s="3"/>
      <c r="V31" s="3"/>
      <c r="W31" s="3"/>
      <c r="X31" s="3"/>
      <c r="Y31" s="3"/>
      <c r="Z31" s="3"/>
    </row>
    <row r="32" spans="1:26" ht="15" customHeight="1" x14ac:dyDescent="0.25">
      <c r="A32" s="1" t="s">
        <v>326</v>
      </c>
      <c r="B32" s="3"/>
      <c r="G32" s="3"/>
      <c r="H32" s="3"/>
      <c r="I32" s="3"/>
      <c r="J32" s="3"/>
      <c r="K32" s="3"/>
      <c r="L32" s="3"/>
      <c r="M32" s="3"/>
      <c r="N32" s="3"/>
      <c r="O32" s="3"/>
      <c r="P32" s="3"/>
      <c r="Q32" s="3"/>
      <c r="R32" s="3"/>
      <c r="S32" s="3"/>
      <c r="T32" s="3"/>
      <c r="U32" s="3"/>
      <c r="V32" s="3"/>
      <c r="W32" s="3"/>
      <c r="X32" s="3"/>
      <c r="Y32" s="3"/>
      <c r="Z32" s="3"/>
    </row>
    <row r="33" spans="1:26" ht="15" customHeight="1" x14ac:dyDescent="0.25">
      <c r="A33" s="1" t="s">
        <v>327</v>
      </c>
      <c r="B33" s="3"/>
      <c r="G33" s="3"/>
      <c r="H33" s="3"/>
      <c r="I33" s="3"/>
      <c r="J33" s="3"/>
      <c r="K33" s="3"/>
      <c r="L33" s="3"/>
      <c r="M33" s="3"/>
      <c r="N33" s="3"/>
      <c r="O33" s="3"/>
      <c r="P33" s="3"/>
      <c r="Q33" s="3"/>
      <c r="R33" s="3"/>
      <c r="S33" s="3"/>
      <c r="T33" s="3"/>
      <c r="U33" s="3"/>
      <c r="V33" s="3"/>
      <c r="W33" s="3"/>
      <c r="X33" s="3"/>
      <c r="Y33" s="3"/>
      <c r="Z33" s="3"/>
    </row>
    <row r="34" spans="1:26" ht="15" customHeight="1" x14ac:dyDescent="0.25">
      <c r="A34" s="1" t="s">
        <v>328</v>
      </c>
      <c r="B34" s="3"/>
      <c r="G34" s="3"/>
      <c r="H34" s="3"/>
      <c r="I34" s="3"/>
      <c r="J34" s="3"/>
      <c r="K34" s="3"/>
      <c r="L34" s="3"/>
      <c r="M34" s="3"/>
      <c r="N34" s="3"/>
      <c r="O34" s="3"/>
      <c r="P34" s="3"/>
      <c r="Q34" s="3"/>
      <c r="R34" s="3"/>
      <c r="S34" s="3"/>
      <c r="T34" s="3"/>
      <c r="U34" s="3"/>
      <c r="V34" s="3"/>
      <c r="W34" s="3"/>
      <c r="X34" s="3"/>
      <c r="Y34" s="3"/>
      <c r="Z34" s="3"/>
    </row>
    <row r="35" spans="1:26" ht="15" customHeight="1" x14ac:dyDescent="0.25">
      <c r="A35" s="1" t="s">
        <v>329</v>
      </c>
      <c r="B35" s="3"/>
      <c r="G35" s="3"/>
      <c r="H35" s="3"/>
      <c r="I35" s="3"/>
      <c r="J35" s="3"/>
      <c r="K35" s="3"/>
      <c r="L35" s="3"/>
      <c r="M35" s="3"/>
      <c r="N35" s="3"/>
      <c r="O35" s="3"/>
      <c r="P35" s="3"/>
      <c r="Q35" s="3"/>
      <c r="R35" s="3"/>
      <c r="S35" s="3"/>
      <c r="T35" s="3"/>
      <c r="U35" s="3"/>
      <c r="V35" s="3"/>
      <c r="W35" s="3"/>
      <c r="X35" s="3"/>
      <c r="Y35" s="3"/>
      <c r="Z35" s="3"/>
    </row>
    <row r="36" spans="1:26" ht="15" customHeight="1" x14ac:dyDescent="0.25">
      <c r="A36" s="1"/>
      <c r="B36" s="3"/>
      <c r="G36" s="3"/>
      <c r="H36" s="3"/>
      <c r="I36" s="3"/>
      <c r="J36" s="3"/>
      <c r="K36" s="3"/>
      <c r="L36" s="3"/>
      <c r="M36" s="3"/>
      <c r="N36" s="3"/>
      <c r="O36" s="3"/>
      <c r="P36" s="3"/>
      <c r="Q36" s="3"/>
      <c r="R36" s="3"/>
      <c r="S36" s="3"/>
      <c r="T36" s="3"/>
      <c r="U36" s="3"/>
      <c r="V36" s="3"/>
      <c r="W36" s="3"/>
      <c r="X36" s="3"/>
      <c r="Y36" s="3"/>
      <c r="Z36" s="3"/>
    </row>
    <row r="37" spans="1:26" ht="15" customHeight="1" x14ac:dyDescent="0.25">
      <c r="A37" s="1"/>
      <c r="B37" s="3"/>
      <c r="G37" s="3"/>
      <c r="H37" s="3"/>
      <c r="I37" s="3"/>
      <c r="J37" s="3"/>
      <c r="K37" s="3"/>
      <c r="L37" s="3"/>
      <c r="M37" s="3"/>
      <c r="N37" s="3"/>
      <c r="O37" s="3"/>
      <c r="P37" s="3"/>
      <c r="Q37" s="3"/>
      <c r="R37" s="3"/>
      <c r="S37" s="3"/>
      <c r="T37" s="3"/>
      <c r="U37" s="3"/>
      <c r="V37" s="3"/>
      <c r="W37" s="3"/>
      <c r="X37" s="3"/>
      <c r="Y37" s="3"/>
      <c r="Z37" s="3"/>
    </row>
    <row r="38" spans="1:26" ht="15" customHeight="1" x14ac:dyDescent="0.25">
      <c r="A38" s="1"/>
      <c r="B38" s="3"/>
      <c r="G38" s="3"/>
      <c r="H38" s="3"/>
      <c r="I38" s="3"/>
      <c r="J38" s="3"/>
      <c r="K38" s="3"/>
      <c r="L38" s="3"/>
      <c r="M38" s="3"/>
      <c r="N38" s="3"/>
      <c r="O38" s="3"/>
      <c r="P38" s="3"/>
      <c r="Q38" s="3"/>
      <c r="R38" s="3"/>
      <c r="S38" s="3"/>
      <c r="T38" s="3"/>
      <c r="U38" s="3"/>
      <c r="V38" s="3"/>
      <c r="W38" s="3"/>
      <c r="X38" s="3"/>
      <c r="Y38" s="3"/>
      <c r="Z38" s="3"/>
    </row>
    <row r="39" spans="1:26" ht="15" customHeight="1" x14ac:dyDescent="0.25">
      <c r="A39" s="1"/>
      <c r="B39" s="3"/>
      <c r="G39" s="3"/>
      <c r="H39" s="3"/>
      <c r="I39" s="3"/>
      <c r="J39" s="3"/>
      <c r="K39" s="3"/>
      <c r="L39" s="3"/>
      <c r="M39" s="3"/>
      <c r="N39" s="3"/>
      <c r="O39" s="3"/>
      <c r="P39" s="3"/>
      <c r="Q39" s="3"/>
      <c r="R39" s="3"/>
      <c r="S39" s="3"/>
      <c r="T39" s="3"/>
      <c r="U39" s="3"/>
      <c r="V39" s="3"/>
      <c r="W39" s="3"/>
      <c r="X39" s="3"/>
      <c r="Y39" s="3"/>
      <c r="Z39" s="3"/>
    </row>
    <row r="40" spans="1:26" ht="15" customHeight="1" x14ac:dyDescent="0.25">
      <c r="A40" s="1"/>
      <c r="B40" s="3"/>
      <c r="G40" s="3"/>
      <c r="H40" s="3"/>
      <c r="I40" s="3"/>
      <c r="J40" s="3"/>
      <c r="K40" s="3"/>
      <c r="L40" s="3"/>
      <c r="M40" s="3"/>
      <c r="N40" s="3"/>
      <c r="O40" s="3"/>
      <c r="P40" s="3"/>
      <c r="Q40" s="3"/>
      <c r="R40" s="3"/>
      <c r="S40" s="3"/>
      <c r="T40" s="3"/>
      <c r="U40" s="3"/>
      <c r="V40" s="3"/>
      <c r="W40" s="3"/>
      <c r="X40" s="3"/>
      <c r="Y40" s="3"/>
      <c r="Z40" s="3"/>
    </row>
    <row r="41" spans="1:26" ht="15" customHeight="1" x14ac:dyDescent="0.25">
      <c r="A41" s="1"/>
      <c r="B41" s="3"/>
      <c r="G41" s="3"/>
      <c r="H41" s="3"/>
      <c r="I41" s="3"/>
      <c r="J41" s="3"/>
      <c r="K41" s="3"/>
      <c r="L41" s="3"/>
      <c r="M41" s="3"/>
      <c r="N41" s="3"/>
      <c r="O41" s="3"/>
      <c r="P41" s="3"/>
      <c r="Q41" s="3"/>
      <c r="R41" s="3"/>
      <c r="S41" s="3"/>
      <c r="T41" s="3"/>
      <c r="U41" s="3"/>
      <c r="V41" s="3"/>
      <c r="W41" s="3"/>
      <c r="X41" s="3"/>
      <c r="Y41" s="3"/>
      <c r="Z41" s="3"/>
    </row>
    <row r="42" spans="1:26" ht="15" customHeight="1" x14ac:dyDescent="0.25">
      <c r="A42" s="1"/>
      <c r="B42" s="3"/>
      <c r="G42" s="3"/>
      <c r="H42" s="3"/>
      <c r="I42" s="3"/>
      <c r="J42" s="3"/>
      <c r="K42" s="3"/>
      <c r="L42" s="3"/>
      <c r="M42" s="3"/>
      <c r="N42" s="3"/>
      <c r="O42" s="3"/>
      <c r="P42" s="3"/>
      <c r="Q42" s="3"/>
      <c r="R42" s="3"/>
      <c r="S42" s="3"/>
      <c r="T42" s="3"/>
      <c r="U42" s="3"/>
      <c r="V42" s="3"/>
      <c r="W42" s="3"/>
      <c r="X42" s="3"/>
      <c r="Y42" s="3"/>
      <c r="Z42" s="3"/>
    </row>
    <row r="43" spans="1:26" ht="15" customHeight="1" x14ac:dyDescent="0.25">
      <c r="A43" s="1"/>
      <c r="B43" s="3"/>
      <c r="G43" s="3"/>
      <c r="H43" s="3"/>
      <c r="I43" s="3"/>
      <c r="J43" s="3"/>
      <c r="K43" s="3"/>
      <c r="L43" s="3"/>
      <c r="M43" s="3"/>
      <c r="N43" s="3"/>
      <c r="O43" s="3"/>
      <c r="P43" s="3"/>
      <c r="Q43" s="3"/>
      <c r="R43" s="3"/>
      <c r="S43" s="3"/>
      <c r="T43" s="3"/>
      <c r="U43" s="3"/>
      <c r="V43" s="3"/>
      <c r="W43" s="3"/>
      <c r="X43" s="3"/>
      <c r="Y43" s="3"/>
      <c r="Z43" s="3"/>
    </row>
    <row r="44" spans="1:26" ht="15" customHeight="1" x14ac:dyDescent="0.25">
      <c r="A44" s="1"/>
      <c r="B44" s="3"/>
      <c r="G44" s="3"/>
      <c r="H44" s="3"/>
      <c r="I44" s="3"/>
      <c r="J44" s="3"/>
      <c r="K44" s="3"/>
      <c r="L44" s="3"/>
      <c r="M44" s="3"/>
      <c r="N44" s="3"/>
      <c r="O44" s="3"/>
      <c r="P44" s="3"/>
      <c r="Q44" s="3"/>
      <c r="R44" s="3"/>
      <c r="S44" s="3"/>
      <c r="T44" s="3"/>
      <c r="U44" s="3"/>
      <c r="V44" s="3"/>
      <c r="W44" s="3"/>
      <c r="X44" s="3"/>
      <c r="Y44" s="3"/>
      <c r="Z44" s="3"/>
    </row>
    <row r="45" spans="1:26" ht="15" customHeight="1" x14ac:dyDescent="0.25">
      <c r="A45" s="1"/>
      <c r="B45" s="3"/>
      <c r="G45" s="3"/>
      <c r="H45" s="3"/>
      <c r="I45" s="3"/>
      <c r="J45" s="3"/>
      <c r="K45" s="3"/>
      <c r="L45" s="3"/>
      <c r="M45" s="3"/>
      <c r="N45" s="3"/>
      <c r="O45" s="3"/>
      <c r="P45" s="3"/>
      <c r="Q45" s="3"/>
      <c r="R45" s="3"/>
      <c r="S45" s="3"/>
      <c r="T45" s="3"/>
      <c r="U45" s="3"/>
      <c r="V45" s="3"/>
      <c r="W45" s="3"/>
      <c r="X45" s="3"/>
      <c r="Y45" s="3"/>
      <c r="Z45" s="3"/>
    </row>
    <row r="46" spans="1:26" ht="15" customHeight="1" x14ac:dyDescent="0.25">
      <c r="A46" s="1"/>
      <c r="B46" s="3"/>
      <c r="G46" s="3"/>
      <c r="H46" s="3"/>
      <c r="I46" s="3"/>
      <c r="J46" s="3"/>
      <c r="K46" s="3"/>
      <c r="L46" s="3"/>
      <c r="M46" s="3"/>
      <c r="N46" s="3"/>
      <c r="O46" s="3"/>
      <c r="P46" s="3"/>
      <c r="Q46" s="3"/>
      <c r="R46" s="3"/>
      <c r="S46" s="3"/>
      <c r="T46" s="3"/>
      <c r="U46" s="3"/>
      <c r="V46" s="3"/>
      <c r="W46" s="3"/>
      <c r="X46" s="3"/>
      <c r="Y46" s="3"/>
      <c r="Z46" s="3"/>
    </row>
    <row r="47" spans="1:26" ht="15" customHeight="1" x14ac:dyDescent="0.25">
      <c r="A47" s="1"/>
      <c r="B47" s="3"/>
      <c r="G47" s="3"/>
      <c r="H47" s="3"/>
      <c r="I47" s="3"/>
      <c r="J47" s="3"/>
      <c r="K47" s="3"/>
      <c r="L47" s="3"/>
      <c r="M47" s="3"/>
      <c r="N47" s="3"/>
      <c r="O47" s="3"/>
      <c r="P47" s="3"/>
      <c r="Q47" s="3"/>
      <c r="R47" s="3"/>
      <c r="S47" s="3"/>
      <c r="T47" s="3"/>
      <c r="U47" s="3"/>
      <c r="V47" s="3"/>
      <c r="W47" s="3"/>
      <c r="X47" s="3"/>
      <c r="Y47" s="3"/>
      <c r="Z47" s="3"/>
    </row>
    <row r="48" spans="1:26" ht="15" customHeight="1" x14ac:dyDescent="0.25">
      <c r="A48" s="1"/>
      <c r="B48" s="3"/>
      <c r="G48" s="3"/>
      <c r="H48" s="3"/>
      <c r="I48" s="3"/>
      <c r="J48" s="3"/>
      <c r="K48" s="3"/>
      <c r="L48" s="3"/>
      <c r="M48" s="3"/>
      <c r="N48" s="3"/>
      <c r="O48" s="3"/>
      <c r="P48" s="3"/>
      <c r="Q48" s="3"/>
      <c r="R48" s="3"/>
      <c r="S48" s="3"/>
      <c r="T48" s="3"/>
      <c r="U48" s="3"/>
      <c r="V48" s="3"/>
      <c r="W48" s="3"/>
      <c r="X48" s="3"/>
      <c r="Y48" s="3"/>
      <c r="Z48" s="3"/>
    </row>
    <row r="49" spans="1:26" ht="15" customHeight="1" x14ac:dyDescent="0.25">
      <c r="A49" s="1"/>
      <c r="B49" s="3"/>
      <c r="G49" s="3"/>
      <c r="H49" s="3"/>
      <c r="I49" s="3"/>
      <c r="J49" s="3"/>
      <c r="K49" s="3"/>
      <c r="L49" s="3"/>
      <c r="M49" s="3"/>
      <c r="N49" s="3"/>
      <c r="O49" s="3"/>
      <c r="P49" s="3"/>
      <c r="Q49" s="3"/>
      <c r="R49" s="3"/>
      <c r="S49" s="3"/>
      <c r="T49" s="3"/>
      <c r="U49" s="3"/>
      <c r="V49" s="3"/>
      <c r="W49" s="3"/>
      <c r="X49" s="3"/>
      <c r="Y49" s="3"/>
      <c r="Z49" s="3"/>
    </row>
    <row r="50" spans="1:26" ht="15" customHeight="1" x14ac:dyDescent="0.25">
      <c r="A50" s="1"/>
      <c r="B50" s="3"/>
      <c r="G50" s="3"/>
      <c r="H50" s="3"/>
      <c r="I50" s="3"/>
      <c r="J50" s="3"/>
      <c r="K50" s="3"/>
      <c r="L50" s="3"/>
      <c r="M50" s="3"/>
      <c r="N50" s="3"/>
      <c r="O50" s="3"/>
      <c r="P50" s="3"/>
      <c r="Q50" s="3"/>
      <c r="R50" s="3"/>
      <c r="S50" s="3"/>
      <c r="T50" s="3"/>
      <c r="U50" s="3"/>
      <c r="V50" s="3"/>
      <c r="W50" s="3"/>
      <c r="X50" s="3"/>
      <c r="Y50" s="3"/>
      <c r="Z50" s="3"/>
    </row>
    <row r="51" spans="1:26" ht="15" customHeight="1" x14ac:dyDescent="0.25">
      <c r="A51" s="1"/>
      <c r="B51" s="3"/>
      <c r="G51" s="3"/>
      <c r="H51" s="3"/>
      <c r="I51" s="3"/>
      <c r="J51" s="3"/>
      <c r="K51" s="3"/>
      <c r="L51" s="3"/>
      <c r="M51" s="3"/>
      <c r="N51" s="3"/>
      <c r="O51" s="3"/>
      <c r="P51" s="3"/>
      <c r="Q51" s="3"/>
      <c r="R51" s="3"/>
      <c r="S51" s="3"/>
      <c r="T51" s="3"/>
      <c r="U51" s="3"/>
      <c r="V51" s="3"/>
      <c r="W51" s="3"/>
      <c r="X51" s="3"/>
      <c r="Y51" s="3"/>
      <c r="Z51" s="3"/>
    </row>
    <row r="52" spans="1:26" ht="15" customHeight="1" x14ac:dyDescent="0.25">
      <c r="A52" s="1" t="s">
        <v>330</v>
      </c>
      <c r="B52" s="3"/>
      <c r="G52" s="3"/>
      <c r="H52" s="3"/>
      <c r="I52" s="3"/>
      <c r="J52" s="3"/>
      <c r="K52" s="3"/>
      <c r="L52" s="3"/>
      <c r="M52" s="3"/>
      <c r="N52" s="3"/>
      <c r="O52" s="3"/>
      <c r="P52" s="3"/>
      <c r="Q52" s="3"/>
      <c r="R52" s="3"/>
      <c r="S52" s="3"/>
      <c r="T52" s="3"/>
      <c r="U52" s="3"/>
      <c r="V52" s="3"/>
      <c r="W52" s="3"/>
      <c r="X52" s="3"/>
      <c r="Y52" s="3"/>
      <c r="Z52" s="3"/>
    </row>
    <row r="53" spans="1:26" ht="15" customHeight="1" x14ac:dyDescent="0.25">
      <c r="A53" s="1" t="s">
        <v>331</v>
      </c>
      <c r="B53" s="3"/>
      <c r="G53" s="3"/>
      <c r="H53" s="3"/>
      <c r="I53" s="3"/>
      <c r="J53" s="3"/>
      <c r="K53" s="3"/>
      <c r="L53" s="3"/>
      <c r="M53" s="3"/>
      <c r="N53" s="3"/>
      <c r="O53" s="3"/>
      <c r="P53" s="3"/>
      <c r="Q53" s="3"/>
      <c r="R53" s="3"/>
      <c r="S53" s="3"/>
      <c r="T53" s="3"/>
      <c r="U53" s="3"/>
      <c r="V53" s="3"/>
      <c r="W53" s="3"/>
      <c r="X53" s="3"/>
      <c r="Y53" s="3"/>
      <c r="Z53" s="3"/>
    </row>
    <row r="54" spans="1:26" ht="15" customHeight="1" x14ac:dyDescent="0.25">
      <c r="A54" s="1" t="s">
        <v>332</v>
      </c>
      <c r="B54" s="3"/>
      <c r="G54" s="3"/>
      <c r="H54" s="3"/>
      <c r="I54" s="3"/>
      <c r="J54" s="3"/>
      <c r="K54" s="3"/>
      <c r="L54" s="3"/>
      <c r="M54" s="3"/>
      <c r="N54" s="3"/>
      <c r="O54" s="3"/>
      <c r="P54" s="3"/>
      <c r="Q54" s="3"/>
      <c r="R54" s="3"/>
      <c r="S54" s="3"/>
      <c r="T54" s="3"/>
      <c r="U54" s="3"/>
      <c r="V54" s="3"/>
      <c r="W54" s="3"/>
      <c r="X54" s="3"/>
      <c r="Y54" s="3"/>
      <c r="Z54" s="3"/>
    </row>
    <row r="55" spans="1:26" ht="15" customHeight="1" x14ac:dyDescent="0.25">
      <c r="A55" s="1" t="s">
        <v>333</v>
      </c>
      <c r="B55" s="3"/>
      <c r="C55" s="3"/>
      <c r="D55" s="3"/>
      <c r="E55" s="3"/>
      <c r="F55" s="3"/>
      <c r="G55" s="3"/>
      <c r="H55" s="3"/>
      <c r="I55" s="3"/>
      <c r="J55" s="3"/>
      <c r="K55" s="3"/>
      <c r="L55" s="3"/>
      <c r="M55" s="3"/>
      <c r="N55" s="3"/>
      <c r="O55" s="3"/>
      <c r="P55" s="3"/>
      <c r="Q55" s="3"/>
      <c r="R55" s="3"/>
      <c r="S55" s="3"/>
      <c r="T55" s="3"/>
      <c r="U55" s="3"/>
      <c r="V55" s="3"/>
      <c r="W55" s="3"/>
      <c r="X55" s="3"/>
      <c r="Y55" s="3"/>
      <c r="Z55" s="3"/>
    </row>
    <row r="56" spans="1:26" ht="15" customHeight="1" x14ac:dyDescent="0.25">
      <c r="A56" s="12" t="s">
        <v>334</v>
      </c>
      <c r="B56" s="3"/>
      <c r="C56" s="3"/>
      <c r="D56" s="3"/>
      <c r="E56" s="3"/>
      <c r="F56" s="3"/>
      <c r="G56" s="3"/>
      <c r="H56" s="3"/>
      <c r="I56" s="3"/>
      <c r="J56" s="3"/>
      <c r="K56" s="3"/>
      <c r="L56" s="3"/>
      <c r="M56" s="3"/>
      <c r="N56" s="3"/>
      <c r="O56" s="3"/>
      <c r="P56" s="3"/>
      <c r="Q56" s="3"/>
      <c r="R56" s="3"/>
      <c r="S56" s="3"/>
      <c r="T56" s="3"/>
      <c r="U56" s="3"/>
      <c r="V56" s="3"/>
      <c r="W56" s="3"/>
      <c r="X56" s="3"/>
      <c r="Y56" s="3"/>
      <c r="Z56" s="3"/>
    </row>
    <row r="57" spans="1:26" ht="15" customHeight="1" x14ac:dyDescent="0.25">
      <c r="A57" s="1" t="s">
        <v>307</v>
      </c>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x14ac:dyDescent="0.25">
      <c r="A58" s="1"/>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x14ac:dyDescent="0.25">
      <c r="A59" s="1"/>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x14ac:dyDescent="0.25">
      <c r="A60" s="1"/>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x14ac:dyDescent="0.25">
      <c r="A61" s="1"/>
      <c r="B61" s="3"/>
      <c r="C61" s="3"/>
      <c r="D61" s="3"/>
      <c r="E61" s="3"/>
      <c r="F61" s="3"/>
      <c r="G61" s="3"/>
      <c r="H61" s="3"/>
      <c r="I61" s="3"/>
      <c r="J61" s="3"/>
      <c r="K61" s="3"/>
      <c r="L61" s="3"/>
      <c r="M61" s="3"/>
      <c r="N61" s="3"/>
      <c r="O61" s="3"/>
      <c r="P61" s="3"/>
      <c r="Q61" s="3"/>
      <c r="R61" s="3"/>
      <c r="S61" s="3"/>
      <c r="T61" s="3"/>
      <c r="U61" s="3"/>
      <c r="V61" s="3"/>
      <c r="W61" s="3"/>
      <c r="X61" s="3"/>
      <c r="Y61" s="3"/>
      <c r="Z61" s="3"/>
    </row>
    <row r="62" spans="1:26" ht="15" customHeight="1" x14ac:dyDescent="0.25">
      <c r="A62" s="1"/>
      <c r="B62" s="3"/>
      <c r="C62" s="3"/>
      <c r="D62" s="3"/>
      <c r="E62" s="3"/>
      <c r="G62" s="3"/>
      <c r="H62" s="3"/>
      <c r="I62" s="3"/>
      <c r="J62" s="3"/>
      <c r="K62" s="3"/>
      <c r="L62" s="3"/>
      <c r="M62" s="3"/>
      <c r="N62" s="3"/>
      <c r="O62" s="3"/>
      <c r="P62" s="3"/>
      <c r="Q62" s="3"/>
      <c r="R62" s="3"/>
      <c r="S62" s="3"/>
      <c r="T62" s="3"/>
      <c r="U62" s="3"/>
      <c r="V62" s="3"/>
      <c r="W62" s="3"/>
      <c r="X62" s="3"/>
      <c r="Y62" s="3"/>
      <c r="Z62" s="3"/>
    </row>
    <row r="63" spans="1:26" ht="15" customHeight="1" x14ac:dyDescent="0.25">
      <c r="A63" s="1"/>
      <c r="B63" s="3"/>
      <c r="G63" s="3"/>
      <c r="H63" s="3"/>
      <c r="I63" s="3"/>
      <c r="J63" s="3"/>
      <c r="K63" s="3"/>
      <c r="L63" s="3"/>
      <c r="M63" s="3"/>
      <c r="N63" s="3"/>
      <c r="O63" s="3"/>
      <c r="P63" s="3"/>
      <c r="Q63" s="3"/>
      <c r="R63" s="3"/>
      <c r="S63" s="3"/>
      <c r="T63" s="3"/>
      <c r="U63" s="3"/>
      <c r="V63" s="3"/>
      <c r="W63" s="3"/>
      <c r="X63" s="3"/>
      <c r="Y63" s="3"/>
      <c r="Z63" s="3"/>
    </row>
    <row r="64" spans="1:26" ht="15" customHeight="1" x14ac:dyDescent="0.25">
      <c r="A64" s="1"/>
      <c r="B64" s="3"/>
      <c r="G64" s="3"/>
      <c r="H64" s="3"/>
      <c r="I64" s="3"/>
      <c r="J64" s="3"/>
      <c r="K64" s="3"/>
      <c r="L64" s="3"/>
      <c r="M64" s="3"/>
      <c r="N64" s="3"/>
      <c r="O64" s="3"/>
      <c r="P64" s="3"/>
      <c r="Q64" s="3"/>
      <c r="R64" s="3"/>
      <c r="S64" s="3"/>
      <c r="T64" s="3"/>
      <c r="U64" s="3"/>
      <c r="V64" s="3"/>
      <c r="W64" s="3"/>
      <c r="X64" s="3"/>
      <c r="Y64" s="3"/>
      <c r="Z64" s="3"/>
    </row>
    <row r="65" spans="1:26" ht="15.75" customHeight="1" x14ac:dyDescent="0.25">
      <c r="A65" s="1"/>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x14ac:dyDescent="0.25">
      <c r="A66" s="1"/>
      <c r="B66" s="3"/>
      <c r="C66" s="3"/>
      <c r="D66" s="3"/>
      <c r="E66" s="3"/>
      <c r="F66" s="3"/>
      <c r="G66" s="3"/>
      <c r="H66" s="3"/>
      <c r="I66" s="3"/>
      <c r="J66" s="3"/>
      <c r="K66" s="3"/>
      <c r="L66" s="3"/>
      <c r="M66" s="3"/>
      <c r="N66" s="3"/>
      <c r="O66" s="3"/>
      <c r="P66" s="3"/>
      <c r="Q66" s="3"/>
      <c r="R66" s="3"/>
      <c r="S66" s="3"/>
      <c r="T66" s="3"/>
      <c r="U66" s="3"/>
      <c r="V66" s="3"/>
      <c r="W66" s="3"/>
      <c r="X66" s="3"/>
      <c r="Y66" s="3"/>
      <c r="Z66" s="3"/>
    </row>
    <row r="67" spans="1:26" ht="15" customHeight="1" x14ac:dyDescent="0.25">
      <c r="A67" s="1"/>
      <c r="B67" s="3"/>
      <c r="C67" s="3"/>
      <c r="D67" s="5" t="s">
        <v>335</v>
      </c>
      <c r="E67" s="5" t="s">
        <v>316</v>
      </c>
      <c r="F67" s="5" t="s">
        <v>336</v>
      </c>
      <c r="G67" s="3"/>
      <c r="H67" s="3"/>
      <c r="I67" s="3"/>
      <c r="J67" s="3"/>
      <c r="K67" s="3"/>
      <c r="L67" s="3"/>
      <c r="M67" s="3"/>
      <c r="N67" s="3"/>
      <c r="O67" s="3"/>
      <c r="P67" s="3"/>
      <c r="Q67" s="3"/>
      <c r="R67" s="3"/>
      <c r="S67" s="3"/>
      <c r="T67" s="3"/>
      <c r="U67" s="3"/>
      <c r="V67" s="3"/>
      <c r="W67" s="3"/>
      <c r="X67" s="3"/>
      <c r="Y67" s="3"/>
      <c r="Z67" s="3"/>
    </row>
    <row r="68" spans="1:26" ht="15" customHeight="1" x14ac:dyDescent="0.25">
      <c r="A68" s="1" t="s">
        <v>62</v>
      </c>
      <c r="B68" s="3"/>
      <c r="C68" s="3"/>
      <c r="D68" s="3">
        <f ca="1">YEAR(TODAY())-5</f>
        <v>2018</v>
      </c>
      <c r="E68" s="6">
        <v>500</v>
      </c>
      <c r="F68" s="23">
        <v>5000</v>
      </c>
      <c r="G68" s="3"/>
      <c r="H68" s="3"/>
      <c r="I68" s="3"/>
      <c r="J68" s="3"/>
      <c r="K68" s="3"/>
      <c r="L68" s="3"/>
      <c r="M68" s="3"/>
      <c r="N68" s="3"/>
      <c r="O68" s="3"/>
      <c r="P68" s="3"/>
      <c r="Q68" s="3"/>
      <c r="R68" s="3"/>
      <c r="S68" s="3"/>
      <c r="T68" s="3"/>
      <c r="U68" s="3"/>
      <c r="V68" s="3"/>
      <c r="W68" s="3"/>
      <c r="X68" s="3"/>
      <c r="Y68" s="3"/>
      <c r="Z68" s="3"/>
    </row>
    <row r="69" spans="1:26" ht="15" customHeight="1" x14ac:dyDescent="0.25">
      <c r="A69" s="11" t="s">
        <v>337</v>
      </c>
      <c r="B69" s="3"/>
      <c r="D69" s="3">
        <f ca="1">YEAR(TODAY())-4</f>
        <v>2019</v>
      </c>
      <c r="E69" s="25">
        <v>800</v>
      </c>
      <c r="F69" s="24">
        <v>11200</v>
      </c>
      <c r="G69" s="3"/>
      <c r="H69" s="3"/>
      <c r="I69" s="3"/>
      <c r="J69" s="3"/>
      <c r="K69" s="3"/>
      <c r="L69" s="3"/>
      <c r="M69" s="3"/>
      <c r="N69" s="3"/>
      <c r="O69" s="3"/>
      <c r="P69" s="3"/>
      <c r="Q69" s="3"/>
      <c r="R69" s="3"/>
      <c r="S69" s="3"/>
      <c r="T69" s="3"/>
      <c r="U69" s="3"/>
      <c r="V69" s="3"/>
      <c r="W69" s="3"/>
      <c r="X69" s="3"/>
      <c r="Y69" s="3"/>
      <c r="Z69" s="3"/>
    </row>
    <row r="70" spans="1:26" ht="15" customHeight="1" x14ac:dyDescent="0.25">
      <c r="A70" s="11" t="s">
        <v>338</v>
      </c>
      <c r="B70" s="3"/>
      <c r="D70" s="3">
        <f ca="1">YEAR(TODAY())-3</f>
        <v>2020</v>
      </c>
      <c r="E70" s="6">
        <v>1000</v>
      </c>
      <c r="F70" s="23">
        <v>30000</v>
      </c>
      <c r="G70" s="3"/>
      <c r="H70" s="3"/>
      <c r="I70" s="3"/>
      <c r="J70" s="3"/>
      <c r="K70" s="3"/>
      <c r="L70" s="3"/>
      <c r="M70" s="3"/>
      <c r="N70" s="3"/>
      <c r="O70" s="3"/>
      <c r="P70" s="3"/>
      <c r="Q70" s="3"/>
      <c r="R70" s="3"/>
      <c r="S70" s="3"/>
      <c r="T70" s="3"/>
      <c r="U70" s="3"/>
      <c r="V70" s="3"/>
      <c r="W70" s="3"/>
      <c r="X70" s="3"/>
      <c r="Y70" s="3"/>
      <c r="Z70" s="3"/>
    </row>
    <row r="71" spans="1:26" ht="15" customHeight="1" x14ac:dyDescent="0.25">
      <c r="A71" s="11" t="s">
        <v>339</v>
      </c>
      <c r="B71" s="3"/>
      <c r="D71" s="3">
        <f ca="1">YEAR(TODAY())-2</f>
        <v>2021</v>
      </c>
      <c r="E71" s="25">
        <v>900</v>
      </c>
      <c r="F71" s="24">
        <v>25000</v>
      </c>
      <c r="G71" s="3"/>
      <c r="H71" s="3"/>
      <c r="I71" s="3"/>
      <c r="J71" s="3"/>
      <c r="K71" s="3"/>
      <c r="L71" s="3"/>
      <c r="M71" s="3"/>
      <c r="N71" s="3"/>
      <c r="O71" s="3"/>
      <c r="P71" s="3"/>
      <c r="Q71" s="3"/>
      <c r="R71" s="3"/>
      <c r="S71" s="3"/>
      <c r="T71" s="3"/>
      <c r="U71" s="3"/>
      <c r="V71" s="3"/>
      <c r="W71" s="3"/>
      <c r="X71" s="3"/>
      <c r="Y71" s="3"/>
      <c r="Z71" s="3"/>
    </row>
    <row r="72" spans="1:26" ht="15" customHeight="1" x14ac:dyDescent="0.25">
      <c r="A72" s="1" t="s">
        <v>67</v>
      </c>
      <c r="B72" s="3"/>
      <c r="D72" s="3">
        <f ca="1">YEAR(TODAY())-1</f>
        <v>2022</v>
      </c>
      <c r="E72" s="6">
        <v>1000</v>
      </c>
      <c r="F72" s="23">
        <v>5000</v>
      </c>
      <c r="G72" s="3"/>
      <c r="H72" s="3"/>
      <c r="I72" s="3"/>
      <c r="J72" s="3"/>
      <c r="K72" s="3"/>
      <c r="L72" s="3"/>
      <c r="M72" s="3"/>
      <c r="N72" s="3"/>
      <c r="O72" s="3"/>
      <c r="P72" s="3"/>
      <c r="Q72" s="3"/>
      <c r="R72" s="3"/>
      <c r="S72" s="3"/>
      <c r="T72" s="3"/>
      <c r="U72" s="3"/>
      <c r="V72" s="3"/>
      <c r="W72" s="3"/>
      <c r="X72" s="3"/>
      <c r="Y72" s="3"/>
      <c r="Z72" s="3"/>
    </row>
    <row r="73" spans="1:26" ht="15" customHeight="1" x14ac:dyDescent="0.25">
      <c r="A73" s="1"/>
      <c r="B73" s="3"/>
      <c r="D73" s="3">
        <f ca="1">YEAR(TODAY())</f>
        <v>2023</v>
      </c>
      <c r="E73" s="25">
        <v>1200</v>
      </c>
      <c r="F73" s="24">
        <v>8000</v>
      </c>
      <c r="G73" s="3"/>
      <c r="H73" s="3"/>
      <c r="I73" s="3"/>
      <c r="J73" s="3"/>
      <c r="K73" s="3"/>
      <c r="L73" s="3"/>
      <c r="M73" s="3"/>
      <c r="N73" s="3"/>
      <c r="O73" s="3"/>
      <c r="P73" s="3"/>
      <c r="Q73" s="3"/>
      <c r="R73" s="3"/>
      <c r="S73" s="3"/>
      <c r="T73" s="3"/>
      <c r="U73" s="3"/>
      <c r="V73" s="3"/>
      <c r="W73" s="3"/>
      <c r="X73" s="3"/>
      <c r="Y73" s="3"/>
      <c r="Z73" s="3"/>
    </row>
    <row r="74" spans="1:26" ht="15" customHeight="1" x14ac:dyDescent="0.25">
      <c r="A74" s="1"/>
      <c r="B74" s="3"/>
      <c r="G74" s="3"/>
      <c r="H74" s="3"/>
      <c r="I74" s="3"/>
      <c r="J74" s="3"/>
      <c r="K74" s="3"/>
      <c r="L74" s="3"/>
      <c r="M74" s="3"/>
      <c r="N74" s="3"/>
      <c r="O74" s="3"/>
      <c r="P74" s="3"/>
      <c r="Q74" s="3"/>
      <c r="R74" s="3"/>
      <c r="S74" s="3"/>
      <c r="T74" s="3"/>
      <c r="U74" s="3"/>
      <c r="V74" s="3"/>
      <c r="W74" s="3"/>
      <c r="X74" s="3"/>
      <c r="Y74" s="3"/>
      <c r="Z74" s="3"/>
    </row>
    <row r="75" spans="1:26" ht="15.75" customHeight="1" x14ac:dyDescent="0.25">
      <c r="A75" s="1"/>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x14ac:dyDescent="0.25">
      <c r="A76" s="1"/>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x14ac:dyDescent="0.25">
      <c r="A77" s="1"/>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x14ac:dyDescent="0.25">
      <c r="A78" s="1"/>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x14ac:dyDescent="0.25">
      <c r="A79" s="1"/>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x14ac:dyDescent="0.25">
      <c r="A80" s="1"/>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x14ac:dyDescent="0.25">
      <c r="A81" s="1"/>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x14ac:dyDescent="0.25">
      <c r="A82" s="1"/>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x14ac:dyDescent="0.25">
      <c r="A83" s="1"/>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x14ac:dyDescent="0.25">
      <c r="A84" s="1"/>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x14ac:dyDescent="0.25">
      <c r="A85" s="1"/>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x14ac:dyDescent="0.25">
      <c r="A86" s="1"/>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x14ac:dyDescent="0.25">
      <c r="A87" s="1"/>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x14ac:dyDescent="0.25">
      <c r="A88" s="1"/>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x14ac:dyDescent="0.25">
      <c r="A89" s="1"/>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x14ac:dyDescent="0.25">
      <c r="A90" s="1"/>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x14ac:dyDescent="0.25">
      <c r="A91" s="1"/>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x14ac:dyDescent="0.25">
      <c r="A92" s="1"/>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x14ac:dyDescent="0.25">
      <c r="A93" s="1"/>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x14ac:dyDescent="0.25">
      <c r="A94" s="1"/>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x14ac:dyDescent="0.25">
      <c r="A95" s="1"/>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x14ac:dyDescent="0.25">
      <c r="A96" s="1"/>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x14ac:dyDescent="0.25">
      <c r="A97" s="1"/>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x14ac:dyDescent="0.25">
      <c r="A98" s="1"/>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x14ac:dyDescent="0.25">
      <c r="A99" s="1"/>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x14ac:dyDescent="0.25">
      <c r="A100" s="1"/>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x14ac:dyDescent="0.25">
      <c r="A101" s="1"/>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x14ac:dyDescent="0.25">
      <c r="A102" s="1"/>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x14ac:dyDescent="0.25">
      <c r="A103" s="1"/>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x14ac:dyDescent="0.25">
      <c r="A104" s="1"/>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x14ac:dyDescent="0.25">
      <c r="A105" s="1"/>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x14ac:dyDescent="0.25">
      <c r="A106" s="1"/>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x14ac:dyDescent="0.25">
      <c r="A107" s="1"/>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x14ac:dyDescent="0.25">
      <c r="A108" s="1"/>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x14ac:dyDescent="0.25">
      <c r="A109" s="1"/>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x14ac:dyDescent="0.25">
      <c r="A110" s="1"/>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x14ac:dyDescent="0.25">
      <c r="A111" s="1"/>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x14ac:dyDescent="0.25">
      <c r="A112" s="1"/>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x14ac:dyDescent="0.25">
      <c r="A113" s="1"/>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x14ac:dyDescent="0.25">
      <c r="A114" s="1"/>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x14ac:dyDescent="0.25">
      <c r="A115" s="1"/>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x14ac:dyDescent="0.25">
      <c r="A116" s="1"/>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x14ac:dyDescent="0.25">
      <c r="A117" s="1"/>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x14ac:dyDescent="0.25">
      <c r="A118" s="1"/>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x14ac:dyDescent="0.25">
      <c r="A119" s="1"/>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x14ac:dyDescent="0.25">
      <c r="A120" s="1"/>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x14ac:dyDescent="0.25">
      <c r="A121" s="1"/>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x14ac:dyDescent="0.25">
      <c r="A122" s="1"/>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x14ac:dyDescent="0.25">
      <c r="A123" s="1"/>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x14ac:dyDescent="0.25">
      <c r="A124" s="1"/>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x14ac:dyDescent="0.25">
      <c r="A125" s="1"/>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x14ac:dyDescent="0.25">
      <c r="A126" s="1"/>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x14ac:dyDescent="0.25">
      <c r="A127" s="1"/>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x14ac:dyDescent="0.25">
      <c r="A128" s="1"/>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x14ac:dyDescent="0.25">
      <c r="A129" s="1"/>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x14ac:dyDescent="0.25">
      <c r="A130" s="1"/>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x14ac:dyDescent="0.25">
      <c r="A131" s="1"/>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x14ac:dyDescent="0.25">
      <c r="A132" s="1"/>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x14ac:dyDescent="0.25">
      <c r="A133" s="1"/>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x14ac:dyDescent="0.25">
      <c r="A134" s="1"/>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x14ac:dyDescent="0.25">
      <c r="A135" s="1"/>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x14ac:dyDescent="0.25">
      <c r="A136" s="1"/>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x14ac:dyDescent="0.25">
      <c r="A137" s="1"/>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x14ac:dyDescent="0.25">
      <c r="A138" s="1"/>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x14ac:dyDescent="0.25">
      <c r="A139" s="1"/>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x14ac:dyDescent="0.25">
      <c r="A140" s="1"/>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x14ac:dyDescent="0.25">
      <c r="A141" s="1"/>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x14ac:dyDescent="0.25">
      <c r="A142" s="1"/>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x14ac:dyDescent="0.25">
      <c r="A143" s="1"/>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x14ac:dyDescent="0.25">
      <c r="A144" s="1"/>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x14ac:dyDescent="0.25">
      <c r="A145" s="1"/>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x14ac:dyDescent="0.25">
      <c r="A146" s="1"/>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x14ac:dyDescent="0.25">
      <c r="A147" s="1"/>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x14ac:dyDescent="0.25">
      <c r="A148" s="1"/>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x14ac:dyDescent="0.25">
      <c r="A149" s="1"/>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x14ac:dyDescent="0.25">
      <c r="A150" s="1"/>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x14ac:dyDescent="0.25">
      <c r="A151" s="1"/>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x14ac:dyDescent="0.25">
      <c r="A152" s="1"/>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x14ac:dyDescent="0.25">
      <c r="A153" s="1"/>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x14ac:dyDescent="0.25">
      <c r="A154" s="1"/>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x14ac:dyDescent="0.25">
      <c r="A155" s="1"/>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x14ac:dyDescent="0.25">
      <c r="A156" s="1"/>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x14ac:dyDescent="0.25">
      <c r="A157" s="1"/>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x14ac:dyDescent="0.25">
      <c r="A158" s="1"/>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x14ac:dyDescent="0.25">
      <c r="A159" s="1"/>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x14ac:dyDescent="0.25">
      <c r="A160" s="1"/>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x14ac:dyDescent="0.25">
      <c r="A161" s="1"/>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x14ac:dyDescent="0.25">
      <c r="A162" s="1"/>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x14ac:dyDescent="0.25">
      <c r="A163" s="1"/>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x14ac:dyDescent="0.25">
      <c r="A164" s="1"/>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x14ac:dyDescent="0.25">
      <c r="A165" s="1"/>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x14ac:dyDescent="0.25">
      <c r="A166" s="1"/>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x14ac:dyDescent="0.25">
      <c r="A167" s="1"/>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x14ac:dyDescent="0.25">
      <c r="A168" s="1"/>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x14ac:dyDescent="0.25">
      <c r="A169" s="1"/>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x14ac:dyDescent="0.25">
      <c r="A170" s="1"/>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x14ac:dyDescent="0.25">
      <c r="A171" s="1"/>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x14ac:dyDescent="0.25">
      <c r="A172" s="1"/>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x14ac:dyDescent="0.25">
      <c r="A173" s="1"/>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x14ac:dyDescent="0.25">
      <c r="A174" s="1"/>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x14ac:dyDescent="0.25">
      <c r="A175" s="1"/>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x14ac:dyDescent="0.25">
      <c r="A176" s="1"/>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x14ac:dyDescent="0.25">
      <c r="A177" s="1"/>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x14ac:dyDescent="0.25">
      <c r="A178" s="1"/>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x14ac:dyDescent="0.25">
      <c r="A179" s="1"/>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x14ac:dyDescent="0.25">
      <c r="A180" s="1"/>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x14ac:dyDescent="0.25">
      <c r="A181" s="1"/>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x14ac:dyDescent="0.25">
      <c r="A182" s="1"/>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x14ac:dyDescent="0.25">
      <c r="A183" s="1"/>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x14ac:dyDescent="0.25">
      <c r="A184" s="1"/>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x14ac:dyDescent="0.25">
      <c r="A185" s="1"/>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x14ac:dyDescent="0.25">
      <c r="A186" s="1"/>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x14ac:dyDescent="0.25">
      <c r="A187" s="1"/>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x14ac:dyDescent="0.25">
      <c r="A188" s="1"/>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x14ac:dyDescent="0.25">
      <c r="A189" s="1"/>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x14ac:dyDescent="0.25">
      <c r="A190" s="1"/>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x14ac:dyDescent="0.25">
      <c r="A191" s="1"/>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x14ac:dyDescent="0.25">
      <c r="A192" s="1"/>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x14ac:dyDescent="0.25">
      <c r="A193" s="1"/>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x14ac:dyDescent="0.25">
      <c r="A194" s="1"/>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x14ac:dyDescent="0.25">
      <c r="A195" s="1"/>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x14ac:dyDescent="0.25">
      <c r="A196" s="1"/>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x14ac:dyDescent="0.25">
      <c r="A197" s="1"/>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x14ac:dyDescent="0.25">
      <c r="A198" s="1"/>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x14ac:dyDescent="0.25">
      <c r="A199" s="1"/>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x14ac:dyDescent="0.25">
      <c r="A200" s="1"/>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x14ac:dyDescent="0.25">
      <c r="A201" s="1"/>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x14ac:dyDescent="0.25">
      <c r="A202" s="1"/>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x14ac:dyDescent="0.25">
      <c r="A203" s="1"/>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x14ac:dyDescent="0.25">
      <c r="A204" s="1"/>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x14ac:dyDescent="0.25">
      <c r="A205" s="1"/>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x14ac:dyDescent="0.25">
      <c r="A206" s="1"/>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x14ac:dyDescent="0.25">
      <c r="A207" s="1"/>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x14ac:dyDescent="0.25">
      <c r="A208" s="1"/>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x14ac:dyDescent="0.25">
      <c r="A209" s="1"/>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x14ac:dyDescent="0.25">
      <c r="A210" s="1"/>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x14ac:dyDescent="0.25">
      <c r="A211" s="1"/>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x14ac:dyDescent="0.25">
      <c r="A212" s="1"/>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x14ac:dyDescent="0.25">
      <c r="A213" s="1"/>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x14ac:dyDescent="0.25">
      <c r="A214" s="1"/>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x14ac:dyDescent="0.25">
      <c r="A215" s="1"/>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x14ac:dyDescent="0.25">
      <c r="A216" s="1"/>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x14ac:dyDescent="0.25">
      <c r="A217" s="1"/>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x14ac:dyDescent="0.25">
      <c r="A218" s="1"/>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x14ac:dyDescent="0.25">
      <c r="A219" s="1"/>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x14ac:dyDescent="0.25">
      <c r="A220" s="1"/>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x14ac:dyDescent="0.25">
      <c r="A221" s="1"/>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x14ac:dyDescent="0.25">
      <c r="A222" s="1"/>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x14ac:dyDescent="0.25">
      <c r="A223" s="1"/>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x14ac:dyDescent="0.25">
      <c r="A224" s="1"/>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x14ac:dyDescent="0.25">
      <c r="A225" s="1"/>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x14ac:dyDescent="0.25">
      <c r="A226" s="1"/>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x14ac:dyDescent="0.25">
      <c r="A227" s="1"/>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x14ac:dyDescent="0.25">
      <c r="A228" s="1"/>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x14ac:dyDescent="0.25">
      <c r="A229" s="1"/>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x14ac:dyDescent="0.25">
      <c r="A230" s="1"/>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x14ac:dyDescent="0.25">
      <c r="A231" s="1"/>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x14ac:dyDescent="0.25">
      <c r="A232" s="1"/>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x14ac:dyDescent="0.25">
      <c r="A233" s="1"/>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x14ac:dyDescent="0.25">
      <c r="A234" s="1"/>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x14ac:dyDescent="0.25">
      <c r="A235" s="1"/>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x14ac:dyDescent="0.25">
      <c r="A236" s="1"/>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x14ac:dyDescent="0.25">
      <c r="A237" s="1"/>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x14ac:dyDescent="0.25">
      <c r="A238" s="1"/>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x14ac:dyDescent="0.25">
      <c r="A239" s="1"/>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x14ac:dyDescent="0.25">
      <c r="A240" s="1"/>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x14ac:dyDescent="0.25">
      <c r="A241" s="1"/>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x14ac:dyDescent="0.25">
      <c r="A242" s="1"/>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x14ac:dyDescent="0.25">
      <c r="A243" s="1"/>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x14ac:dyDescent="0.25">
      <c r="A244" s="1"/>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x14ac:dyDescent="0.25">
      <c r="A245" s="1"/>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x14ac:dyDescent="0.25">
      <c r="A246" s="1"/>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x14ac:dyDescent="0.25">
      <c r="A247" s="1"/>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x14ac:dyDescent="0.25">
      <c r="A248" s="1"/>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x14ac:dyDescent="0.25">
      <c r="A249" s="1"/>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x14ac:dyDescent="0.25">
      <c r="A250" s="1"/>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x14ac:dyDescent="0.25">
      <c r="A251" s="1"/>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x14ac:dyDescent="0.25">
      <c r="A252" s="1"/>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x14ac:dyDescent="0.25">
      <c r="A253" s="1"/>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x14ac:dyDescent="0.25">
      <c r="A254" s="1"/>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x14ac:dyDescent="0.25">
      <c r="A255" s="1"/>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x14ac:dyDescent="0.25">
      <c r="A256" s="1"/>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x14ac:dyDescent="0.25">
      <c r="A257" s="1"/>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x14ac:dyDescent="0.25">
      <c r="A258" s="1"/>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x14ac:dyDescent="0.25">
      <c r="A259" s="1"/>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x14ac:dyDescent="0.25">
      <c r="A260" s="1"/>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x14ac:dyDescent="0.25">
      <c r="A261" s="1"/>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x14ac:dyDescent="0.25">
      <c r="A262" s="1"/>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x14ac:dyDescent="0.25">
      <c r="A263" s="1"/>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x14ac:dyDescent="0.25">
      <c r="A264" s="1"/>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x14ac:dyDescent="0.25">
      <c r="A265" s="1"/>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x14ac:dyDescent="0.25">
      <c r="A266" s="1"/>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x14ac:dyDescent="0.25">
      <c r="A267" s="1"/>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x14ac:dyDescent="0.25">
      <c r="A268" s="1"/>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x14ac:dyDescent="0.25">
      <c r="A269" s="1"/>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x14ac:dyDescent="0.25">
      <c r="A270" s="1"/>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x14ac:dyDescent="0.25">
      <c r="A271" s="1"/>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x14ac:dyDescent="0.25">
      <c r="A272" s="1"/>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x14ac:dyDescent="0.25">
      <c r="A273" s="1"/>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x14ac:dyDescent="0.25">
      <c r="A274" s="1"/>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x14ac:dyDescent="0.25">
      <c r="A275" s="1"/>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x14ac:dyDescent="0.25">
      <c r="A276" s="1"/>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x14ac:dyDescent="0.25">
      <c r="A277" s="1"/>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x14ac:dyDescent="0.25">
      <c r="A278" s="1"/>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x14ac:dyDescent="0.25">
      <c r="A279" s="1"/>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x14ac:dyDescent="0.25">
      <c r="A280" s="1"/>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x14ac:dyDescent="0.25">
      <c r="A281" s="1"/>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x14ac:dyDescent="0.25">
      <c r="A282" s="1"/>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x14ac:dyDescent="0.25">
      <c r="A283" s="1"/>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x14ac:dyDescent="0.25">
      <c r="A284" s="1"/>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x14ac:dyDescent="0.25">
      <c r="A285" s="1"/>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x14ac:dyDescent="0.25">
      <c r="A286" s="1"/>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x14ac:dyDescent="0.25">
      <c r="A287" s="1"/>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x14ac:dyDescent="0.25">
      <c r="A288" s="1"/>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x14ac:dyDescent="0.25">
      <c r="A289" s="1"/>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x14ac:dyDescent="0.25">
      <c r="A290" s="1"/>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x14ac:dyDescent="0.25">
      <c r="A291" s="1"/>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x14ac:dyDescent="0.25">
      <c r="A292" s="1"/>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x14ac:dyDescent="0.25">
      <c r="A293" s="1"/>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x14ac:dyDescent="0.25">
      <c r="A294" s="1"/>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x14ac:dyDescent="0.25">
      <c r="A295" s="1"/>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x14ac:dyDescent="0.25">
      <c r="A296" s="1"/>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x14ac:dyDescent="0.25">
      <c r="A297" s="1"/>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x14ac:dyDescent="0.25">
      <c r="A298" s="1"/>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x14ac:dyDescent="0.25">
      <c r="A299" s="1"/>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x14ac:dyDescent="0.25">
      <c r="A300" s="1"/>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x14ac:dyDescent="0.25">
      <c r="A301" s="1"/>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x14ac:dyDescent="0.25">
      <c r="A302" s="1"/>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x14ac:dyDescent="0.25">
      <c r="A303" s="1"/>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x14ac:dyDescent="0.25">
      <c r="A304" s="1"/>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x14ac:dyDescent="0.25">
      <c r="A305" s="1"/>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x14ac:dyDescent="0.25">
      <c r="A306" s="1"/>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x14ac:dyDescent="0.25">
      <c r="A307" s="1"/>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x14ac:dyDescent="0.25">
      <c r="A308" s="1"/>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x14ac:dyDescent="0.25">
      <c r="A309" s="1"/>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x14ac:dyDescent="0.25">
      <c r="A310" s="1"/>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x14ac:dyDescent="0.25">
      <c r="A311" s="1"/>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x14ac:dyDescent="0.25">
      <c r="A312" s="1"/>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x14ac:dyDescent="0.25">
      <c r="A313" s="1"/>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x14ac:dyDescent="0.25">
      <c r="A314" s="1"/>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x14ac:dyDescent="0.25">
      <c r="A315" s="1"/>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x14ac:dyDescent="0.25">
      <c r="A316" s="1"/>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x14ac:dyDescent="0.25">
      <c r="A317" s="1"/>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x14ac:dyDescent="0.25">
      <c r="A318" s="1"/>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x14ac:dyDescent="0.25">
      <c r="A319" s="1"/>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x14ac:dyDescent="0.25">
      <c r="A320" s="1"/>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x14ac:dyDescent="0.25">
      <c r="A321" s="1"/>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x14ac:dyDescent="0.25">
      <c r="A322" s="1"/>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x14ac:dyDescent="0.25">
      <c r="A323" s="1"/>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x14ac:dyDescent="0.25">
      <c r="A324" s="1"/>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x14ac:dyDescent="0.25">
      <c r="A325" s="1"/>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x14ac:dyDescent="0.25">
      <c r="A326" s="1"/>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x14ac:dyDescent="0.25">
      <c r="A327" s="1"/>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x14ac:dyDescent="0.25">
      <c r="A328" s="1"/>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x14ac:dyDescent="0.25">
      <c r="A329" s="1"/>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x14ac:dyDescent="0.25">
      <c r="A330" s="1"/>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x14ac:dyDescent="0.25">
      <c r="A331" s="1"/>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x14ac:dyDescent="0.25">
      <c r="A332" s="1"/>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x14ac:dyDescent="0.25">
      <c r="A333" s="1"/>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x14ac:dyDescent="0.25">
      <c r="A334" s="1"/>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x14ac:dyDescent="0.25">
      <c r="A335" s="1"/>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x14ac:dyDescent="0.25">
      <c r="A336" s="1"/>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x14ac:dyDescent="0.25">
      <c r="A337" s="1"/>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x14ac:dyDescent="0.25">
      <c r="A338" s="1"/>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x14ac:dyDescent="0.25">
      <c r="A339" s="1"/>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x14ac:dyDescent="0.25">
      <c r="A340" s="1"/>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x14ac:dyDescent="0.25">
      <c r="A341" s="1"/>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x14ac:dyDescent="0.25">
      <c r="A342" s="1"/>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x14ac:dyDescent="0.25">
      <c r="A343" s="1"/>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x14ac:dyDescent="0.25">
      <c r="A344" s="1"/>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x14ac:dyDescent="0.25">
      <c r="A345" s="1"/>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x14ac:dyDescent="0.25">
      <c r="A346" s="1"/>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x14ac:dyDescent="0.25">
      <c r="A347" s="1"/>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x14ac:dyDescent="0.25">
      <c r="A348" s="1"/>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x14ac:dyDescent="0.25">
      <c r="A349" s="1"/>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x14ac:dyDescent="0.25">
      <c r="A350" s="1"/>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x14ac:dyDescent="0.25">
      <c r="A351" s="1"/>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x14ac:dyDescent="0.25">
      <c r="A352" s="1"/>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x14ac:dyDescent="0.25">
      <c r="A353" s="1"/>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x14ac:dyDescent="0.25">
      <c r="A354" s="1"/>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x14ac:dyDescent="0.25">
      <c r="A355" s="1"/>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x14ac:dyDescent="0.25">
      <c r="A356" s="1"/>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x14ac:dyDescent="0.25">
      <c r="A357" s="1"/>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x14ac:dyDescent="0.25">
      <c r="A358" s="1"/>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x14ac:dyDescent="0.25">
      <c r="A359" s="1"/>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x14ac:dyDescent="0.25">
      <c r="A360" s="1"/>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x14ac:dyDescent="0.25">
      <c r="A361" s="1"/>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x14ac:dyDescent="0.25">
      <c r="A362" s="1"/>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x14ac:dyDescent="0.25">
      <c r="A363" s="1"/>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x14ac:dyDescent="0.25">
      <c r="A364" s="1"/>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x14ac:dyDescent="0.25">
      <c r="A365" s="1"/>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x14ac:dyDescent="0.25">
      <c r="A366" s="1"/>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x14ac:dyDescent="0.25">
      <c r="A367" s="1"/>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x14ac:dyDescent="0.25">
      <c r="A368" s="1"/>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x14ac:dyDescent="0.25">
      <c r="A369" s="1"/>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x14ac:dyDescent="0.25">
      <c r="A370" s="1"/>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x14ac:dyDescent="0.25">
      <c r="A371" s="1"/>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x14ac:dyDescent="0.25">
      <c r="A372" s="1"/>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x14ac:dyDescent="0.25">
      <c r="A373" s="1"/>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x14ac:dyDescent="0.25">
      <c r="A374" s="1"/>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x14ac:dyDescent="0.25">
      <c r="A375" s="1"/>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x14ac:dyDescent="0.25">
      <c r="A376" s="1"/>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x14ac:dyDescent="0.25">
      <c r="A377" s="1"/>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x14ac:dyDescent="0.25">
      <c r="A378" s="1"/>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x14ac:dyDescent="0.25">
      <c r="A379" s="1"/>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x14ac:dyDescent="0.25">
      <c r="A380" s="1"/>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x14ac:dyDescent="0.25">
      <c r="A381" s="1"/>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x14ac:dyDescent="0.25">
      <c r="A382" s="1"/>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x14ac:dyDescent="0.25">
      <c r="A383" s="1"/>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x14ac:dyDescent="0.25">
      <c r="A384" s="1"/>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x14ac:dyDescent="0.25">
      <c r="A385" s="1"/>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x14ac:dyDescent="0.25">
      <c r="A386" s="1"/>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x14ac:dyDescent="0.25">
      <c r="A387" s="1"/>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x14ac:dyDescent="0.25">
      <c r="A388" s="1"/>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x14ac:dyDescent="0.25">
      <c r="A389" s="1"/>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x14ac:dyDescent="0.25">
      <c r="A390" s="1"/>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x14ac:dyDescent="0.25">
      <c r="A391" s="1"/>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x14ac:dyDescent="0.25">
      <c r="A392" s="1"/>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x14ac:dyDescent="0.25">
      <c r="A393" s="1"/>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x14ac:dyDescent="0.25">
      <c r="A394" s="1"/>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x14ac:dyDescent="0.25">
      <c r="A395" s="1"/>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x14ac:dyDescent="0.25">
      <c r="A396" s="1"/>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x14ac:dyDescent="0.25">
      <c r="A397" s="1"/>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x14ac:dyDescent="0.25">
      <c r="A398" s="1"/>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x14ac:dyDescent="0.25">
      <c r="A399" s="1"/>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x14ac:dyDescent="0.25">
      <c r="A400" s="1"/>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x14ac:dyDescent="0.25">
      <c r="A401" s="1"/>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x14ac:dyDescent="0.25">
      <c r="A402" s="1"/>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x14ac:dyDescent="0.25">
      <c r="A403" s="1"/>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x14ac:dyDescent="0.25">
      <c r="A404" s="1"/>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x14ac:dyDescent="0.25">
      <c r="A405" s="1"/>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x14ac:dyDescent="0.25">
      <c r="A406" s="1"/>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x14ac:dyDescent="0.25">
      <c r="A407" s="1"/>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x14ac:dyDescent="0.25">
      <c r="A408" s="1"/>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x14ac:dyDescent="0.25">
      <c r="A409" s="1"/>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x14ac:dyDescent="0.25">
      <c r="A410" s="1"/>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x14ac:dyDescent="0.25">
      <c r="A411" s="1"/>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x14ac:dyDescent="0.25">
      <c r="A412" s="1"/>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x14ac:dyDescent="0.25">
      <c r="A413" s="1"/>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x14ac:dyDescent="0.25">
      <c r="A414" s="1"/>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x14ac:dyDescent="0.25">
      <c r="A415" s="1"/>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x14ac:dyDescent="0.25">
      <c r="A416" s="1"/>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x14ac:dyDescent="0.25">
      <c r="A417" s="1"/>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x14ac:dyDescent="0.25">
      <c r="A418" s="1"/>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x14ac:dyDescent="0.25">
      <c r="A419" s="1"/>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x14ac:dyDescent="0.25">
      <c r="A420" s="1"/>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x14ac:dyDescent="0.25">
      <c r="A421" s="1"/>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x14ac:dyDescent="0.25">
      <c r="A422" s="1"/>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x14ac:dyDescent="0.25">
      <c r="A423" s="1"/>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x14ac:dyDescent="0.25">
      <c r="A424" s="1"/>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x14ac:dyDescent="0.25">
      <c r="A425" s="1"/>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x14ac:dyDescent="0.25">
      <c r="A426" s="1"/>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x14ac:dyDescent="0.25">
      <c r="A427" s="1"/>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x14ac:dyDescent="0.25">
      <c r="A428" s="1"/>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x14ac:dyDescent="0.25">
      <c r="A429" s="1"/>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x14ac:dyDescent="0.25">
      <c r="A430" s="1"/>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x14ac:dyDescent="0.25">
      <c r="A431" s="1"/>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x14ac:dyDescent="0.25">
      <c r="A432" s="1"/>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x14ac:dyDescent="0.25">
      <c r="A433" s="1"/>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x14ac:dyDescent="0.25">
      <c r="A434" s="1"/>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x14ac:dyDescent="0.25">
      <c r="A435" s="1"/>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x14ac:dyDescent="0.25">
      <c r="A436" s="1"/>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x14ac:dyDescent="0.25">
      <c r="A437" s="1"/>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x14ac:dyDescent="0.25">
      <c r="A438" s="1"/>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x14ac:dyDescent="0.25">
      <c r="A439" s="1"/>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x14ac:dyDescent="0.25">
      <c r="A440" s="1"/>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x14ac:dyDescent="0.25">
      <c r="A441" s="1"/>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x14ac:dyDescent="0.25">
      <c r="A442" s="1"/>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x14ac:dyDescent="0.25">
      <c r="A443" s="1"/>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x14ac:dyDescent="0.25">
      <c r="A444" s="1"/>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x14ac:dyDescent="0.25">
      <c r="A445" s="1"/>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x14ac:dyDescent="0.25">
      <c r="A446" s="1"/>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x14ac:dyDescent="0.25">
      <c r="A447" s="1"/>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x14ac:dyDescent="0.25">
      <c r="A448" s="1"/>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x14ac:dyDescent="0.25">
      <c r="A449" s="1"/>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x14ac:dyDescent="0.25">
      <c r="A450" s="1"/>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x14ac:dyDescent="0.25">
      <c r="A451" s="1"/>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x14ac:dyDescent="0.25">
      <c r="A452" s="1"/>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x14ac:dyDescent="0.25">
      <c r="A453" s="1"/>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x14ac:dyDescent="0.25">
      <c r="A454" s="1"/>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x14ac:dyDescent="0.25">
      <c r="A455" s="1"/>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x14ac:dyDescent="0.25">
      <c r="A456" s="1"/>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x14ac:dyDescent="0.25">
      <c r="A457" s="1"/>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x14ac:dyDescent="0.25">
      <c r="A458" s="1"/>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x14ac:dyDescent="0.25">
      <c r="A459" s="1"/>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x14ac:dyDescent="0.25">
      <c r="A460" s="1"/>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x14ac:dyDescent="0.25">
      <c r="A461" s="1"/>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x14ac:dyDescent="0.25">
      <c r="A462" s="1"/>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x14ac:dyDescent="0.25">
      <c r="A463" s="1"/>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x14ac:dyDescent="0.25">
      <c r="A464" s="1"/>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x14ac:dyDescent="0.25">
      <c r="A465" s="1"/>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x14ac:dyDescent="0.25">
      <c r="A466" s="1"/>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x14ac:dyDescent="0.25">
      <c r="A467" s="1"/>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x14ac:dyDescent="0.25">
      <c r="A468" s="1"/>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x14ac:dyDescent="0.25">
      <c r="A469" s="1"/>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x14ac:dyDescent="0.25">
      <c r="A470" s="1"/>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x14ac:dyDescent="0.25">
      <c r="A471" s="1"/>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x14ac:dyDescent="0.25">
      <c r="A472" s="1"/>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x14ac:dyDescent="0.25">
      <c r="A473" s="1"/>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x14ac:dyDescent="0.25">
      <c r="A474" s="1"/>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x14ac:dyDescent="0.25">
      <c r="A475" s="1"/>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x14ac:dyDescent="0.25">
      <c r="A476" s="1"/>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x14ac:dyDescent="0.25">
      <c r="A477" s="1"/>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x14ac:dyDescent="0.25">
      <c r="A478" s="1"/>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x14ac:dyDescent="0.25">
      <c r="A479" s="1"/>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x14ac:dyDescent="0.25">
      <c r="A480" s="1"/>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x14ac:dyDescent="0.25">
      <c r="A481" s="1"/>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x14ac:dyDescent="0.25">
      <c r="A482" s="1"/>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x14ac:dyDescent="0.25">
      <c r="A483" s="1"/>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x14ac:dyDescent="0.25">
      <c r="A484" s="1"/>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x14ac:dyDescent="0.25">
      <c r="A485" s="1"/>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x14ac:dyDescent="0.25">
      <c r="A486" s="1"/>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x14ac:dyDescent="0.25">
      <c r="A487" s="1"/>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x14ac:dyDescent="0.25">
      <c r="A488" s="1"/>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x14ac:dyDescent="0.25">
      <c r="A489" s="1"/>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x14ac:dyDescent="0.25">
      <c r="A490" s="1"/>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x14ac:dyDescent="0.25">
      <c r="A491" s="1"/>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x14ac:dyDescent="0.25">
      <c r="A492" s="1"/>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x14ac:dyDescent="0.25">
      <c r="A493" s="1"/>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x14ac:dyDescent="0.25">
      <c r="A494" s="1"/>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x14ac:dyDescent="0.25">
      <c r="A495" s="1"/>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x14ac:dyDescent="0.25">
      <c r="A496" s="1"/>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x14ac:dyDescent="0.25">
      <c r="A497" s="1"/>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x14ac:dyDescent="0.25">
      <c r="A498" s="1"/>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x14ac:dyDescent="0.25">
      <c r="A499" s="1"/>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x14ac:dyDescent="0.25">
      <c r="A500" s="1"/>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x14ac:dyDescent="0.25">
      <c r="A501" s="1"/>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x14ac:dyDescent="0.25">
      <c r="A502" s="1"/>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x14ac:dyDescent="0.25">
      <c r="A503" s="1"/>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x14ac:dyDescent="0.25">
      <c r="A504" s="1"/>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x14ac:dyDescent="0.25">
      <c r="A505" s="1"/>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x14ac:dyDescent="0.25">
      <c r="A506" s="1"/>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x14ac:dyDescent="0.25">
      <c r="A507" s="1"/>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x14ac:dyDescent="0.25">
      <c r="A508" s="1"/>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x14ac:dyDescent="0.25">
      <c r="A509" s="1"/>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x14ac:dyDescent="0.25">
      <c r="A510" s="1"/>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x14ac:dyDescent="0.25">
      <c r="A511" s="1"/>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x14ac:dyDescent="0.25">
      <c r="A512" s="1"/>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x14ac:dyDescent="0.25">
      <c r="A513" s="1"/>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x14ac:dyDescent="0.25">
      <c r="A514" s="1"/>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x14ac:dyDescent="0.25">
      <c r="A515" s="1"/>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x14ac:dyDescent="0.25">
      <c r="A516" s="1"/>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x14ac:dyDescent="0.25">
      <c r="A517" s="1"/>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x14ac:dyDescent="0.25">
      <c r="A518" s="1"/>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x14ac:dyDescent="0.25">
      <c r="A519" s="1"/>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x14ac:dyDescent="0.25">
      <c r="A520" s="1"/>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x14ac:dyDescent="0.25">
      <c r="A521" s="1"/>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x14ac:dyDescent="0.25">
      <c r="A522" s="1"/>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x14ac:dyDescent="0.25">
      <c r="A523" s="1"/>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x14ac:dyDescent="0.25">
      <c r="A524" s="1"/>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x14ac:dyDescent="0.25">
      <c r="A525" s="1"/>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x14ac:dyDescent="0.25">
      <c r="A526" s="1"/>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x14ac:dyDescent="0.25">
      <c r="A527" s="1"/>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x14ac:dyDescent="0.25">
      <c r="A528" s="1"/>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x14ac:dyDescent="0.25">
      <c r="A529" s="1"/>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x14ac:dyDescent="0.25">
      <c r="A530" s="1"/>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x14ac:dyDescent="0.25">
      <c r="A531" s="1"/>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x14ac:dyDescent="0.25">
      <c r="A532" s="1"/>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x14ac:dyDescent="0.25">
      <c r="A533" s="1"/>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x14ac:dyDescent="0.25">
      <c r="A534" s="1"/>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x14ac:dyDescent="0.25">
      <c r="A535" s="1"/>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x14ac:dyDescent="0.25">
      <c r="A536" s="1"/>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x14ac:dyDescent="0.25">
      <c r="A537" s="1"/>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x14ac:dyDescent="0.25">
      <c r="A538" s="1"/>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x14ac:dyDescent="0.25">
      <c r="A539" s="1"/>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x14ac:dyDescent="0.25">
      <c r="A540" s="1"/>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x14ac:dyDescent="0.25">
      <c r="A541" s="1"/>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x14ac:dyDescent="0.25">
      <c r="A542" s="1"/>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x14ac:dyDescent="0.25">
      <c r="A543" s="1"/>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x14ac:dyDescent="0.25">
      <c r="A544" s="1"/>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x14ac:dyDescent="0.25">
      <c r="A545" s="1"/>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x14ac:dyDescent="0.25">
      <c r="A546" s="1"/>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x14ac:dyDescent="0.25">
      <c r="A547" s="1"/>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x14ac:dyDescent="0.25">
      <c r="A548" s="1"/>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x14ac:dyDescent="0.25">
      <c r="A549" s="1"/>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x14ac:dyDescent="0.25">
      <c r="A550" s="1"/>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x14ac:dyDescent="0.25">
      <c r="A551" s="1"/>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x14ac:dyDescent="0.25">
      <c r="A552" s="1"/>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x14ac:dyDescent="0.25">
      <c r="A553" s="1"/>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x14ac:dyDescent="0.25">
      <c r="A554" s="1"/>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x14ac:dyDescent="0.25">
      <c r="A555" s="1"/>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x14ac:dyDescent="0.25">
      <c r="A556" s="1"/>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x14ac:dyDescent="0.25">
      <c r="A557" s="1"/>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x14ac:dyDescent="0.25">
      <c r="A558" s="1"/>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x14ac:dyDescent="0.25">
      <c r="A559" s="1"/>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x14ac:dyDescent="0.25">
      <c r="A560" s="1"/>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x14ac:dyDescent="0.25">
      <c r="A561" s="1"/>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x14ac:dyDescent="0.25">
      <c r="A562" s="1"/>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x14ac:dyDescent="0.25">
      <c r="A563" s="1"/>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x14ac:dyDescent="0.25">
      <c r="A564" s="1"/>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x14ac:dyDescent="0.25">
      <c r="A565" s="1"/>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x14ac:dyDescent="0.25">
      <c r="A566" s="1"/>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x14ac:dyDescent="0.25">
      <c r="A567" s="1"/>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x14ac:dyDescent="0.25">
      <c r="A568" s="1"/>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x14ac:dyDescent="0.25">
      <c r="A569" s="1"/>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x14ac:dyDescent="0.25">
      <c r="A570" s="1"/>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x14ac:dyDescent="0.25">
      <c r="A571" s="1"/>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x14ac:dyDescent="0.25">
      <c r="A572" s="1"/>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x14ac:dyDescent="0.25">
      <c r="A573" s="1"/>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x14ac:dyDescent="0.25">
      <c r="A574" s="1"/>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x14ac:dyDescent="0.25">
      <c r="A575" s="1"/>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x14ac:dyDescent="0.25">
      <c r="A576" s="1"/>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x14ac:dyDescent="0.25">
      <c r="A577" s="1"/>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x14ac:dyDescent="0.25">
      <c r="A578" s="1"/>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x14ac:dyDescent="0.25">
      <c r="A579" s="1"/>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x14ac:dyDescent="0.25">
      <c r="A580" s="1"/>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x14ac:dyDescent="0.25">
      <c r="A581" s="1"/>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x14ac:dyDescent="0.25">
      <c r="A582" s="1"/>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x14ac:dyDescent="0.25">
      <c r="A583" s="1"/>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x14ac:dyDescent="0.25">
      <c r="A584" s="1"/>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x14ac:dyDescent="0.25">
      <c r="A585" s="1"/>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x14ac:dyDescent="0.25">
      <c r="A586" s="1"/>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x14ac:dyDescent="0.25">
      <c r="A587" s="1"/>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x14ac:dyDescent="0.25">
      <c r="A588" s="1"/>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x14ac:dyDescent="0.25">
      <c r="A589" s="1"/>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x14ac:dyDescent="0.25">
      <c r="A590" s="1"/>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x14ac:dyDescent="0.25">
      <c r="A591" s="1"/>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x14ac:dyDescent="0.25">
      <c r="A592" s="1"/>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x14ac:dyDescent="0.25">
      <c r="A593" s="1"/>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x14ac:dyDescent="0.25">
      <c r="A594" s="1"/>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x14ac:dyDescent="0.25">
      <c r="A595" s="1"/>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x14ac:dyDescent="0.25">
      <c r="A596" s="1"/>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x14ac:dyDescent="0.25">
      <c r="A597" s="1"/>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x14ac:dyDescent="0.25">
      <c r="A598" s="1"/>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x14ac:dyDescent="0.25">
      <c r="A599" s="1"/>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x14ac:dyDescent="0.25">
      <c r="A600" s="1"/>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x14ac:dyDescent="0.25">
      <c r="A601" s="1"/>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x14ac:dyDescent="0.25">
      <c r="A602" s="1"/>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x14ac:dyDescent="0.25">
      <c r="A603" s="1"/>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x14ac:dyDescent="0.25">
      <c r="A604" s="1"/>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x14ac:dyDescent="0.25">
      <c r="A605" s="1"/>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x14ac:dyDescent="0.25">
      <c r="A606" s="1"/>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x14ac:dyDescent="0.25">
      <c r="A607" s="1"/>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x14ac:dyDescent="0.25">
      <c r="A608" s="1"/>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x14ac:dyDescent="0.25">
      <c r="A609" s="1"/>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x14ac:dyDescent="0.25">
      <c r="A610" s="1"/>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x14ac:dyDescent="0.25">
      <c r="A611" s="1"/>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x14ac:dyDescent="0.25">
      <c r="A612" s="1"/>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x14ac:dyDescent="0.25">
      <c r="A613" s="1"/>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x14ac:dyDescent="0.25">
      <c r="A614" s="1"/>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x14ac:dyDescent="0.25">
      <c r="A615" s="1"/>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x14ac:dyDescent="0.25">
      <c r="A616" s="1"/>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x14ac:dyDescent="0.25">
      <c r="A617" s="1"/>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x14ac:dyDescent="0.25">
      <c r="A618" s="1"/>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x14ac:dyDescent="0.25">
      <c r="A619" s="1"/>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x14ac:dyDescent="0.25">
      <c r="A620" s="1"/>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x14ac:dyDescent="0.25">
      <c r="A621" s="1"/>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x14ac:dyDescent="0.25">
      <c r="A622" s="1"/>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x14ac:dyDescent="0.25">
      <c r="A623" s="1"/>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x14ac:dyDescent="0.25">
      <c r="A624" s="1"/>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x14ac:dyDescent="0.25">
      <c r="A625" s="1"/>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x14ac:dyDescent="0.25">
      <c r="A626" s="1"/>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x14ac:dyDescent="0.25">
      <c r="A627" s="1"/>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x14ac:dyDescent="0.25">
      <c r="A628" s="1"/>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x14ac:dyDescent="0.25">
      <c r="A629" s="1"/>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x14ac:dyDescent="0.25">
      <c r="A630" s="1"/>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x14ac:dyDescent="0.25">
      <c r="A631" s="1"/>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x14ac:dyDescent="0.25">
      <c r="A632" s="1"/>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x14ac:dyDescent="0.25">
      <c r="A633" s="1"/>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x14ac:dyDescent="0.25">
      <c r="A634" s="1"/>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x14ac:dyDescent="0.25">
      <c r="A635" s="1"/>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x14ac:dyDescent="0.25">
      <c r="A636" s="1"/>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x14ac:dyDescent="0.25">
      <c r="A637" s="1"/>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x14ac:dyDescent="0.25">
      <c r="A638" s="1"/>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x14ac:dyDescent="0.25">
      <c r="A639" s="1"/>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x14ac:dyDescent="0.25">
      <c r="A640" s="1"/>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x14ac:dyDescent="0.25">
      <c r="A641" s="1"/>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x14ac:dyDescent="0.25">
      <c r="A642" s="1"/>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x14ac:dyDescent="0.25">
      <c r="A643" s="1"/>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x14ac:dyDescent="0.25">
      <c r="A644" s="1"/>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x14ac:dyDescent="0.25">
      <c r="A645" s="1"/>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x14ac:dyDescent="0.25">
      <c r="A646" s="1"/>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x14ac:dyDescent="0.25">
      <c r="A647" s="1"/>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x14ac:dyDescent="0.25">
      <c r="A648" s="1"/>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x14ac:dyDescent="0.25">
      <c r="A649" s="1"/>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x14ac:dyDescent="0.25">
      <c r="A650" s="1"/>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x14ac:dyDescent="0.25">
      <c r="A651" s="1"/>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x14ac:dyDescent="0.25">
      <c r="A652" s="1"/>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x14ac:dyDescent="0.25">
      <c r="A653" s="1"/>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x14ac:dyDescent="0.25">
      <c r="A654" s="1"/>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x14ac:dyDescent="0.25">
      <c r="A655" s="1"/>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x14ac:dyDescent="0.25">
      <c r="A656" s="1"/>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x14ac:dyDescent="0.25">
      <c r="A657" s="1"/>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x14ac:dyDescent="0.25">
      <c r="A658" s="1"/>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x14ac:dyDescent="0.25">
      <c r="A659" s="1"/>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x14ac:dyDescent="0.25">
      <c r="A660" s="1"/>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x14ac:dyDescent="0.25">
      <c r="A661" s="1"/>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x14ac:dyDescent="0.25">
      <c r="A662" s="1"/>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x14ac:dyDescent="0.25">
      <c r="A663" s="1"/>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x14ac:dyDescent="0.25">
      <c r="A664" s="1"/>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x14ac:dyDescent="0.25">
      <c r="A665" s="1"/>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x14ac:dyDescent="0.25">
      <c r="A666" s="1"/>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x14ac:dyDescent="0.25">
      <c r="A667" s="1"/>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x14ac:dyDescent="0.25">
      <c r="A668" s="1"/>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x14ac:dyDescent="0.25">
      <c r="A669" s="1"/>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x14ac:dyDescent="0.25">
      <c r="A670" s="1"/>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x14ac:dyDescent="0.25">
      <c r="A671" s="1"/>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x14ac:dyDescent="0.25">
      <c r="A672" s="1"/>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x14ac:dyDescent="0.25">
      <c r="A673" s="1"/>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x14ac:dyDescent="0.25">
      <c r="A674" s="1"/>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x14ac:dyDescent="0.25">
      <c r="A675" s="1"/>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x14ac:dyDescent="0.25">
      <c r="A676" s="1"/>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x14ac:dyDescent="0.25">
      <c r="A677" s="1"/>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x14ac:dyDescent="0.25">
      <c r="A678" s="1"/>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x14ac:dyDescent="0.25">
      <c r="A679" s="1"/>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x14ac:dyDescent="0.25">
      <c r="A680" s="1"/>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x14ac:dyDescent="0.25">
      <c r="A681" s="1"/>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x14ac:dyDescent="0.25">
      <c r="A682" s="1"/>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x14ac:dyDescent="0.25">
      <c r="A683" s="1"/>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x14ac:dyDescent="0.25">
      <c r="A684" s="1"/>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x14ac:dyDescent="0.25">
      <c r="A685" s="1"/>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x14ac:dyDescent="0.25">
      <c r="A686" s="1"/>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x14ac:dyDescent="0.25">
      <c r="A687" s="1"/>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x14ac:dyDescent="0.25">
      <c r="A688" s="1"/>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x14ac:dyDescent="0.25">
      <c r="A689" s="1"/>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x14ac:dyDescent="0.25">
      <c r="A690" s="1"/>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x14ac:dyDescent="0.25">
      <c r="A691" s="1"/>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x14ac:dyDescent="0.25">
      <c r="A692" s="1"/>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x14ac:dyDescent="0.25">
      <c r="A693" s="1"/>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x14ac:dyDescent="0.25">
      <c r="A694" s="1"/>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x14ac:dyDescent="0.25">
      <c r="A695" s="1"/>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x14ac:dyDescent="0.25">
      <c r="A696" s="1"/>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x14ac:dyDescent="0.25">
      <c r="A697" s="1"/>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x14ac:dyDescent="0.25">
      <c r="A698" s="1"/>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x14ac:dyDescent="0.25">
      <c r="A699" s="1"/>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x14ac:dyDescent="0.25">
      <c r="A700" s="1"/>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x14ac:dyDescent="0.25">
      <c r="A701" s="1"/>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x14ac:dyDescent="0.25">
      <c r="A702" s="1"/>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x14ac:dyDescent="0.25">
      <c r="A703" s="1"/>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x14ac:dyDescent="0.25">
      <c r="A704" s="1"/>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x14ac:dyDescent="0.25">
      <c r="A705" s="1"/>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x14ac:dyDescent="0.25">
      <c r="A706" s="1"/>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x14ac:dyDescent="0.25">
      <c r="A707" s="1"/>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x14ac:dyDescent="0.25">
      <c r="A708" s="1"/>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x14ac:dyDescent="0.25">
      <c r="A709" s="1"/>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x14ac:dyDescent="0.25">
      <c r="A710" s="1"/>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x14ac:dyDescent="0.25">
      <c r="A711" s="1"/>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x14ac:dyDescent="0.25">
      <c r="A712" s="1"/>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x14ac:dyDescent="0.25">
      <c r="A713" s="1"/>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x14ac:dyDescent="0.25">
      <c r="A714" s="1"/>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x14ac:dyDescent="0.25">
      <c r="A715" s="1"/>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x14ac:dyDescent="0.25">
      <c r="A716" s="1"/>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x14ac:dyDescent="0.25">
      <c r="A717" s="1"/>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x14ac:dyDescent="0.25">
      <c r="A718" s="1"/>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x14ac:dyDescent="0.25">
      <c r="A719" s="1"/>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x14ac:dyDescent="0.25">
      <c r="A720" s="1"/>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x14ac:dyDescent="0.25">
      <c r="A721" s="1"/>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x14ac:dyDescent="0.25">
      <c r="A722" s="1"/>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x14ac:dyDescent="0.25">
      <c r="A723" s="1"/>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x14ac:dyDescent="0.25">
      <c r="A724" s="1"/>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x14ac:dyDescent="0.25">
      <c r="A725" s="1"/>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x14ac:dyDescent="0.25">
      <c r="A726" s="1"/>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x14ac:dyDescent="0.25">
      <c r="A727" s="1"/>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x14ac:dyDescent="0.25">
      <c r="A728" s="1"/>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x14ac:dyDescent="0.25">
      <c r="A729" s="1"/>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x14ac:dyDescent="0.25">
      <c r="A730" s="1"/>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x14ac:dyDescent="0.25">
      <c r="A731" s="1"/>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x14ac:dyDescent="0.25">
      <c r="A732" s="1"/>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x14ac:dyDescent="0.25">
      <c r="A733" s="1"/>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x14ac:dyDescent="0.25">
      <c r="A734" s="1"/>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x14ac:dyDescent="0.25">
      <c r="A735" s="1"/>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x14ac:dyDescent="0.25">
      <c r="A736" s="1"/>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x14ac:dyDescent="0.25">
      <c r="A737" s="1"/>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x14ac:dyDescent="0.25">
      <c r="A738" s="1"/>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x14ac:dyDescent="0.25">
      <c r="A739" s="1"/>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x14ac:dyDescent="0.25">
      <c r="A740" s="1"/>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x14ac:dyDescent="0.25">
      <c r="A741" s="1"/>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x14ac:dyDescent="0.25">
      <c r="A742" s="1"/>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x14ac:dyDescent="0.25">
      <c r="A743" s="1"/>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x14ac:dyDescent="0.25">
      <c r="A744" s="1"/>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x14ac:dyDescent="0.25">
      <c r="A745" s="1"/>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x14ac:dyDescent="0.25">
      <c r="A746" s="1"/>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x14ac:dyDescent="0.25">
      <c r="A747" s="1"/>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x14ac:dyDescent="0.25">
      <c r="A748" s="1"/>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x14ac:dyDescent="0.25">
      <c r="A749" s="1"/>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x14ac:dyDescent="0.25">
      <c r="A750" s="1"/>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x14ac:dyDescent="0.25">
      <c r="A751" s="1"/>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x14ac:dyDescent="0.25">
      <c r="A752" s="1"/>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x14ac:dyDescent="0.25">
      <c r="A753" s="1"/>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x14ac:dyDescent="0.25">
      <c r="A754" s="1"/>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x14ac:dyDescent="0.25">
      <c r="A755" s="1"/>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x14ac:dyDescent="0.25">
      <c r="A756" s="1"/>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x14ac:dyDescent="0.25">
      <c r="A757" s="1"/>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x14ac:dyDescent="0.25">
      <c r="A758" s="1"/>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x14ac:dyDescent="0.25">
      <c r="A759" s="1"/>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x14ac:dyDescent="0.25">
      <c r="A760" s="1"/>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x14ac:dyDescent="0.25">
      <c r="A761" s="1"/>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x14ac:dyDescent="0.25">
      <c r="A762" s="1"/>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x14ac:dyDescent="0.25">
      <c r="A763" s="1"/>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x14ac:dyDescent="0.25">
      <c r="A764" s="1"/>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x14ac:dyDescent="0.25">
      <c r="A765" s="1"/>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x14ac:dyDescent="0.25">
      <c r="A766" s="1"/>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x14ac:dyDescent="0.25">
      <c r="A767" s="1"/>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x14ac:dyDescent="0.25">
      <c r="A768" s="1"/>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x14ac:dyDescent="0.25">
      <c r="A769" s="1"/>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x14ac:dyDescent="0.25">
      <c r="A770" s="1"/>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x14ac:dyDescent="0.25">
      <c r="A771" s="1"/>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x14ac:dyDescent="0.25">
      <c r="A772" s="1"/>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x14ac:dyDescent="0.25">
      <c r="A773" s="1"/>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x14ac:dyDescent="0.25">
      <c r="A774" s="1"/>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x14ac:dyDescent="0.25">
      <c r="A775" s="1"/>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x14ac:dyDescent="0.25">
      <c r="A776" s="1"/>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x14ac:dyDescent="0.25">
      <c r="A777" s="1"/>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x14ac:dyDescent="0.25">
      <c r="A778" s="1"/>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x14ac:dyDescent="0.25">
      <c r="A779" s="1"/>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x14ac:dyDescent="0.25">
      <c r="A780" s="1"/>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x14ac:dyDescent="0.25">
      <c r="A781" s="1"/>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x14ac:dyDescent="0.25">
      <c r="A782" s="1"/>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x14ac:dyDescent="0.25">
      <c r="A783" s="1"/>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x14ac:dyDescent="0.25">
      <c r="A784" s="1"/>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x14ac:dyDescent="0.25">
      <c r="A785" s="1"/>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x14ac:dyDescent="0.25">
      <c r="A786" s="1"/>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x14ac:dyDescent="0.25">
      <c r="A787" s="1"/>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x14ac:dyDescent="0.25">
      <c r="A788" s="1"/>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x14ac:dyDescent="0.25">
      <c r="A789" s="1"/>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x14ac:dyDescent="0.25">
      <c r="A790" s="1"/>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x14ac:dyDescent="0.25">
      <c r="A791" s="1"/>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x14ac:dyDescent="0.25">
      <c r="A792" s="1"/>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x14ac:dyDescent="0.25">
      <c r="A793" s="1"/>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x14ac:dyDescent="0.25">
      <c r="A794" s="1"/>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x14ac:dyDescent="0.25">
      <c r="A795" s="1"/>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x14ac:dyDescent="0.25">
      <c r="A796" s="1"/>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x14ac:dyDescent="0.25">
      <c r="A797" s="1"/>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x14ac:dyDescent="0.25">
      <c r="A798" s="1"/>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x14ac:dyDescent="0.25">
      <c r="A799" s="1"/>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x14ac:dyDescent="0.25">
      <c r="A800" s="1"/>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x14ac:dyDescent="0.25">
      <c r="A801" s="1"/>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x14ac:dyDescent="0.25">
      <c r="A802" s="1"/>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x14ac:dyDescent="0.25">
      <c r="A803" s="1"/>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x14ac:dyDescent="0.25">
      <c r="A804" s="1"/>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x14ac:dyDescent="0.25">
      <c r="A805" s="1"/>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x14ac:dyDescent="0.25">
      <c r="A806" s="1"/>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x14ac:dyDescent="0.25">
      <c r="A807" s="1"/>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x14ac:dyDescent="0.25">
      <c r="A808" s="1"/>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x14ac:dyDescent="0.25">
      <c r="A809" s="1"/>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x14ac:dyDescent="0.25">
      <c r="A810" s="1"/>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x14ac:dyDescent="0.25">
      <c r="A811" s="1"/>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x14ac:dyDescent="0.25">
      <c r="A812" s="1"/>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x14ac:dyDescent="0.25">
      <c r="A813" s="1"/>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x14ac:dyDescent="0.25">
      <c r="A814" s="1"/>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x14ac:dyDescent="0.25">
      <c r="A815" s="1"/>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x14ac:dyDescent="0.25">
      <c r="A816" s="1"/>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x14ac:dyDescent="0.25">
      <c r="A817" s="1"/>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x14ac:dyDescent="0.25">
      <c r="A818" s="1"/>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x14ac:dyDescent="0.25">
      <c r="A819" s="1"/>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x14ac:dyDescent="0.25">
      <c r="A820" s="1"/>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x14ac:dyDescent="0.25">
      <c r="A821" s="1"/>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x14ac:dyDescent="0.25">
      <c r="A822" s="1"/>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x14ac:dyDescent="0.25">
      <c r="A823" s="1"/>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x14ac:dyDescent="0.25">
      <c r="A824" s="1"/>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x14ac:dyDescent="0.25">
      <c r="A825" s="1"/>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x14ac:dyDescent="0.25">
      <c r="A826" s="1"/>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x14ac:dyDescent="0.25">
      <c r="A827" s="1"/>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x14ac:dyDescent="0.25">
      <c r="A828" s="1"/>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x14ac:dyDescent="0.25">
      <c r="A829" s="1"/>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x14ac:dyDescent="0.25">
      <c r="A830" s="1"/>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x14ac:dyDescent="0.25">
      <c r="A831" s="1"/>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x14ac:dyDescent="0.25">
      <c r="A832" s="1"/>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x14ac:dyDescent="0.25">
      <c r="A833" s="1"/>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x14ac:dyDescent="0.25">
      <c r="A834" s="1"/>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x14ac:dyDescent="0.25">
      <c r="A835" s="1"/>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x14ac:dyDescent="0.25">
      <c r="A836" s="1"/>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x14ac:dyDescent="0.25">
      <c r="A837" s="1"/>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x14ac:dyDescent="0.25">
      <c r="A838" s="1"/>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x14ac:dyDescent="0.25">
      <c r="A839" s="1"/>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x14ac:dyDescent="0.25">
      <c r="A840" s="1"/>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x14ac:dyDescent="0.25">
      <c r="A841" s="1"/>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x14ac:dyDescent="0.25">
      <c r="A842" s="1"/>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x14ac:dyDescent="0.25">
      <c r="A843" s="1"/>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x14ac:dyDescent="0.25">
      <c r="A844" s="1"/>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x14ac:dyDescent="0.25">
      <c r="A845" s="1"/>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x14ac:dyDescent="0.25">
      <c r="A846" s="1"/>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x14ac:dyDescent="0.25">
      <c r="A847" s="1"/>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x14ac:dyDescent="0.25">
      <c r="A848" s="1"/>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x14ac:dyDescent="0.25">
      <c r="A849" s="1"/>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x14ac:dyDescent="0.25">
      <c r="A850" s="1"/>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x14ac:dyDescent="0.25">
      <c r="A851" s="1"/>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x14ac:dyDescent="0.25">
      <c r="A852" s="1"/>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x14ac:dyDescent="0.25">
      <c r="A853" s="1"/>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x14ac:dyDescent="0.25">
      <c r="A854" s="1"/>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x14ac:dyDescent="0.25">
      <c r="A855" s="1"/>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x14ac:dyDescent="0.25">
      <c r="A856" s="1"/>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x14ac:dyDescent="0.25">
      <c r="A857" s="1"/>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x14ac:dyDescent="0.25">
      <c r="A858" s="1"/>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x14ac:dyDescent="0.25">
      <c r="A859" s="1"/>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x14ac:dyDescent="0.25">
      <c r="A860" s="1"/>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x14ac:dyDescent="0.25">
      <c r="A861" s="1"/>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x14ac:dyDescent="0.25">
      <c r="A862" s="1"/>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x14ac:dyDescent="0.25">
      <c r="A863" s="1"/>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x14ac:dyDescent="0.25">
      <c r="A864" s="1"/>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x14ac:dyDescent="0.25">
      <c r="A865" s="1"/>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x14ac:dyDescent="0.25">
      <c r="A866" s="1"/>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x14ac:dyDescent="0.25">
      <c r="A867" s="1"/>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x14ac:dyDescent="0.25">
      <c r="A868" s="1"/>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x14ac:dyDescent="0.25">
      <c r="A869" s="1"/>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x14ac:dyDescent="0.25">
      <c r="A870" s="1"/>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x14ac:dyDescent="0.25">
      <c r="A871" s="1"/>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x14ac:dyDescent="0.25">
      <c r="A872" s="1"/>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x14ac:dyDescent="0.25">
      <c r="A873" s="1"/>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x14ac:dyDescent="0.25">
      <c r="A874" s="1"/>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x14ac:dyDescent="0.25">
      <c r="A875" s="1"/>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x14ac:dyDescent="0.25">
      <c r="A876" s="1"/>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x14ac:dyDescent="0.25">
      <c r="A877" s="1"/>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x14ac:dyDescent="0.25">
      <c r="A878" s="1"/>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x14ac:dyDescent="0.25">
      <c r="A879" s="1"/>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x14ac:dyDescent="0.25">
      <c r="A880" s="1"/>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x14ac:dyDescent="0.25">
      <c r="A881" s="1"/>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x14ac:dyDescent="0.25">
      <c r="A882" s="1"/>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x14ac:dyDescent="0.25">
      <c r="A883" s="1"/>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x14ac:dyDescent="0.25">
      <c r="A884" s="1"/>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x14ac:dyDescent="0.25">
      <c r="A885" s="1"/>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x14ac:dyDescent="0.25">
      <c r="A886" s="1"/>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x14ac:dyDescent="0.25">
      <c r="A887" s="1"/>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x14ac:dyDescent="0.25">
      <c r="A888" s="1"/>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x14ac:dyDescent="0.25">
      <c r="A889" s="1"/>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x14ac:dyDescent="0.25">
      <c r="A890" s="1"/>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x14ac:dyDescent="0.25">
      <c r="A891" s="1"/>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x14ac:dyDescent="0.25">
      <c r="A892" s="1"/>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x14ac:dyDescent="0.25">
      <c r="A893" s="1"/>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x14ac:dyDescent="0.25">
      <c r="A894" s="1"/>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x14ac:dyDescent="0.25">
      <c r="A895" s="1"/>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x14ac:dyDescent="0.25">
      <c r="A896" s="1"/>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x14ac:dyDescent="0.25">
      <c r="A897" s="1"/>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x14ac:dyDescent="0.25">
      <c r="A898" s="1"/>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x14ac:dyDescent="0.25">
      <c r="A899" s="1"/>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x14ac:dyDescent="0.25">
      <c r="A900" s="1"/>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x14ac:dyDescent="0.25">
      <c r="A901" s="1"/>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x14ac:dyDescent="0.25">
      <c r="A902" s="1"/>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x14ac:dyDescent="0.25">
      <c r="A903" s="1"/>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x14ac:dyDescent="0.25">
      <c r="A904" s="1"/>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x14ac:dyDescent="0.25">
      <c r="A905" s="1"/>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x14ac:dyDescent="0.25">
      <c r="A906" s="1"/>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x14ac:dyDescent="0.25">
      <c r="A907" s="1"/>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x14ac:dyDescent="0.25">
      <c r="A908" s="1"/>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x14ac:dyDescent="0.25">
      <c r="A909" s="1"/>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x14ac:dyDescent="0.25">
      <c r="A910" s="1"/>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x14ac:dyDescent="0.25">
      <c r="A911" s="1"/>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x14ac:dyDescent="0.25">
      <c r="A912" s="1"/>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x14ac:dyDescent="0.25">
      <c r="A913" s="1"/>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x14ac:dyDescent="0.25">
      <c r="A914" s="1"/>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x14ac:dyDescent="0.25">
      <c r="A915" s="1"/>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x14ac:dyDescent="0.25">
      <c r="A916" s="1"/>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x14ac:dyDescent="0.25">
      <c r="A917" s="1"/>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x14ac:dyDescent="0.25">
      <c r="A918" s="1"/>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x14ac:dyDescent="0.25">
      <c r="A919" s="1"/>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x14ac:dyDescent="0.25">
      <c r="A920" s="1"/>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x14ac:dyDescent="0.25">
      <c r="A921" s="1"/>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x14ac:dyDescent="0.25">
      <c r="A922" s="1"/>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x14ac:dyDescent="0.25">
      <c r="A923" s="1"/>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x14ac:dyDescent="0.25">
      <c r="A924" s="1"/>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x14ac:dyDescent="0.25">
      <c r="A925" s="1"/>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x14ac:dyDescent="0.25">
      <c r="A926" s="1"/>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x14ac:dyDescent="0.25">
      <c r="A927" s="1"/>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x14ac:dyDescent="0.25">
      <c r="A928" s="1"/>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x14ac:dyDescent="0.25">
      <c r="A929" s="1"/>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x14ac:dyDescent="0.25">
      <c r="A930" s="1"/>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x14ac:dyDescent="0.25">
      <c r="A931" s="1"/>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x14ac:dyDescent="0.25">
      <c r="A932" s="1"/>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x14ac:dyDescent="0.25">
      <c r="A933" s="1"/>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x14ac:dyDescent="0.25">
      <c r="A934" s="1"/>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x14ac:dyDescent="0.25">
      <c r="A935" s="1"/>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x14ac:dyDescent="0.25">
      <c r="A936" s="1"/>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x14ac:dyDescent="0.25">
      <c r="A937" s="1"/>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x14ac:dyDescent="0.25">
      <c r="A938" s="1"/>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x14ac:dyDescent="0.25">
      <c r="A939" s="1"/>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x14ac:dyDescent="0.25">
      <c r="A940" s="1"/>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x14ac:dyDescent="0.25">
      <c r="A941" s="1"/>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x14ac:dyDescent="0.25">
      <c r="A942" s="1"/>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x14ac:dyDescent="0.25">
      <c r="A943" s="1"/>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x14ac:dyDescent="0.25">
      <c r="A944" s="1"/>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x14ac:dyDescent="0.25">
      <c r="A945" s="1"/>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x14ac:dyDescent="0.25">
      <c r="A946" s="1"/>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x14ac:dyDescent="0.25">
      <c r="A947" s="1"/>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x14ac:dyDescent="0.25">
      <c r="A948" s="1"/>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x14ac:dyDescent="0.25">
      <c r="A949" s="1"/>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x14ac:dyDescent="0.25">
      <c r="A950" s="1"/>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x14ac:dyDescent="0.25">
      <c r="A951" s="1"/>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x14ac:dyDescent="0.25">
      <c r="A952" s="1"/>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x14ac:dyDescent="0.25">
      <c r="A953" s="1"/>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x14ac:dyDescent="0.25">
      <c r="A954" s="1"/>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x14ac:dyDescent="0.25">
      <c r="A955" s="1"/>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x14ac:dyDescent="0.25">
      <c r="A956" s="1"/>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x14ac:dyDescent="0.25">
      <c r="A957" s="1"/>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x14ac:dyDescent="0.25">
      <c r="A958" s="1"/>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x14ac:dyDescent="0.25">
      <c r="A959" s="1"/>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x14ac:dyDescent="0.25">
      <c r="A960" s="1"/>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x14ac:dyDescent="0.25">
      <c r="A961" s="1"/>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x14ac:dyDescent="0.25">
      <c r="A962" s="1"/>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x14ac:dyDescent="0.25">
      <c r="A963" s="1"/>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x14ac:dyDescent="0.25">
      <c r="A964" s="1"/>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x14ac:dyDescent="0.25">
      <c r="A965" s="1"/>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x14ac:dyDescent="0.25">
      <c r="A966" s="1"/>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x14ac:dyDescent="0.25">
      <c r="A967" s="1"/>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x14ac:dyDescent="0.25">
      <c r="A968" s="1"/>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x14ac:dyDescent="0.25">
      <c r="A969" s="1"/>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x14ac:dyDescent="0.25">
      <c r="A970" s="1"/>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x14ac:dyDescent="0.25">
      <c r="A971" s="1"/>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x14ac:dyDescent="0.25">
      <c r="A972" s="1"/>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x14ac:dyDescent="0.25">
      <c r="A973" s="1"/>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x14ac:dyDescent="0.25">
      <c r="A974" s="1"/>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x14ac:dyDescent="0.25">
      <c r="A975" s="1"/>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x14ac:dyDescent="0.25">
      <c r="A976" s="1"/>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x14ac:dyDescent="0.25">
      <c r="A977" s="1"/>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x14ac:dyDescent="0.25">
      <c r="A978" s="1"/>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x14ac:dyDescent="0.25">
      <c r="A979" s="1"/>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x14ac:dyDescent="0.25">
      <c r="A980" s="1"/>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x14ac:dyDescent="0.25">
      <c r="A981" s="1"/>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x14ac:dyDescent="0.25">
      <c r="A982" s="1"/>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x14ac:dyDescent="0.25">
      <c r="A983" s="1"/>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x14ac:dyDescent="0.25">
      <c r="A984" s="1"/>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x14ac:dyDescent="0.25">
      <c r="A985" s="1"/>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x14ac:dyDescent="0.25">
      <c r="A986" s="1"/>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x14ac:dyDescent="0.25">
      <c r="A987" s="1"/>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x14ac:dyDescent="0.25">
      <c r="A988" s="1"/>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x14ac:dyDescent="0.25">
      <c r="A989" s="1"/>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x14ac:dyDescent="0.25">
      <c r="A990" s="1"/>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x14ac:dyDescent="0.25">
      <c r="A991" s="1"/>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x14ac:dyDescent="0.25">
      <c r="A992" s="1"/>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x14ac:dyDescent="0.25">
      <c r="A993" s="1"/>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x14ac:dyDescent="0.25">
      <c r="A994" s="1"/>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x14ac:dyDescent="0.25">
      <c r="A995" s="1"/>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x14ac:dyDescent="0.25">
      <c r="A996" s="1"/>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x14ac:dyDescent="0.25">
      <c r="A997" s="1"/>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x14ac:dyDescent="0.25">
      <c r="A998" s="1"/>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x14ac:dyDescent="0.25">
      <c r="A999" s="1"/>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x14ac:dyDescent="0.25">
      <c r="A1000" s="1"/>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hyperlinks>
    <hyperlink ref="A69" r:id="rId1" xr:uid="{00000000-0004-0000-0800-000000000000}"/>
    <hyperlink ref="A70" r:id="rId2" xr:uid="{00000000-0004-0000-0800-000001000000}"/>
    <hyperlink ref="A71" r:id="rId3" xr:uid="{00000000-0004-0000-0800-000002000000}"/>
  </hyperlinks>
  <pageMargins left="0.7" right="0.7" top="0.75" bottom="0.75" header="0" footer="0"/>
  <pageSetup orientation="portrait"/>
  <drawing r:id="rId4"/>
  <tableParts count="2">
    <tablePart r:id="rId5"/>
    <tablePart r:id="rId6"/>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showGridLines="0" topLeftCell="A32" workbookViewId="0">
      <selection activeCell="B41" sqref="B41"/>
    </sheetView>
  </sheetViews>
  <sheetFormatPr defaultColWidth="14.42578125" defaultRowHeight="15" customHeight="1" x14ac:dyDescent="0.25"/>
  <cols>
    <col min="1" max="1" width="12.7109375" customWidth="1"/>
    <col min="2" max="2" width="82.85546875" customWidth="1"/>
    <col min="3" max="3" width="13.140625" bestFit="1" customWidth="1"/>
    <col min="4" max="4" width="14.85546875" bestFit="1" customWidth="1"/>
    <col min="5" max="5" width="13.140625" customWidth="1"/>
    <col min="6" max="6" width="14.85546875" customWidth="1"/>
    <col min="7" max="26" width="8.85546875" customWidth="1"/>
  </cols>
  <sheetData>
    <row r="1" spans="1:26" ht="60" customHeight="1" x14ac:dyDescent="0.25">
      <c r="A1" s="1" t="s">
        <v>340</v>
      </c>
      <c r="B1" s="3"/>
      <c r="G1" s="3"/>
      <c r="H1" s="3"/>
      <c r="I1" s="3"/>
      <c r="J1" s="3"/>
      <c r="K1" s="3"/>
      <c r="L1" s="3"/>
      <c r="M1" s="3"/>
      <c r="N1" s="3"/>
      <c r="O1" s="3"/>
      <c r="P1" s="3"/>
      <c r="Q1" s="3"/>
      <c r="R1" s="3"/>
      <c r="S1" s="3"/>
      <c r="T1" s="3"/>
      <c r="U1" s="3"/>
      <c r="V1" s="3"/>
      <c r="W1" s="3"/>
      <c r="X1" s="3"/>
      <c r="Y1" s="3"/>
      <c r="Z1" s="3"/>
    </row>
    <row r="2" spans="1:26" ht="15" customHeight="1" x14ac:dyDescent="0.25">
      <c r="A2" s="1" t="s">
        <v>341</v>
      </c>
      <c r="B2" s="3"/>
      <c r="G2" s="3"/>
      <c r="H2" s="3"/>
      <c r="I2" s="3"/>
      <c r="J2" s="3"/>
      <c r="K2" s="3"/>
      <c r="L2" s="3"/>
      <c r="M2" s="3"/>
      <c r="N2" s="3"/>
      <c r="O2" s="3"/>
      <c r="P2" s="3"/>
      <c r="Q2" s="3"/>
      <c r="R2" s="3"/>
      <c r="S2" s="3"/>
      <c r="T2" s="3"/>
      <c r="U2" s="3"/>
      <c r="V2" s="3"/>
      <c r="W2" s="3"/>
      <c r="X2" s="3"/>
      <c r="Y2" s="3"/>
      <c r="Z2" s="3"/>
    </row>
    <row r="3" spans="1:26" ht="15" customHeight="1" x14ac:dyDescent="0.25">
      <c r="A3" s="1" t="s">
        <v>342</v>
      </c>
      <c r="B3" s="3"/>
      <c r="C3" s="25" t="s">
        <v>335</v>
      </c>
      <c r="D3" s="25" t="s">
        <v>343</v>
      </c>
      <c r="E3" s="25" t="s">
        <v>87</v>
      </c>
      <c r="F3" s="25" t="s">
        <v>4</v>
      </c>
      <c r="G3" s="3"/>
      <c r="H3" s="3"/>
      <c r="I3" s="3"/>
      <c r="J3" s="3"/>
      <c r="K3" s="3"/>
      <c r="L3" s="3"/>
      <c r="M3" s="3"/>
      <c r="N3" s="3"/>
      <c r="O3" s="3"/>
      <c r="P3" s="3"/>
      <c r="Q3" s="3"/>
      <c r="R3" s="3"/>
      <c r="S3" s="3"/>
      <c r="T3" s="3"/>
      <c r="U3" s="3"/>
      <c r="V3" s="3"/>
      <c r="W3" s="3"/>
      <c r="X3" s="3"/>
      <c r="Y3" s="3"/>
      <c r="Z3" s="3"/>
    </row>
    <row r="4" spans="1:26" ht="15" customHeight="1" x14ac:dyDescent="0.25">
      <c r="A4" s="1" t="s">
        <v>344</v>
      </c>
      <c r="B4" s="3"/>
      <c r="C4" s="26">
        <f ca="1">TODAY()-57</f>
        <v>45090</v>
      </c>
      <c r="D4" s="25" t="s">
        <v>345</v>
      </c>
      <c r="E4" s="25" t="s">
        <v>346</v>
      </c>
      <c r="F4" s="32">
        <v>1400</v>
      </c>
      <c r="G4" s="3"/>
      <c r="H4" s="3"/>
      <c r="I4" s="3"/>
      <c r="J4" s="3"/>
      <c r="K4" s="3"/>
      <c r="L4" s="3"/>
      <c r="M4" s="3"/>
      <c r="N4" s="3"/>
      <c r="O4" s="3"/>
      <c r="P4" s="3"/>
      <c r="Q4" s="3"/>
      <c r="R4" s="3"/>
      <c r="S4" s="3"/>
      <c r="T4" s="3"/>
      <c r="U4" s="3"/>
      <c r="V4" s="3"/>
      <c r="W4" s="3"/>
      <c r="X4" s="3"/>
      <c r="Y4" s="3"/>
      <c r="Z4" s="3"/>
    </row>
    <row r="5" spans="1:26" ht="15" customHeight="1" x14ac:dyDescent="0.25">
      <c r="A5" s="1" t="s">
        <v>347</v>
      </c>
      <c r="B5" s="3"/>
      <c r="C5" s="26">
        <f ca="1">TODAY()-52</f>
        <v>45095</v>
      </c>
      <c r="D5" s="25" t="s">
        <v>214</v>
      </c>
      <c r="E5" s="25" t="s">
        <v>348</v>
      </c>
      <c r="F5" s="32">
        <v>1010</v>
      </c>
      <c r="G5" s="7"/>
      <c r="H5" s="7"/>
      <c r="I5" s="7"/>
      <c r="J5" s="7"/>
      <c r="K5" s="7"/>
      <c r="L5" s="7"/>
      <c r="M5" s="7"/>
      <c r="N5" s="7"/>
      <c r="O5" s="7"/>
      <c r="P5" s="7"/>
      <c r="Q5" s="7"/>
      <c r="R5" s="7"/>
      <c r="S5" s="7"/>
      <c r="T5" s="7"/>
      <c r="U5" s="7"/>
      <c r="V5" s="7"/>
      <c r="W5" s="7"/>
      <c r="X5" s="7"/>
      <c r="Y5" s="7"/>
      <c r="Z5" s="7"/>
    </row>
    <row r="6" spans="1:26" ht="15" customHeight="1" x14ac:dyDescent="0.25">
      <c r="A6" s="1" t="s">
        <v>349</v>
      </c>
      <c r="B6" s="3"/>
      <c r="C6" s="26">
        <f ca="1">TODAY()-35</f>
        <v>45112</v>
      </c>
      <c r="D6" s="25" t="s">
        <v>345</v>
      </c>
      <c r="E6" s="25" t="s">
        <v>346</v>
      </c>
      <c r="F6" s="32">
        <v>750</v>
      </c>
      <c r="G6" s="7"/>
      <c r="H6" s="7"/>
      <c r="I6" s="7"/>
      <c r="J6" s="7"/>
      <c r="K6" s="7"/>
      <c r="L6" s="7"/>
      <c r="M6" s="7"/>
      <c r="N6" s="7"/>
      <c r="O6" s="7"/>
      <c r="P6" s="7"/>
      <c r="Q6" s="7"/>
      <c r="R6" s="7"/>
      <c r="S6" s="7"/>
      <c r="T6" s="7"/>
      <c r="U6" s="7"/>
      <c r="V6" s="7"/>
      <c r="W6" s="7"/>
      <c r="X6" s="7"/>
      <c r="Y6" s="7"/>
      <c r="Z6" s="7"/>
    </row>
    <row r="7" spans="1:26" ht="15" customHeight="1" x14ac:dyDescent="0.25">
      <c r="A7" s="1" t="s">
        <v>350</v>
      </c>
      <c r="B7" s="3"/>
      <c r="C7" s="26">
        <f ca="1">TODAY()-31</f>
        <v>45116</v>
      </c>
      <c r="D7" s="25" t="s">
        <v>214</v>
      </c>
      <c r="E7" s="25" t="s">
        <v>351</v>
      </c>
      <c r="F7" s="32">
        <v>510</v>
      </c>
      <c r="G7" s="7"/>
      <c r="H7" s="7"/>
      <c r="I7" s="7"/>
      <c r="J7" s="7"/>
      <c r="K7" s="7"/>
      <c r="L7" s="7"/>
      <c r="M7" s="7"/>
      <c r="N7" s="7"/>
      <c r="O7" s="7"/>
      <c r="P7" s="7"/>
      <c r="Q7" s="7"/>
      <c r="R7" s="7"/>
      <c r="S7" s="7"/>
      <c r="T7" s="7"/>
      <c r="U7" s="7"/>
      <c r="V7" s="7"/>
      <c r="W7" s="7"/>
      <c r="X7" s="7"/>
      <c r="Y7" s="7"/>
      <c r="Z7" s="7"/>
    </row>
    <row r="8" spans="1:26" ht="15" customHeight="1" x14ac:dyDescent="0.25">
      <c r="A8" s="1" t="s">
        <v>26</v>
      </c>
      <c r="B8" s="3"/>
      <c r="C8" s="26">
        <f ca="1">TODAY()-11</f>
        <v>45136</v>
      </c>
      <c r="D8" s="25" t="s">
        <v>352</v>
      </c>
      <c r="E8" s="25" t="s">
        <v>351</v>
      </c>
      <c r="F8" s="32">
        <v>1600</v>
      </c>
      <c r="G8" s="7"/>
      <c r="H8" s="7"/>
      <c r="I8" s="7"/>
      <c r="J8" s="7"/>
      <c r="K8" s="7"/>
      <c r="L8" s="7"/>
      <c r="M8" s="7"/>
      <c r="N8" s="7"/>
      <c r="O8" s="7"/>
      <c r="P8" s="7"/>
      <c r="Q8" s="7"/>
      <c r="R8" s="7"/>
      <c r="S8" s="7"/>
      <c r="T8" s="7"/>
      <c r="U8" s="7"/>
      <c r="V8" s="7"/>
      <c r="W8" s="7"/>
      <c r="X8" s="7"/>
      <c r="Y8" s="7"/>
      <c r="Z8" s="7"/>
    </row>
    <row r="9" spans="1:26" ht="15" customHeight="1" x14ac:dyDescent="0.25">
      <c r="A9" s="1"/>
      <c r="B9" s="3"/>
      <c r="C9" s="26">
        <f ca="1">TODAY()</f>
        <v>45147</v>
      </c>
      <c r="D9" s="25" t="s">
        <v>218</v>
      </c>
      <c r="E9" s="25" t="s">
        <v>348</v>
      </c>
      <c r="F9" s="32">
        <v>680</v>
      </c>
      <c r="G9" s="7"/>
      <c r="H9" s="7"/>
      <c r="I9" s="7"/>
      <c r="J9" s="7"/>
      <c r="K9" s="7"/>
      <c r="L9" s="7"/>
      <c r="M9" s="7"/>
      <c r="N9" s="7"/>
      <c r="O9" s="7"/>
      <c r="P9" s="7"/>
      <c r="Q9" s="7"/>
      <c r="R9" s="7"/>
      <c r="S9" s="7"/>
      <c r="T9" s="7"/>
      <c r="U9" s="7"/>
      <c r="V9" s="7"/>
      <c r="W9" s="7"/>
      <c r="X9" s="7"/>
      <c r="Y9" s="7"/>
      <c r="Z9" s="7"/>
    </row>
    <row r="10" spans="1:26" ht="15" customHeight="1" x14ac:dyDescent="0.25">
      <c r="A10" s="1"/>
      <c r="B10" s="3"/>
      <c r="G10" s="7"/>
      <c r="H10" s="7"/>
      <c r="I10" s="7"/>
      <c r="J10" s="7"/>
      <c r="K10" s="7"/>
      <c r="L10" s="7"/>
      <c r="M10" s="7"/>
      <c r="N10" s="7"/>
      <c r="O10" s="7"/>
      <c r="P10" s="7"/>
      <c r="Q10" s="7"/>
      <c r="R10" s="7"/>
      <c r="S10" s="7"/>
      <c r="T10" s="7"/>
      <c r="U10" s="7"/>
      <c r="V10" s="7"/>
      <c r="W10" s="7"/>
      <c r="X10" s="7"/>
      <c r="Y10" s="7"/>
      <c r="Z10" s="7"/>
    </row>
    <row r="11" spans="1:26" ht="15" customHeight="1" x14ac:dyDescent="0.25">
      <c r="A11" s="1"/>
      <c r="B11" s="3"/>
      <c r="C11" s="7"/>
      <c r="D11" s="7"/>
      <c r="E11" s="3" t="s">
        <v>353</v>
      </c>
      <c r="F11" s="25" t="s">
        <v>354</v>
      </c>
      <c r="G11" s="7"/>
      <c r="H11" s="7"/>
      <c r="I11" s="7"/>
      <c r="J11" s="7"/>
      <c r="K11" s="7"/>
      <c r="L11" s="7"/>
      <c r="M11" s="7"/>
      <c r="N11" s="7"/>
      <c r="O11" s="7"/>
      <c r="P11" s="7"/>
      <c r="Q11" s="7"/>
      <c r="R11" s="7"/>
      <c r="S11" s="7"/>
      <c r="T11" s="7"/>
      <c r="U11" s="7"/>
      <c r="V11" s="7"/>
      <c r="W11" s="7"/>
      <c r="X11" s="7"/>
      <c r="Y11" s="7"/>
      <c r="Z11" s="7"/>
    </row>
    <row r="12" spans="1:26" ht="15" customHeight="1" x14ac:dyDescent="0.25">
      <c r="A12" s="1"/>
      <c r="B12" s="3"/>
      <c r="C12" s="7"/>
      <c r="D12" s="7"/>
      <c r="E12" s="7" t="s">
        <v>346</v>
      </c>
      <c r="F12" s="24">
        <v>2150</v>
      </c>
      <c r="G12" s="7"/>
      <c r="H12" s="7"/>
      <c r="I12" s="7"/>
      <c r="J12" s="7"/>
      <c r="K12" s="7"/>
      <c r="L12" s="7"/>
      <c r="M12" s="7"/>
      <c r="N12" s="7"/>
      <c r="O12" s="7"/>
      <c r="P12" s="7"/>
      <c r="Q12" s="7"/>
      <c r="R12" s="7"/>
      <c r="S12" s="7"/>
      <c r="T12" s="7"/>
      <c r="U12" s="7"/>
      <c r="V12" s="7"/>
      <c r="W12" s="7"/>
      <c r="X12" s="7"/>
      <c r="Y12" s="7"/>
      <c r="Z12" s="7"/>
    </row>
    <row r="13" spans="1:26" ht="15" customHeight="1" x14ac:dyDescent="0.25">
      <c r="A13" s="1"/>
      <c r="B13" s="3"/>
      <c r="C13" s="7"/>
      <c r="D13" s="7"/>
      <c r="E13" s="7" t="s">
        <v>351</v>
      </c>
      <c r="F13" s="24">
        <v>2110</v>
      </c>
      <c r="G13" s="7"/>
      <c r="H13" s="7"/>
      <c r="I13" s="7"/>
      <c r="J13" s="7"/>
      <c r="K13" s="7"/>
      <c r="L13" s="7"/>
      <c r="M13" s="7"/>
      <c r="N13" s="7"/>
      <c r="O13" s="7"/>
      <c r="P13" s="7"/>
      <c r="Q13" s="7"/>
      <c r="R13" s="7"/>
      <c r="S13" s="7"/>
      <c r="T13" s="7"/>
      <c r="U13" s="7"/>
      <c r="V13" s="7"/>
      <c r="W13" s="7"/>
      <c r="X13" s="7"/>
      <c r="Y13" s="7"/>
      <c r="Z13" s="7"/>
    </row>
    <row r="14" spans="1:26" ht="15" customHeight="1" x14ac:dyDescent="0.25">
      <c r="A14" s="1"/>
      <c r="B14" s="3"/>
      <c r="C14" s="7"/>
      <c r="D14" s="7"/>
      <c r="E14" s="7" t="s">
        <v>348</v>
      </c>
      <c r="F14" s="24">
        <v>1690</v>
      </c>
      <c r="G14" s="7"/>
      <c r="H14" s="7"/>
      <c r="I14" s="7"/>
      <c r="J14" s="7"/>
      <c r="K14" s="7"/>
      <c r="L14" s="7"/>
      <c r="M14" s="7"/>
      <c r="N14" s="7"/>
      <c r="O14" s="7"/>
      <c r="P14" s="7"/>
      <c r="Q14" s="7"/>
      <c r="R14" s="7"/>
      <c r="S14" s="7"/>
      <c r="T14" s="7"/>
      <c r="U14" s="7"/>
      <c r="V14" s="7"/>
      <c r="W14" s="7"/>
      <c r="X14" s="7"/>
      <c r="Y14" s="7"/>
      <c r="Z14" s="7"/>
    </row>
    <row r="15" spans="1:26" ht="15" customHeight="1" x14ac:dyDescent="0.25">
      <c r="A15" s="1"/>
      <c r="B15" s="3"/>
      <c r="C15" s="7"/>
      <c r="D15" s="7"/>
      <c r="E15" s="7" t="s">
        <v>355</v>
      </c>
      <c r="F15" s="24">
        <v>5950</v>
      </c>
      <c r="G15" s="7"/>
      <c r="H15" s="7"/>
      <c r="I15" s="7"/>
      <c r="J15" s="7"/>
      <c r="K15" s="7"/>
      <c r="L15" s="7"/>
      <c r="M15" s="7"/>
      <c r="N15" s="7"/>
      <c r="O15" s="7"/>
      <c r="P15" s="7"/>
      <c r="Q15" s="7"/>
      <c r="R15" s="7"/>
      <c r="S15" s="7"/>
      <c r="T15" s="7"/>
      <c r="U15" s="7"/>
      <c r="V15" s="7"/>
      <c r="W15" s="7"/>
      <c r="X15" s="7"/>
      <c r="Y15" s="7"/>
      <c r="Z15" s="7"/>
    </row>
    <row r="16" spans="1:26" ht="15" customHeight="1" x14ac:dyDescent="0.25">
      <c r="A16" s="1"/>
      <c r="B16" s="3"/>
      <c r="G16" s="7"/>
      <c r="H16" s="7"/>
      <c r="I16" s="7"/>
      <c r="J16" s="7"/>
      <c r="K16" s="7"/>
      <c r="L16" s="7"/>
      <c r="M16" s="7"/>
      <c r="N16" s="7"/>
      <c r="O16" s="7"/>
      <c r="P16" s="7"/>
      <c r="Q16" s="7"/>
      <c r="R16" s="7"/>
      <c r="S16" s="7"/>
      <c r="T16" s="7"/>
      <c r="U16" s="7"/>
      <c r="V16" s="7"/>
      <c r="W16" s="7"/>
      <c r="X16" s="7"/>
      <c r="Y16" s="7"/>
      <c r="Z16" s="7"/>
    </row>
    <row r="17" spans="1:26" ht="15" customHeight="1" x14ac:dyDescent="0.25">
      <c r="A17" s="1"/>
      <c r="B17" s="3"/>
      <c r="G17" s="7"/>
      <c r="H17" s="7"/>
      <c r="I17" s="7"/>
      <c r="J17" s="7"/>
      <c r="K17" s="7"/>
      <c r="L17" s="7"/>
      <c r="M17" s="7"/>
      <c r="N17" s="7"/>
      <c r="O17" s="7"/>
      <c r="P17" s="7"/>
      <c r="Q17" s="7"/>
      <c r="R17" s="7"/>
      <c r="S17" s="7"/>
      <c r="T17" s="7"/>
      <c r="U17" s="7"/>
      <c r="V17" s="7"/>
      <c r="W17" s="7"/>
      <c r="X17" s="7"/>
      <c r="Y17" s="7"/>
      <c r="Z17" s="7"/>
    </row>
    <row r="18" spans="1:26" ht="15" customHeight="1" x14ac:dyDescent="0.25">
      <c r="A18" s="1"/>
      <c r="B18" s="3"/>
      <c r="G18" s="7"/>
      <c r="H18" s="7"/>
      <c r="I18" s="7"/>
      <c r="J18" s="7"/>
      <c r="K18" s="7"/>
      <c r="L18" s="7"/>
      <c r="M18" s="7"/>
      <c r="N18" s="7"/>
      <c r="O18" s="7"/>
      <c r="P18" s="7"/>
      <c r="Q18" s="7"/>
      <c r="R18" s="7"/>
      <c r="S18" s="7"/>
      <c r="T18" s="7"/>
      <c r="U18" s="7"/>
      <c r="V18" s="7"/>
      <c r="W18" s="7"/>
      <c r="X18" s="7"/>
      <c r="Y18" s="7"/>
      <c r="Z18" s="7"/>
    </row>
    <row r="19" spans="1:26" ht="15" customHeight="1" x14ac:dyDescent="0.25">
      <c r="A19" s="1"/>
      <c r="B19" s="3"/>
      <c r="G19" s="7"/>
      <c r="H19" s="7"/>
      <c r="I19" s="7"/>
      <c r="J19" s="7"/>
      <c r="K19" s="7"/>
      <c r="L19" s="7"/>
      <c r="M19" s="7"/>
      <c r="N19" s="7"/>
      <c r="O19" s="7"/>
      <c r="P19" s="7"/>
      <c r="Q19" s="7"/>
      <c r="R19" s="7"/>
      <c r="S19" s="7"/>
      <c r="T19" s="7"/>
      <c r="U19" s="7"/>
      <c r="V19" s="7"/>
      <c r="W19" s="7"/>
      <c r="X19" s="7"/>
      <c r="Y19" s="7"/>
      <c r="Z19" s="7"/>
    </row>
    <row r="20" spans="1:26" ht="15" customHeight="1" x14ac:dyDescent="0.25">
      <c r="A20" s="1"/>
      <c r="B20" s="3"/>
      <c r="G20" s="7"/>
      <c r="H20" s="7"/>
      <c r="I20" s="7"/>
      <c r="J20" s="7"/>
      <c r="K20" s="7"/>
      <c r="L20" s="7"/>
      <c r="M20" s="7"/>
      <c r="N20" s="7"/>
      <c r="O20" s="7"/>
      <c r="P20" s="7"/>
      <c r="Q20" s="7"/>
      <c r="R20" s="7"/>
      <c r="S20" s="7"/>
      <c r="T20" s="7"/>
      <c r="U20" s="7"/>
      <c r="V20" s="7"/>
      <c r="W20" s="7"/>
      <c r="X20" s="7"/>
      <c r="Y20" s="7"/>
      <c r="Z20" s="7"/>
    </row>
    <row r="21" spans="1:26" ht="15" customHeight="1" x14ac:dyDescent="0.25">
      <c r="A21" s="1"/>
      <c r="B21" s="3"/>
      <c r="G21" s="7"/>
      <c r="H21" s="7"/>
      <c r="I21" s="7"/>
      <c r="J21" s="7"/>
      <c r="K21" s="7"/>
      <c r="L21" s="7"/>
      <c r="M21" s="7"/>
      <c r="N21" s="7"/>
      <c r="O21" s="7"/>
      <c r="P21" s="7"/>
      <c r="Q21" s="7"/>
      <c r="R21" s="7"/>
      <c r="S21" s="7"/>
      <c r="T21" s="7"/>
      <c r="U21" s="7"/>
      <c r="V21" s="7"/>
      <c r="W21" s="7"/>
      <c r="X21" s="7"/>
      <c r="Y21" s="7"/>
      <c r="Z21" s="7"/>
    </row>
    <row r="22" spans="1:26" ht="15" customHeight="1" x14ac:dyDescent="0.25">
      <c r="A22" s="1"/>
      <c r="B22" s="3"/>
      <c r="F22" s="7"/>
      <c r="G22" s="7"/>
      <c r="H22" s="7"/>
      <c r="I22" s="7"/>
      <c r="J22" s="7"/>
      <c r="K22" s="7"/>
      <c r="L22" s="7"/>
      <c r="M22" s="7"/>
      <c r="N22" s="7"/>
      <c r="O22" s="7"/>
      <c r="P22" s="7"/>
      <c r="Q22" s="7"/>
      <c r="R22" s="7"/>
      <c r="S22" s="7"/>
      <c r="T22" s="7"/>
      <c r="U22" s="7"/>
      <c r="V22" s="7"/>
      <c r="W22" s="7"/>
      <c r="X22" s="7"/>
      <c r="Y22" s="7"/>
      <c r="Z22" s="7"/>
    </row>
    <row r="23" spans="1:26" ht="15" customHeight="1" x14ac:dyDescent="0.25">
      <c r="A23" s="1"/>
      <c r="B23" s="3"/>
      <c r="F23" s="7"/>
      <c r="G23" s="7"/>
      <c r="H23" s="7"/>
      <c r="I23" s="7"/>
      <c r="J23" s="7"/>
      <c r="K23" s="7"/>
      <c r="L23" s="7"/>
      <c r="M23" s="7"/>
      <c r="N23" s="7"/>
      <c r="O23" s="7"/>
      <c r="P23" s="7"/>
      <c r="Q23" s="7"/>
      <c r="R23" s="7"/>
      <c r="S23" s="7"/>
      <c r="T23" s="7"/>
      <c r="U23" s="7"/>
      <c r="V23" s="7"/>
      <c r="W23" s="7"/>
      <c r="X23" s="7"/>
      <c r="Y23" s="7"/>
      <c r="Z23" s="7"/>
    </row>
    <row r="24" spans="1:26" ht="15" customHeight="1" x14ac:dyDescent="0.25">
      <c r="A24" s="1"/>
      <c r="B24" s="3"/>
      <c r="F24" s="7"/>
      <c r="G24" s="7"/>
      <c r="H24" s="7"/>
      <c r="I24" s="7"/>
      <c r="J24" s="7"/>
      <c r="K24" s="7"/>
      <c r="L24" s="7"/>
      <c r="M24" s="7"/>
      <c r="N24" s="7"/>
      <c r="O24" s="7"/>
      <c r="P24" s="7"/>
      <c r="Q24" s="7"/>
      <c r="R24" s="7"/>
      <c r="S24" s="7"/>
      <c r="T24" s="7"/>
      <c r="U24" s="7"/>
      <c r="V24" s="7"/>
      <c r="W24" s="7"/>
      <c r="X24" s="7"/>
      <c r="Y24" s="7"/>
      <c r="Z24" s="7"/>
    </row>
    <row r="25" spans="1:26" ht="15" customHeight="1" x14ac:dyDescent="0.25">
      <c r="A25" s="1"/>
      <c r="B25" s="3"/>
      <c r="F25" s="3"/>
      <c r="G25" s="3"/>
      <c r="H25" s="3"/>
      <c r="I25" s="3"/>
      <c r="J25" s="3"/>
      <c r="K25" s="3"/>
      <c r="L25" s="3"/>
      <c r="M25" s="3"/>
      <c r="N25" s="3"/>
      <c r="O25" s="3"/>
      <c r="P25" s="3"/>
      <c r="Q25" s="3"/>
      <c r="R25" s="3"/>
      <c r="S25" s="3"/>
      <c r="T25" s="3"/>
      <c r="U25" s="3"/>
      <c r="V25" s="3"/>
      <c r="W25" s="3"/>
      <c r="X25" s="3"/>
      <c r="Y25" s="3"/>
      <c r="Z25" s="3"/>
    </row>
    <row r="26" spans="1:26" ht="15" customHeight="1" x14ac:dyDescent="0.25">
      <c r="A26" s="1"/>
      <c r="B26" s="3"/>
      <c r="F26" s="3"/>
      <c r="G26" s="3"/>
      <c r="H26" s="3"/>
      <c r="I26" s="3"/>
      <c r="J26" s="3"/>
      <c r="K26" s="3"/>
      <c r="L26" s="3"/>
      <c r="M26" s="3"/>
      <c r="N26" s="3"/>
      <c r="O26" s="3"/>
      <c r="P26" s="3"/>
      <c r="Q26" s="3"/>
      <c r="R26" s="3"/>
      <c r="S26" s="3"/>
      <c r="T26" s="3"/>
      <c r="U26" s="3"/>
      <c r="V26" s="3"/>
      <c r="W26" s="3"/>
      <c r="X26" s="3"/>
      <c r="Y26" s="3"/>
      <c r="Z26" s="3"/>
    </row>
    <row r="27" spans="1:26" ht="15" customHeight="1" x14ac:dyDescent="0.25">
      <c r="A27" s="1" t="s">
        <v>356</v>
      </c>
      <c r="B27" s="3"/>
      <c r="G27" s="3"/>
      <c r="H27" s="3"/>
      <c r="I27" s="3"/>
      <c r="J27" s="3"/>
      <c r="K27" s="3"/>
      <c r="L27" s="3"/>
      <c r="M27" s="3"/>
      <c r="N27" s="3"/>
      <c r="O27" s="3"/>
      <c r="P27" s="3"/>
      <c r="Q27" s="3"/>
      <c r="R27" s="3"/>
      <c r="S27" s="3"/>
      <c r="T27" s="3"/>
      <c r="U27" s="3"/>
      <c r="V27" s="3"/>
      <c r="W27" s="3"/>
      <c r="X27" s="3"/>
      <c r="Y27" s="3"/>
      <c r="Z27" s="3"/>
    </row>
    <row r="28" spans="1:26" ht="15" customHeight="1" x14ac:dyDescent="0.25">
      <c r="A28" s="1" t="s">
        <v>357</v>
      </c>
      <c r="B28" s="3"/>
      <c r="G28" s="3"/>
      <c r="H28" s="3"/>
      <c r="I28" s="3"/>
      <c r="J28" s="3"/>
      <c r="K28" s="3"/>
      <c r="L28" s="3"/>
      <c r="M28" s="3"/>
      <c r="N28" s="3"/>
      <c r="O28" s="3"/>
      <c r="P28" s="3"/>
      <c r="Q28" s="3"/>
      <c r="R28" s="3"/>
      <c r="S28" s="3"/>
      <c r="T28" s="3"/>
      <c r="U28" s="3"/>
      <c r="V28" s="3"/>
      <c r="W28" s="3"/>
      <c r="X28" s="3"/>
      <c r="Y28" s="3"/>
      <c r="Z28" s="3"/>
    </row>
    <row r="29" spans="1:26" ht="15" customHeight="1" x14ac:dyDescent="0.25">
      <c r="A29" s="1" t="s">
        <v>358</v>
      </c>
      <c r="B29" s="3"/>
      <c r="G29" s="3"/>
      <c r="H29" s="3"/>
      <c r="I29" s="3"/>
      <c r="J29" s="3"/>
      <c r="K29" s="3"/>
      <c r="L29" s="3"/>
      <c r="M29" s="3"/>
      <c r="N29" s="3"/>
      <c r="O29" s="3"/>
      <c r="P29" s="3"/>
      <c r="Q29" s="3"/>
      <c r="R29" s="3"/>
      <c r="S29" s="3"/>
      <c r="T29" s="3"/>
      <c r="U29" s="3"/>
      <c r="V29" s="3"/>
      <c r="W29" s="3"/>
      <c r="X29" s="3"/>
      <c r="Y29" s="3"/>
      <c r="Z29" s="3"/>
    </row>
    <row r="30" spans="1:26" ht="15" customHeight="1" x14ac:dyDescent="0.25">
      <c r="A30" s="1" t="s">
        <v>359</v>
      </c>
      <c r="B30" s="3"/>
      <c r="G30" s="3"/>
      <c r="H30" s="3"/>
      <c r="I30" s="3"/>
      <c r="J30" s="3"/>
      <c r="K30" s="3"/>
      <c r="L30" s="3"/>
      <c r="M30" s="3"/>
      <c r="N30" s="3"/>
      <c r="O30" s="3"/>
      <c r="P30" s="3"/>
      <c r="Q30" s="3"/>
      <c r="R30" s="3"/>
      <c r="S30" s="3"/>
      <c r="T30" s="3"/>
      <c r="U30" s="3"/>
      <c r="V30" s="3"/>
      <c r="W30" s="3"/>
      <c r="X30" s="3"/>
      <c r="Y30" s="3"/>
      <c r="Z30" s="3"/>
    </row>
    <row r="31" spans="1:26" ht="15" customHeight="1" x14ac:dyDescent="0.25">
      <c r="A31" s="1" t="s">
        <v>360</v>
      </c>
      <c r="B31" s="3"/>
      <c r="G31" s="3"/>
      <c r="H31" s="3"/>
      <c r="I31" s="3"/>
      <c r="J31" s="3"/>
      <c r="K31" s="3"/>
      <c r="L31" s="3"/>
      <c r="M31" s="3"/>
      <c r="N31" s="3"/>
      <c r="O31" s="3"/>
      <c r="P31" s="3"/>
      <c r="Q31" s="3"/>
      <c r="R31" s="3"/>
      <c r="S31" s="3"/>
      <c r="T31" s="3"/>
      <c r="U31" s="3"/>
      <c r="V31" s="3"/>
      <c r="W31" s="3"/>
      <c r="X31" s="3"/>
      <c r="Y31" s="3"/>
      <c r="Z31" s="3"/>
    </row>
    <row r="32" spans="1:26" ht="15" customHeight="1" x14ac:dyDescent="0.25">
      <c r="A32" s="1" t="s">
        <v>361</v>
      </c>
      <c r="B32" s="3"/>
      <c r="G32" s="3"/>
      <c r="H32" s="3"/>
      <c r="I32" s="3"/>
      <c r="J32" s="3"/>
      <c r="K32" s="3"/>
      <c r="L32" s="3"/>
      <c r="M32" s="3"/>
      <c r="N32" s="3"/>
      <c r="O32" s="3"/>
      <c r="P32" s="3"/>
      <c r="Q32" s="3"/>
      <c r="R32" s="3"/>
      <c r="S32" s="3"/>
      <c r="T32" s="3"/>
      <c r="U32" s="3"/>
      <c r="V32" s="3"/>
      <c r="W32" s="3"/>
      <c r="X32" s="3"/>
      <c r="Y32" s="3"/>
      <c r="Z32" s="3"/>
    </row>
    <row r="33" spans="1:26" ht="15" customHeight="1" x14ac:dyDescent="0.25">
      <c r="A33" s="12" t="s">
        <v>362</v>
      </c>
      <c r="B33" s="3"/>
      <c r="G33" s="3"/>
      <c r="H33" s="3"/>
      <c r="I33" s="3"/>
      <c r="J33" s="3"/>
      <c r="K33" s="3"/>
      <c r="L33" s="3"/>
      <c r="M33" s="3"/>
      <c r="N33" s="3"/>
      <c r="O33" s="3"/>
      <c r="P33" s="3"/>
      <c r="Q33" s="3"/>
      <c r="R33" s="3"/>
      <c r="S33" s="3"/>
      <c r="T33" s="3"/>
      <c r="U33" s="3"/>
      <c r="V33" s="3"/>
      <c r="W33" s="3"/>
      <c r="X33" s="3"/>
      <c r="Y33" s="3"/>
      <c r="Z33" s="3"/>
    </row>
    <row r="34" spans="1:26" ht="15" customHeight="1" x14ac:dyDescent="0.25">
      <c r="A34" s="12" t="s">
        <v>363</v>
      </c>
      <c r="B34" s="3"/>
      <c r="C34" s="25" t="s">
        <v>335</v>
      </c>
      <c r="D34" s="25" t="s">
        <v>343</v>
      </c>
      <c r="E34" s="25" t="s">
        <v>87</v>
      </c>
      <c r="F34" s="25" t="s">
        <v>4</v>
      </c>
      <c r="G34" s="3"/>
      <c r="H34" s="3"/>
      <c r="I34" s="3"/>
      <c r="J34" s="3"/>
      <c r="K34" s="3"/>
      <c r="L34" s="3"/>
      <c r="M34" s="3"/>
      <c r="N34" s="3"/>
      <c r="O34" s="3"/>
      <c r="P34" s="3"/>
      <c r="Q34" s="3"/>
      <c r="R34" s="3"/>
      <c r="S34" s="3"/>
      <c r="T34" s="3"/>
      <c r="U34" s="3"/>
      <c r="V34" s="3"/>
      <c r="W34" s="3"/>
      <c r="X34" s="3"/>
      <c r="Y34" s="3"/>
      <c r="Z34" s="3"/>
    </row>
    <row r="35" spans="1:26" ht="15" customHeight="1" x14ac:dyDescent="0.25">
      <c r="A35" s="1" t="s">
        <v>364</v>
      </c>
      <c r="B35" s="3"/>
      <c r="C35" s="26">
        <f ca="1">TODAY()-57</f>
        <v>45090</v>
      </c>
      <c r="D35" s="25" t="s">
        <v>345</v>
      </c>
      <c r="E35" s="25" t="s">
        <v>346</v>
      </c>
      <c r="F35" s="32">
        <v>1400</v>
      </c>
      <c r="G35" s="3"/>
      <c r="H35" s="3"/>
      <c r="I35" s="3"/>
      <c r="J35" s="3"/>
      <c r="K35" s="3"/>
      <c r="L35" s="3"/>
      <c r="M35" s="3"/>
      <c r="N35" s="3"/>
      <c r="O35" s="3"/>
      <c r="P35" s="3"/>
      <c r="Q35" s="3"/>
      <c r="R35" s="3"/>
      <c r="S35" s="3"/>
      <c r="T35" s="3"/>
      <c r="U35" s="3"/>
      <c r="V35" s="3"/>
      <c r="W35" s="3"/>
      <c r="X35" s="3"/>
      <c r="Y35" s="3"/>
      <c r="Z35" s="3"/>
    </row>
    <row r="36" spans="1:26" ht="15" customHeight="1" x14ac:dyDescent="0.25">
      <c r="A36" s="1" t="s">
        <v>365</v>
      </c>
      <c r="B36" s="3"/>
      <c r="C36" s="26">
        <f ca="1">TODAY()-52</f>
        <v>45095</v>
      </c>
      <c r="D36" s="25" t="s">
        <v>214</v>
      </c>
      <c r="E36" s="25" t="s">
        <v>348</v>
      </c>
      <c r="F36" s="32">
        <v>1010</v>
      </c>
      <c r="G36" s="3"/>
      <c r="H36" s="3"/>
      <c r="I36" s="3"/>
      <c r="J36" s="3"/>
      <c r="K36" s="3"/>
      <c r="L36" s="3"/>
      <c r="M36" s="3"/>
      <c r="N36" s="3"/>
      <c r="O36" s="3"/>
      <c r="P36" s="3"/>
      <c r="Q36" s="3"/>
      <c r="R36" s="3"/>
      <c r="S36" s="3"/>
      <c r="T36" s="3"/>
      <c r="U36" s="3"/>
      <c r="V36" s="3"/>
      <c r="W36" s="3"/>
      <c r="X36" s="3"/>
      <c r="Y36" s="3"/>
      <c r="Z36" s="3"/>
    </row>
    <row r="37" spans="1:26" ht="15" customHeight="1" x14ac:dyDescent="0.25">
      <c r="A37" s="1"/>
      <c r="B37" s="3"/>
      <c r="C37" s="26">
        <f ca="1">TODAY()-35</f>
        <v>45112</v>
      </c>
      <c r="D37" s="25" t="s">
        <v>345</v>
      </c>
      <c r="E37" s="25" t="s">
        <v>346</v>
      </c>
      <c r="F37" s="32">
        <v>750</v>
      </c>
      <c r="G37" s="3"/>
      <c r="H37" s="3"/>
      <c r="I37" s="3"/>
      <c r="J37" s="3"/>
      <c r="K37" s="3"/>
      <c r="L37" s="3"/>
      <c r="M37" s="3"/>
      <c r="N37" s="3"/>
      <c r="O37" s="3"/>
      <c r="P37" s="3"/>
      <c r="Q37" s="3"/>
      <c r="R37" s="3"/>
      <c r="S37" s="3"/>
      <c r="T37" s="3"/>
      <c r="U37" s="3"/>
      <c r="V37" s="3"/>
      <c r="W37" s="3"/>
      <c r="X37" s="3"/>
      <c r="Y37" s="3"/>
      <c r="Z37" s="3"/>
    </row>
    <row r="38" spans="1:26" ht="15" customHeight="1" x14ac:dyDescent="0.25">
      <c r="A38" s="1"/>
      <c r="B38" s="3"/>
      <c r="C38" s="26">
        <f ca="1">TODAY()-31</f>
        <v>45116</v>
      </c>
      <c r="D38" s="25" t="s">
        <v>214</v>
      </c>
      <c r="E38" s="25" t="s">
        <v>351</v>
      </c>
      <c r="F38" s="32">
        <v>510</v>
      </c>
      <c r="G38" s="3"/>
      <c r="H38" s="3"/>
      <c r="I38" s="3"/>
      <c r="J38" s="3"/>
      <c r="K38" s="3"/>
      <c r="L38" s="3"/>
      <c r="M38" s="3"/>
      <c r="N38" s="3"/>
      <c r="O38" s="3"/>
      <c r="P38" s="3"/>
      <c r="Q38" s="3"/>
      <c r="R38" s="3"/>
      <c r="S38" s="3"/>
      <c r="T38" s="3"/>
      <c r="U38" s="3"/>
      <c r="V38" s="3"/>
      <c r="W38" s="3"/>
      <c r="X38" s="3"/>
      <c r="Y38" s="3"/>
      <c r="Z38" s="3"/>
    </row>
    <row r="39" spans="1:26" ht="15" customHeight="1" x14ac:dyDescent="0.25">
      <c r="A39" s="1"/>
      <c r="B39" s="3"/>
      <c r="C39" s="26">
        <f ca="1">TODAY()-11</f>
        <v>45136</v>
      </c>
      <c r="D39" s="25" t="s">
        <v>352</v>
      </c>
      <c r="E39" s="25" t="s">
        <v>351</v>
      </c>
      <c r="F39" s="32">
        <v>1600</v>
      </c>
      <c r="G39" s="3"/>
      <c r="H39" s="3"/>
      <c r="I39" s="3"/>
      <c r="J39" s="3"/>
      <c r="K39" s="3"/>
      <c r="L39" s="3"/>
      <c r="M39" s="3"/>
      <c r="N39" s="3"/>
      <c r="O39" s="3"/>
      <c r="P39" s="3"/>
      <c r="Q39" s="3"/>
      <c r="R39" s="3"/>
      <c r="S39" s="3"/>
      <c r="T39" s="3"/>
      <c r="U39" s="3"/>
      <c r="V39" s="3"/>
      <c r="W39" s="3"/>
      <c r="X39" s="3"/>
      <c r="Y39" s="3"/>
      <c r="Z39" s="3"/>
    </row>
    <row r="40" spans="1:26" ht="15" customHeight="1" x14ac:dyDescent="0.25">
      <c r="A40" s="1"/>
      <c r="B40" s="3"/>
      <c r="C40" s="26">
        <f ca="1">TODAY()</f>
        <v>45147</v>
      </c>
      <c r="D40" s="25" t="s">
        <v>218</v>
      </c>
      <c r="E40" s="25" t="s">
        <v>348</v>
      </c>
      <c r="F40" s="32">
        <v>680</v>
      </c>
      <c r="G40" s="3"/>
      <c r="H40" s="3"/>
      <c r="I40" s="3"/>
      <c r="J40" s="3"/>
      <c r="K40" s="3"/>
      <c r="L40" s="3"/>
      <c r="M40" s="3"/>
      <c r="N40" s="3"/>
      <c r="O40" s="3"/>
      <c r="P40" s="3"/>
      <c r="Q40" s="3"/>
      <c r="R40" s="3"/>
      <c r="S40" s="3"/>
      <c r="T40" s="3"/>
      <c r="U40" s="3"/>
      <c r="V40" s="3"/>
      <c r="W40" s="3"/>
      <c r="X40" s="3"/>
      <c r="Y40" s="3"/>
      <c r="Z40" s="3"/>
    </row>
    <row r="41" spans="1:26" ht="15" customHeight="1" x14ac:dyDescent="0.25">
      <c r="A41" s="1"/>
      <c r="B41" s="3"/>
      <c r="G41" s="3"/>
      <c r="H41" s="3"/>
      <c r="I41" s="3"/>
      <c r="J41" s="3"/>
      <c r="K41" s="3"/>
      <c r="L41" s="3"/>
      <c r="M41" s="3"/>
      <c r="N41" s="3"/>
      <c r="O41" s="3"/>
      <c r="P41" s="3"/>
      <c r="Q41" s="3"/>
      <c r="R41" s="3"/>
      <c r="S41" s="3"/>
      <c r="T41" s="3"/>
      <c r="U41" s="3"/>
      <c r="V41" s="3"/>
      <c r="W41" s="3"/>
      <c r="X41" s="3"/>
      <c r="Y41" s="3"/>
      <c r="Z41" s="3"/>
    </row>
    <row r="42" spans="1:26" ht="15" customHeight="1" x14ac:dyDescent="0.25">
      <c r="A42" s="1"/>
      <c r="B42" s="3"/>
      <c r="C42" s="44" t="s">
        <v>353</v>
      </c>
      <c r="D42" s="45" t="s">
        <v>354</v>
      </c>
      <c r="G42" s="3"/>
      <c r="H42" s="3"/>
      <c r="I42" s="3"/>
      <c r="J42" s="3"/>
      <c r="K42" s="3"/>
      <c r="L42" s="3"/>
      <c r="M42" s="3"/>
      <c r="N42" s="3"/>
      <c r="O42" s="3"/>
      <c r="P42" s="3"/>
      <c r="Q42" s="3"/>
      <c r="R42" s="3"/>
      <c r="S42" s="3"/>
      <c r="T42" s="3"/>
      <c r="U42" s="3"/>
      <c r="V42" s="3"/>
      <c r="W42" s="3"/>
      <c r="X42" s="3"/>
      <c r="Y42" s="3"/>
      <c r="Z42" s="3"/>
    </row>
    <row r="43" spans="1:26" ht="15" customHeight="1" x14ac:dyDescent="0.25">
      <c r="A43" s="1"/>
      <c r="B43" s="3"/>
      <c r="C43" s="50" t="s">
        <v>346</v>
      </c>
      <c r="D43" s="45">
        <v>2150</v>
      </c>
      <c r="G43" s="3"/>
      <c r="H43" s="3"/>
      <c r="I43" s="3"/>
      <c r="J43" s="3"/>
      <c r="K43" s="3"/>
      <c r="L43" s="3"/>
      <c r="M43" s="3"/>
      <c r="N43" s="3"/>
      <c r="O43" s="3"/>
      <c r="P43" s="3"/>
      <c r="Q43" s="3"/>
      <c r="R43" s="3"/>
      <c r="S43" s="3"/>
      <c r="T43" s="3"/>
      <c r="U43" s="3"/>
      <c r="V43" s="3"/>
      <c r="W43" s="3"/>
      <c r="X43" s="3"/>
      <c r="Y43" s="3"/>
      <c r="Z43" s="3"/>
    </row>
    <row r="44" spans="1:26" ht="15" customHeight="1" x14ac:dyDescent="0.25">
      <c r="A44" s="1"/>
      <c r="B44" s="3"/>
      <c r="C44" s="51" t="s">
        <v>351</v>
      </c>
      <c r="D44" s="52">
        <v>2110</v>
      </c>
      <c r="G44" s="3"/>
      <c r="H44" s="3"/>
      <c r="I44" s="3"/>
      <c r="J44" s="3"/>
      <c r="K44" s="3"/>
      <c r="L44" s="3"/>
      <c r="M44" s="3"/>
      <c r="N44" s="3"/>
      <c r="O44" s="3"/>
      <c r="P44" s="3"/>
      <c r="Q44" s="3"/>
      <c r="R44" s="3"/>
      <c r="S44" s="3"/>
      <c r="T44" s="3"/>
      <c r="U44" s="3"/>
      <c r="V44" s="3"/>
      <c r="W44" s="3"/>
      <c r="X44" s="3"/>
      <c r="Y44" s="3"/>
      <c r="Z44" s="3"/>
    </row>
    <row r="45" spans="1:26" ht="15" customHeight="1" x14ac:dyDescent="0.25">
      <c r="A45" s="1"/>
      <c r="B45" s="3"/>
      <c r="C45" s="51" t="s">
        <v>348</v>
      </c>
      <c r="D45" s="52">
        <v>1690</v>
      </c>
      <c r="G45" s="3"/>
      <c r="H45" s="3"/>
      <c r="I45" s="3"/>
      <c r="J45" s="3"/>
      <c r="K45" s="3"/>
      <c r="L45" s="3"/>
      <c r="M45" s="3"/>
      <c r="N45" s="3"/>
      <c r="O45" s="3"/>
      <c r="P45" s="3"/>
      <c r="Q45" s="3"/>
      <c r="R45" s="3"/>
      <c r="S45" s="3"/>
      <c r="T45" s="3"/>
      <c r="U45" s="3"/>
      <c r="V45" s="3"/>
      <c r="W45" s="3"/>
      <c r="X45" s="3"/>
      <c r="Y45" s="3"/>
      <c r="Z45" s="3"/>
    </row>
    <row r="46" spans="1:26" ht="15" customHeight="1" x14ac:dyDescent="0.25">
      <c r="A46" s="1"/>
      <c r="B46" s="3"/>
      <c r="C46" s="53" t="s">
        <v>355</v>
      </c>
      <c r="D46" s="54">
        <v>5950</v>
      </c>
      <c r="G46" s="3"/>
      <c r="H46" s="3"/>
      <c r="I46" s="3"/>
      <c r="J46" s="3"/>
      <c r="K46" s="3"/>
      <c r="L46" s="3"/>
      <c r="M46" s="3"/>
      <c r="N46" s="3"/>
      <c r="O46" s="3"/>
      <c r="P46" s="3"/>
      <c r="Q46" s="3"/>
      <c r="R46" s="3"/>
      <c r="S46" s="3"/>
      <c r="T46" s="3"/>
      <c r="U46" s="3"/>
      <c r="V46" s="3"/>
      <c r="W46" s="3"/>
      <c r="X46" s="3"/>
      <c r="Y46" s="3"/>
      <c r="Z46" s="3"/>
    </row>
    <row r="47" spans="1:26" ht="15" customHeight="1" x14ac:dyDescent="0.25">
      <c r="A47" s="1"/>
      <c r="B47" s="3"/>
      <c r="G47" s="3"/>
      <c r="H47" s="3"/>
      <c r="I47" s="3"/>
      <c r="J47" s="3"/>
      <c r="K47" s="3"/>
      <c r="L47" s="3"/>
      <c r="M47" s="3"/>
      <c r="N47" s="3"/>
      <c r="O47" s="3"/>
      <c r="P47" s="3"/>
      <c r="Q47" s="3"/>
      <c r="R47" s="3"/>
      <c r="S47" s="3"/>
      <c r="T47" s="3"/>
      <c r="U47" s="3"/>
      <c r="V47" s="3"/>
      <c r="W47" s="3"/>
      <c r="X47" s="3"/>
      <c r="Y47" s="3"/>
      <c r="Z47" s="3"/>
    </row>
    <row r="48" spans="1:26" ht="15" customHeight="1" x14ac:dyDescent="0.25">
      <c r="A48" s="1"/>
      <c r="B48" s="3"/>
      <c r="G48" s="3"/>
      <c r="H48" s="3"/>
      <c r="I48" s="3"/>
      <c r="J48" s="3"/>
      <c r="K48" s="3"/>
      <c r="L48" s="3"/>
      <c r="M48" s="3"/>
      <c r="N48" s="3"/>
      <c r="O48" s="3"/>
      <c r="P48" s="3"/>
      <c r="Q48" s="3"/>
      <c r="R48" s="3"/>
      <c r="S48" s="3"/>
      <c r="T48" s="3"/>
      <c r="U48" s="3"/>
      <c r="V48" s="3"/>
      <c r="W48" s="3"/>
      <c r="X48" s="3"/>
      <c r="Y48" s="3"/>
      <c r="Z48" s="3"/>
    </row>
    <row r="49" spans="1:26" ht="15" customHeight="1" x14ac:dyDescent="0.25">
      <c r="A49" s="1"/>
      <c r="B49" s="3"/>
      <c r="G49" s="3"/>
      <c r="H49" s="3"/>
      <c r="I49" s="3"/>
      <c r="J49" s="3"/>
      <c r="K49" s="3"/>
      <c r="L49" s="3"/>
      <c r="M49" s="3"/>
      <c r="N49" s="3"/>
      <c r="O49" s="3"/>
      <c r="P49" s="3"/>
      <c r="Q49" s="3"/>
      <c r="R49" s="3"/>
      <c r="S49" s="3"/>
      <c r="T49" s="3"/>
      <c r="U49" s="3"/>
      <c r="V49" s="3"/>
      <c r="W49" s="3"/>
      <c r="X49" s="3"/>
      <c r="Y49" s="3"/>
      <c r="Z49" s="3"/>
    </row>
    <row r="50" spans="1:26" ht="15" customHeight="1" x14ac:dyDescent="0.25">
      <c r="A50" s="1"/>
      <c r="B50" s="3"/>
      <c r="G50" s="3"/>
      <c r="H50" s="3"/>
      <c r="I50" s="3"/>
      <c r="J50" s="3"/>
      <c r="K50" s="3"/>
      <c r="L50" s="3"/>
      <c r="M50" s="3"/>
      <c r="N50" s="3"/>
      <c r="O50" s="3"/>
      <c r="P50" s="3"/>
      <c r="Q50" s="3"/>
      <c r="R50" s="3"/>
      <c r="S50" s="3"/>
      <c r="T50" s="3"/>
      <c r="U50" s="3"/>
      <c r="V50" s="3"/>
      <c r="W50" s="3"/>
      <c r="X50" s="3"/>
      <c r="Y50" s="3"/>
      <c r="Z50" s="3"/>
    </row>
    <row r="51" spans="1:26" ht="15" customHeight="1" x14ac:dyDescent="0.25">
      <c r="A51" s="1"/>
      <c r="B51" s="3"/>
      <c r="G51" s="3"/>
      <c r="H51" s="3"/>
      <c r="I51" s="3"/>
      <c r="J51" s="3"/>
      <c r="K51" s="3"/>
      <c r="L51" s="3"/>
      <c r="M51" s="3"/>
      <c r="N51" s="3"/>
      <c r="O51" s="3"/>
      <c r="P51" s="3"/>
      <c r="Q51" s="3"/>
      <c r="R51" s="3"/>
      <c r="S51" s="3"/>
      <c r="T51" s="3"/>
      <c r="U51" s="3"/>
      <c r="V51" s="3"/>
      <c r="W51" s="3"/>
      <c r="X51" s="3"/>
      <c r="Y51" s="3"/>
      <c r="Z51" s="3"/>
    </row>
    <row r="52" spans="1:26" ht="15" customHeight="1" x14ac:dyDescent="0.25">
      <c r="A52" s="1"/>
      <c r="B52" s="3"/>
      <c r="G52" s="3"/>
      <c r="H52" s="3"/>
      <c r="I52" s="3"/>
      <c r="J52" s="3"/>
      <c r="K52" s="3"/>
      <c r="L52" s="3"/>
      <c r="M52" s="3"/>
      <c r="N52" s="3"/>
      <c r="O52" s="3"/>
      <c r="P52" s="3"/>
      <c r="Q52" s="3"/>
      <c r="R52" s="3"/>
      <c r="S52" s="3"/>
      <c r="T52" s="3"/>
      <c r="U52" s="3"/>
      <c r="V52" s="3"/>
      <c r="W52" s="3"/>
      <c r="X52" s="3"/>
      <c r="Y52" s="3"/>
      <c r="Z52" s="3"/>
    </row>
    <row r="53" spans="1:26" ht="15" customHeight="1" x14ac:dyDescent="0.25">
      <c r="A53" s="1"/>
      <c r="B53" s="3"/>
      <c r="G53" s="3"/>
      <c r="H53" s="3"/>
      <c r="I53" s="3"/>
      <c r="J53" s="3"/>
      <c r="K53" s="3"/>
      <c r="L53" s="3"/>
      <c r="M53" s="3"/>
      <c r="N53" s="3"/>
      <c r="O53" s="3"/>
      <c r="P53" s="3"/>
      <c r="Q53" s="3"/>
      <c r="R53" s="3"/>
      <c r="S53" s="3"/>
      <c r="T53" s="3"/>
      <c r="U53" s="3"/>
      <c r="V53" s="3"/>
      <c r="W53" s="3"/>
      <c r="X53" s="3"/>
      <c r="Y53" s="3"/>
      <c r="Z53" s="3"/>
    </row>
    <row r="54" spans="1:26" ht="15" customHeight="1" x14ac:dyDescent="0.25">
      <c r="A54" s="1"/>
      <c r="B54" s="3"/>
      <c r="G54" s="3"/>
      <c r="H54" s="3"/>
      <c r="I54" s="3"/>
      <c r="J54" s="3"/>
      <c r="K54" s="3"/>
      <c r="L54" s="3"/>
      <c r="M54" s="3"/>
      <c r="N54" s="3"/>
      <c r="O54" s="3"/>
      <c r="P54" s="3"/>
      <c r="Q54" s="3"/>
      <c r="R54" s="3"/>
      <c r="S54" s="3"/>
      <c r="T54" s="3"/>
      <c r="U54" s="3"/>
      <c r="V54" s="3"/>
      <c r="W54" s="3"/>
      <c r="X54" s="3"/>
      <c r="Y54" s="3"/>
      <c r="Z54" s="3"/>
    </row>
    <row r="55" spans="1:26" ht="15" customHeight="1" x14ac:dyDescent="0.25">
      <c r="A55" s="1"/>
      <c r="B55" s="3"/>
      <c r="G55" s="3"/>
      <c r="H55" s="3"/>
      <c r="I55" s="3"/>
      <c r="J55" s="3"/>
      <c r="K55" s="3"/>
      <c r="L55" s="3"/>
      <c r="M55" s="3"/>
      <c r="N55" s="3"/>
      <c r="O55" s="3"/>
      <c r="P55" s="3"/>
      <c r="Q55" s="3"/>
      <c r="R55" s="3"/>
      <c r="S55" s="3"/>
      <c r="T55" s="3"/>
      <c r="U55" s="3"/>
      <c r="V55" s="3"/>
      <c r="W55" s="3"/>
      <c r="X55" s="3"/>
      <c r="Y55" s="3"/>
      <c r="Z55" s="3"/>
    </row>
    <row r="56" spans="1:26" ht="15" customHeight="1" x14ac:dyDescent="0.25">
      <c r="A56" s="1"/>
      <c r="B56" s="3"/>
      <c r="G56" s="3"/>
      <c r="H56" s="3"/>
      <c r="I56" s="3"/>
      <c r="J56" s="3"/>
      <c r="K56" s="3"/>
      <c r="L56" s="3"/>
      <c r="M56" s="3"/>
      <c r="N56" s="3"/>
      <c r="O56" s="3"/>
      <c r="P56" s="3"/>
      <c r="Q56" s="3"/>
      <c r="R56" s="3"/>
      <c r="S56" s="3"/>
      <c r="T56" s="3"/>
      <c r="U56" s="3"/>
      <c r="V56" s="3"/>
      <c r="W56" s="3"/>
      <c r="X56" s="3"/>
      <c r="Y56" s="3"/>
      <c r="Z56" s="3"/>
    </row>
    <row r="57" spans="1:26" ht="15" customHeight="1" x14ac:dyDescent="0.25">
      <c r="A57" s="1"/>
      <c r="B57" s="3"/>
      <c r="G57" s="3"/>
      <c r="H57" s="3"/>
      <c r="I57" s="3"/>
      <c r="J57" s="3"/>
      <c r="K57" s="3"/>
      <c r="L57" s="3"/>
      <c r="M57" s="3"/>
      <c r="N57" s="3"/>
      <c r="O57" s="3"/>
      <c r="P57" s="3"/>
      <c r="Q57" s="3"/>
      <c r="R57" s="3"/>
      <c r="S57" s="3"/>
      <c r="T57" s="3"/>
      <c r="U57" s="3"/>
      <c r="V57" s="3"/>
      <c r="W57" s="3"/>
      <c r="X57" s="3"/>
      <c r="Y57" s="3"/>
      <c r="Z57" s="3"/>
    </row>
    <row r="58" spans="1:26" ht="15" customHeight="1" x14ac:dyDescent="0.25">
      <c r="A58" s="1" t="s">
        <v>62</v>
      </c>
      <c r="B58" s="3"/>
      <c r="G58" s="3"/>
      <c r="H58" s="3"/>
      <c r="I58" s="3"/>
      <c r="J58" s="3"/>
      <c r="K58" s="3"/>
      <c r="L58" s="3"/>
      <c r="M58" s="3"/>
      <c r="N58" s="3"/>
      <c r="O58" s="3"/>
      <c r="P58" s="3"/>
      <c r="Q58" s="3"/>
      <c r="R58" s="3"/>
      <c r="S58" s="3"/>
      <c r="T58" s="3"/>
      <c r="U58" s="3"/>
      <c r="V58" s="3"/>
      <c r="W58" s="3"/>
      <c r="X58" s="3"/>
      <c r="Y58" s="3"/>
      <c r="Z58" s="3"/>
    </row>
    <row r="59" spans="1:26" ht="15" customHeight="1" x14ac:dyDescent="0.25">
      <c r="A59" s="11" t="s">
        <v>366</v>
      </c>
      <c r="B59" s="3"/>
      <c r="G59" s="3"/>
      <c r="H59" s="3"/>
      <c r="I59" s="3"/>
      <c r="J59" s="3"/>
      <c r="K59" s="3"/>
      <c r="L59" s="3"/>
      <c r="M59" s="3"/>
      <c r="N59" s="3"/>
      <c r="O59" s="3"/>
      <c r="P59" s="3"/>
      <c r="Q59" s="3"/>
      <c r="R59" s="3"/>
      <c r="S59" s="3"/>
      <c r="T59" s="3"/>
      <c r="U59" s="3"/>
      <c r="V59" s="3"/>
      <c r="W59" s="3"/>
      <c r="X59" s="3"/>
      <c r="Y59" s="3"/>
      <c r="Z59" s="3"/>
    </row>
    <row r="60" spans="1:26" ht="15" customHeight="1" x14ac:dyDescent="0.25">
      <c r="A60" s="11" t="s">
        <v>367</v>
      </c>
      <c r="B60" s="3"/>
      <c r="G60" s="3"/>
      <c r="H60" s="3"/>
      <c r="I60" s="3"/>
      <c r="J60" s="3"/>
      <c r="K60" s="3"/>
      <c r="L60" s="3"/>
      <c r="M60" s="3"/>
      <c r="N60" s="3"/>
      <c r="O60" s="3"/>
      <c r="P60" s="3"/>
      <c r="Q60" s="3"/>
      <c r="R60" s="3"/>
      <c r="S60" s="3"/>
      <c r="T60" s="3"/>
      <c r="U60" s="3"/>
      <c r="V60" s="3"/>
      <c r="W60" s="3"/>
      <c r="X60" s="3"/>
      <c r="Y60" s="3"/>
      <c r="Z60" s="3"/>
    </row>
    <row r="61" spans="1:26" ht="15" customHeight="1" x14ac:dyDescent="0.25">
      <c r="A61" s="1" t="s">
        <v>67</v>
      </c>
      <c r="B61" s="3"/>
      <c r="G61" s="3"/>
      <c r="H61" s="3"/>
      <c r="I61" s="3"/>
      <c r="J61" s="3"/>
      <c r="K61" s="3"/>
      <c r="L61" s="3"/>
      <c r="M61" s="3"/>
      <c r="N61" s="3"/>
      <c r="O61" s="3"/>
      <c r="P61" s="3"/>
      <c r="Q61" s="3"/>
      <c r="R61" s="3"/>
      <c r="S61" s="3"/>
      <c r="T61" s="3"/>
      <c r="U61" s="3"/>
      <c r="V61" s="3"/>
      <c r="W61" s="3"/>
      <c r="X61" s="3"/>
      <c r="Y61" s="3"/>
      <c r="Z61" s="3"/>
    </row>
    <row r="62" spans="1:26" ht="15.75" customHeight="1" x14ac:dyDescent="0.25">
      <c r="A62" s="1"/>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x14ac:dyDescent="0.25">
      <c r="A63" s="1"/>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x14ac:dyDescent="0.25">
      <c r="A64" s="1"/>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x14ac:dyDescent="0.25">
      <c r="A65" s="1"/>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x14ac:dyDescent="0.25">
      <c r="A66" s="1"/>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x14ac:dyDescent="0.25">
      <c r="A67" s="1"/>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x14ac:dyDescent="0.25">
      <c r="A68" s="1"/>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x14ac:dyDescent="0.25">
      <c r="A69" s="1"/>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x14ac:dyDescent="0.25">
      <c r="A70" s="1"/>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x14ac:dyDescent="0.25">
      <c r="A71" s="1"/>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x14ac:dyDescent="0.25">
      <c r="A72" s="1"/>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x14ac:dyDescent="0.25">
      <c r="A73" s="1"/>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x14ac:dyDescent="0.25">
      <c r="A74" s="1"/>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x14ac:dyDescent="0.25">
      <c r="A75" s="1"/>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x14ac:dyDescent="0.25">
      <c r="A76" s="1"/>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x14ac:dyDescent="0.25">
      <c r="A77" s="1"/>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x14ac:dyDescent="0.25">
      <c r="A78" s="1"/>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x14ac:dyDescent="0.25">
      <c r="A79" s="1"/>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x14ac:dyDescent="0.25">
      <c r="A80" s="1"/>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x14ac:dyDescent="0.25">
      <c r="A81" s="1"/>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x14ac:dyDescent="0.25">
      <c r="A82" s="1"/>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x14ac:dyDescent="0.25">
      <c r="A83" s="1"/>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x14ac:dyDescent="0.25">
      <c r="A84" s="1"/>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x14ac:dyDescent="0.25">
      <c r="A85" s="1"/>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x14ac:dyDescent="0.25">
      <c r="A86" s="1"/>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x14ac:dyDescent="0.25">
      <c r="A87" s="1"/>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x14ac:dyDescent="0.25">
      <c r="A88" s="1"/>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x14ac:dyDescent="0.25">
      <c r="A89" s="1"/>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x14ac:dyDescent="0.25">
      <c r="A90" s="1"/>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x14ac:dyDescent="0.25">
      <c r="A91" s="1"/>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x14ac:dyDescent="0.25">
      <c r="A92" s="1"/>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x14ac:dyDescent="0.25">
      <c r="A93" s="1"/>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x14ac:dyDescent="0.25">
      <c r="A94" s="1"/>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x14ac:dyDescent="0.25">
      <c r="A95" s="1"/>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x14ac:dyDescent="0.25">
      <c r="A96" s="1"/>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x14ac:dyDescent="0.25">
      <c r="A97" s="1"/>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x14ac:dyDescent="0.25">
      <c r="A98" s="1"/>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x14ac:dyDescent="0.25">
      <c r="A99" s="1"/>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x14ac:dyDescent="0.25">
      <c r="A100" s="1"/>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x14ac:dyDescent="0.25">
      <c r="A101" s="1"/>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x14ac:dyDescent="0.25">
      <c r="A102" s="1"/>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x14ac:dyDescent="0.25">
      <c r="A103" s="1"/>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x14ac:dyDescent="0.25">
      <c r="A104" s="1"/>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x14ac:dyDescent="0.25">
      <c r="A105" s="1"/>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x14ac:dyDescent="0.25">
      <c r="A106" s="1"/>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x14ac:dyDescent="0.25">
      <c r="A107" s="1"/>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x14ac:dyDescent="0.25">
      <c r="A108" s="1"/>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x14ac:dyDescent="0.25">
      <c r="A109" s="1"/>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x14ac:dyDescent="0.25">
      <c r="A110" s="1"/>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x14ac:dyDescent="0.25">
      <c r="A111" s="1"/>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x14ac:dyDescent="0.25">
      <c r="A112" s="1"/>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x14ac:dyDescent="0.25">
      <c r="A113" s="1"/>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x14ac:dyDescent="0.25">
      <c r="A114" s="1"/>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x14ac:dyDescent="0.25">
      <c r="A115" s="1"/>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x14ac:dyDescent="0.25">
      <c r="A116" s="1"/>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x14ac:dyDescent="0.25">
      <c r="A117" s="1"/>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x14ac:dyDescent="0.25">
      <c r="A118" s="1"/>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x14ac:dyDescent="0.25">
      <c r="A119" s="1"/>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x14ac:dyDescent="0.25">
      <c r="A120" s="1"/>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x14ac:dyDescent="0.25">
      <c r="A121" s="1"/>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x14ac:dyDescent="0.25">
      <c r="A122" s="1"/>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x14ac:dyDescent="0.25">
      <c r="A123" s="1"/>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x14ac:dyDescent="0.25">
      <c r="A124" s="1"/>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x14ac:dyDescent="0.25">
      <c r="A125" s="1"/>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x14ac:dyDescent="0.25">
      <c r="A126" s="1"/>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x14ac:dyDescent="0.25">
      <c r="A127" s="1"/>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x14ac:dyDescent="0.25">
      <c r="A128" s="1"/>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x14ac:dyDescent="0.25">
      <c r="A129" s="1"/>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x14ac:dyDescent="0.25">
      <c r="A130" s="1"/>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x14ac:dyDescent="0.25">
      <c r="A131" s="1"/>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x14ac:dyDescent="0.25">
      <c r="A132" s="1"/>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x14ac:dyDescent="0.25">
      <c r="A133" s="1"/>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x14ac:dyDescent="0.25">
      <c r="A134" s="1"/>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x14ac:dyDescent="0.25">
      <c r="A135" s="1"/>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x14ac:dyDescent="0.25">
      <c r="A136" s="1"/>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x14ac:dyDescent="0.25">
      <c r="A137" s="1"/>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x14ac:dyDescent="0.25">
      <c r="A138" s="1"/>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x14ac:dyDescent="0.25">
      <c r="A139" s="1"/>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x14ac:dyDescent="0.25">
      <c r="A140" s="1"/>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x14ac:dyDescent="0.25">
      <c r="A141" s="1"/>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x14ac:dyDescent="0.25">
      <c r="A142" s="1"/>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x14ac:dyDescent="0.25">
      <c r="A143" s="1"/>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x14ac:dyDescent="0.25">
      <c r="A144" s="1"/>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x14ac:dyDescent="0.25">
      <c r="A145" s="1"/>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x14ac:dyDescent="0.25">
      <c r="A146" s="1"/>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x14ac:dyDescent="0.25">
      <c r="A147" s="1"/>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x14ac:dyDescent="0.25">
      <c r="A148" s="1"/>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x14ac:dyDescent="0.25">
      <c r="A149" s="1"/>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x14ac:dyDescent="0.25">
      <c r="A150" s="1"/>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x14ac:dyDescent="0.25">
      <c r="A151" s="1"/>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x14ac:dyDescent="0.25">
      <c r="A152" s="1"/>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x14ac:dyDescent="0.25">
      <c r="A153" s="1"/>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x14ac:dyDescent="0.25">
      <c r="A154" s="1"/>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x14ac:dyDescent="0.25">
      <c r="A155" s="1"/>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x14ac:dyDescent="0.25">
      <c r="A156" s="1"/>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x14ac:dyDescent="0.25">
      <c r="A157" s="1"/>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x14ac:dyDescent="0.25">
      <c r="A158" s="1"/>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x14ac:dyDescent="0.25">
      <c r="A159" s="1"/>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x14ac:dyDescent="0.25">
      <c r="A160" s="1"/>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x14ac:dyDescent="0.25">
      <c r="A161" s="1"/>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x14ac:dyDescent="0.25">
      <c r="A162" s="1"/>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x14ac:dyDescent="0.25">
      <c r="A163" s="1"/>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x14ac:dyDescent="0.25">
      <c r="A164" s="1"/>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x14ac:dyDescent="0.25">
      <c r="A165" s="1"/>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x14ac:dyDescent="0.25">
      <c r="A166" s="1"/>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x14ac:dyDescent="0.25">
      <c r="A167" s="1"/>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x14ac:dyDescent="0.25">
      <c r="A168" s="1"/>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x14ac:dyDescent="0.25">
      <c r="A169" s="1"/>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x14ac:dyDescent="0.25">
      <c r="A170" s="1"/>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x14ac:dyDescent="0.25">
      <c r="A171" s="1"/>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x14ac:dyDescent="0.25">
      <c r="A172" s="1"/>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x14ac:dyDescent="0.25">
      <c r="A173" s="1"/>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x14ac:dyDescent="0.25">
      <c r="A174" s="1"/>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x14ac:dyDescent="0.25">
      <c r="A175" s="1"/>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x14ac:dyDescent="0.25">
      <c r="A176" s="1"/>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x14ac:dyDescent="0.25">
      <c r="A177" s="1"/>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x14ac:dyDescent="0.25">
      <c r="A178" s="1"/>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x14ac:dyDescent="0.25">
      <c r="A179" s="1"/>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x14ac:dyDescent="0.25">
      <c r="A180" s="1"/>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x14ac:dyDescent="0.25">
      <c r="A181" s="1"/>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x14ac:dyDescent="0.25">
      <c r="A182" s="1"/>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x14ac:dyDescent="0.25">
      <c r="A183" s="1"/>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x14ac:dyDescent="0.25">
      <c r="A184" s="1"/>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x14ac:dyDescent="0.25">
      <c r="A185" s="1"/>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x14ac:dyDescent="0.25">
      <c r="A186" s="1"/>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x14ac:dyDescent="0.25">
      <c r="A187" s="1"/>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x14ac:dyDescent="0.25">
      <c r="A188" s="1"/>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x14ac:dyDescent="0.25">
      <c r="A189" s="1"/>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x14ac:dyDescent="0.25">
      <c r="A190" s="1"/>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x14ac:dyDescent="0.25">
      <c r="A191" s="1"/>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x14ac:dyDescent="0.25">
      <c r="A192" s="1"/>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x14ac:dyDescent="0.25">
      <c r="A193" s="1"/>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x14ac:dyDescent="0.25">
      <c r="A194" s="1"/>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x14ac:dyDescent="0.25">
      <c r="A195" s="1"/>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x14ac:dyDescent="0.25">
      <c r="A196" s="1"/>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x14ac:dyDescent="0.25">
      <c r="A197" s="1"/>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x14ac:dyDescent="0.25">
      <c r="A198" s="1"/>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x14ac:dyDescent="0.25">
      <c r="A199" s="1"/>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x14ac:dyDescent="0.25">
      <c r="A200" s="1"/>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x14ac:dyDescent="0.25">
      <c r="A201" s="1"/>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x14ac:dyDescent="0.25">
      <c r="A202" s="1"/>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x14ac:dyDescent="0.25">
      <c r="A203" s="1"/>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x14ac:dyDescent="0.25">
      <c r="A204" s="1"/>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x14ac:dyDescent="0.25">
      <c r="A205" s="1"/>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x14ac:dyDescent="0.25">
      <c r="A206" s="1"/>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x14ac:dyDescent="0.25">
      <c r="A207" s="1"/>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x14ac:dyDescent="0.25">
      <c r="A208" s="1"/>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x14ac:dyDescent="0.25">
      <c r="A209" s="1"/>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x14ac:dyDescent="0.25">
      <c r="A210" s="1"/>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x14ac:dyDescent="0.25">
      <c r="A211" s="1"/>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x14ac:dyDescent="0.25">
      <c r="A212" s="1"/>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x14ac:dyDescent="0.25">
      <c r="A213" s="1"/>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x14ac:dyDescent="0.25">
      <c r="A214" s="1"/>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x14ac:dyDescent="0.25">
      <c r="A215" s="1"/>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x14ac:dyDescent="0.25">
      <c r="A216" s="1"/>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x14ac:dyDescent="0.25">
      <c r="A217" s="1"/>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x14ac:dyDescent="0.25">
      <c r="A218" s="1"/>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x14ac:dyDescent="0.25">
      <c r="A219" s="1"/>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x14ac:dyDescent="0.25">
      <c r="A220" s="1"/>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x14ac:dyDescent="0.25">
      <c r="A221" s="1"/>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x14ac:dyDescent="0.25">
      <c r="A222" s="1"/>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x14ac:dyDescent="0.25">
      <c r="A223" s="1"/>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x14ac:dyDescent="0.25">
      <c r="A224" s="1"/>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x14ac:dyDescent="0.25">
      <c r="A225" s="1"/>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x14ac:dyDescent="0.25">
      <c r="A226" s="1"/>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x14ac:dyDescent="0.25">
      <c r="A227" s="1"/>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x14ac:dyDescent="0.25">
      <c r="A228" s="1"/>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x14ac:dyDescent="0.25">
      <c r="A229" s="1"/>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x14ac:dyDescent="0.25">
      <c r="A230" s="1"/>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x14ac:dyDescent="0.25">
      <c r="A231" s="1"/>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x14ac:dyDescent="0.25">
      <c r="A232" s="1"/>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x14ac:dyDescent="0.25">
      <c r="A233" s="1"/>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x14ac:dyDescent="0.25">
      <c r="A234" s="1"/>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x14ac:dyDescent="0.25">
      <c r="A235" s="1"/>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x14ac:dyDescent="0.25">
      <c r="A236" s="1"/>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x14ac:dyDescent="0.25">
      <c r="A237" s="1"/>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x14ac:dyDescent="0.25">
      <c r="A238" s="1"/>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x14ac:dyDescent="0.25">
      <c r="A239" s="1"/>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x14ac:dyDescent="0.25">
      <c r="A240" s="1"/>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x14ac:dyDescent="0.25">
      <c r="A241" s="1"/>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x14ac:dyDescent="0.25">
      <c r="A242" s="1"/>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x14ac:dyDescent="0.25">
      <c r="A243" s="1"/>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x14ac:dyDescent="0.25">
      <c r="A244" s="1"/>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x14ac:dyDescent="0.25">
      <c r="A245" s="1"/>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x14ac:dyDescent="0.25">
      <c r="A246" s="1"/>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x14ac:dyDescent="0.25">
      <c r="A247" s="1"/>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x14ac:dyDescent="0.25">
      <c r="A248" s="1"/>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x14ac:dyDescent="0.25">
      <c r="A249" s="1"/>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x14ac:dyDescent="0.25">
      <c r="A250" s="1"/>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x14ac:dyDescent="0.25">
      <c r="A251" s="1"/>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x14ac:dyDescent="0.25">
      <c r="A252" s="1"/>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x14ac:dyDescent="0.25">
      <c r="A253" s="1"/>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x14ac:dyDescent="0.25">
      <c r="A254" s="1"/>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x14ac:dyDescent="0.25">
      <c r="A255" s="1"/>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x14ac:dyDescent="0.25">
      <c r="A256" s="1"/>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x14ac:dyDescent="0.25">
      <c r="A257" s="1"/>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x14ac:dyDescent="0.25">
      <c r="A258" s="1"/>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x14ac:dyDescent="0.25">
      <c r="A259" s="1"/>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x14ac:dyDescent="0.25">
      <c r="A260" s="1"/>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x14ac:dyDescent="0.25">
      <c r="A261" s="1"/>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x14ac:dyDescent="0.25">
      <c r="A262" s="1"/>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x14ac:dyDescent="0.25">
      <c r="A263" s="1"/>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x14ac:dyDescent="0.25">
      <c r="A264" s="1"/>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x14ac:dyDescent="0.25">
      <c r="A265" s="1"/>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x14ac:dyDescent="0.25">
      <c r="A266" s="1"/>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x14ac:dyDescent="0.25">
      <c r="A267" s="1"/>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x14ac:dyDescent="0.25">
      <c r="A268" s="1"/>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x14ac:dyDescent="0.25">
      <c r="A269" s="1"/>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x14ac:dyDescent="0.25">
      <c r="A270" s="1"/>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x14ac:dyDescent="0.25">
      <c r="A271" s="1"/>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x14ac:dyDescent="0.25">
      <c r="A272" s="1"/>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x14ac:dyDescent="0.25">
      <c r="A273" s="1"/>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x14ac:dyDescent="0.25">
      <c r="A274" s="1"/>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x14ac:dyDescent="0.25">
      <c r="A275" s="1"/>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x14ac:dyDescent="0.25">
      <c r="A276" s="1"/>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x14ac:dyDescent="0.25">
      <c r="A277" s="1"/>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x14ac:dyDescent="0.25">
      <c r="A278" s="1"/>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x14ac:dyDescent="0.25">
      <c r="A279" s="1"/>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x14ac:dyDescent="0.25">
      <c r="A280" s="1"/>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x14ac:dyDescent="0.25">
      <c r="A281" s="1"/>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x14ac:dyDescent="0.25">
      <c r="A282" s="1"/>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x14ac:dyDescent="0.25">
      <c r="A283" s="1"/>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x14ac:dyDescent="0.25">
      <c r="A284" s="1"/>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x14ac:dyDescent="0.25">
      <c r="A285" s="1"/>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x14ac:dyDescent="0.25">
      <c r="A286" s="1"/>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x14ac:dyDescent="0.25">
      <c r="A287" s="1"/>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x14ac:dyDescent="0.25">
      <c r="A288" s="1"/>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x14ac:dyDescent="0.25">
      <c r="A289" s="1"/>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x14ac:dyDescent="0.25">
      <c r="A290" s="1"/>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x14ac:dyDescent="0.25">
      <c r="A291" s="1"/>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x14ac:dyDescent="0.25">
      <c r="A292" s="1"/>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x14ac:dyDescent="0.25">
      <c r="A293" s="1"/>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x14ac:dyDescent="0.25">
      <c r="A294" s="1"/>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x14ac:dyDescent="0.25">
      <c r="A295" s="1"/>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x14ac:dyDescent="0.25">
      <c r="A296" s="1"/>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x14ac:dyDescent="0.25">
      <c r="A297" s="1"/>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x14ac:dyDescent="0.25">
      <c r="A298" s="1"/>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x14ac:dyDescent="0.25">
      <c r="A299" s="1"/>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x14ac:dyDescent="0.25">
      <c r="A300" s="1"/>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x14ac:dyDescent="0.25">
      <c r="A301" s="1"/>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x14ac:dyDescent="0.25">
      <c r="A302" s="1"/>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x14ac:dyDescent="0.25">
      <c r="A303" s="1"/>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x14ac:dyDescent="0.25">
      <c r="A304" s="1"/>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x14ac:dyDescent="0.25">
      <c r="A305" s="1"/>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x14ac:dyDescent="0.25">
      <c r="A306" s="1"/>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x14ac:dyDescent="0.25">
      <c r="A307" s="1"/>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x14ac:dyDescent="0.25">
      <c r="A308" s="1"/>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x14ac:dyDescent="0.25">
      <c r="A309" s="1"/>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x14ac:dyDescent="0.25">
      <c r="A310" s="1"/>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x14ac:dyDescent="0.25">
      <c r="A311" s="1"/>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x14ac:dyDescent="0.25">
      <c r="A312" s="1"/>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x14ac:dyDescent="0.25">
      <c r="A313" s="1"/>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x14ac:dyDescent="0.25">
      <c r="A314" s="1"/>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x14ac:dyDescent="0.25">
      <c r="A315" s="1"/>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x14ac:dyDescent="0.25">
      <c r="A316" s="1"/>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x14ac:dyDescent="0.25">
      <c r="A317" s="1"/>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x14ac:dyDescent="0.25">
      <c r="A318" s="1"/>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x14ac:dyDescent="0.25">
      <c r="A319" s="1"/>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x14ac:dyDescent="0.25">
      <c r="A320" s="1"/>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x14ac:dyDescent="0.25">
      <c r="A321" s="1"/>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x14ac:dyDescent="0.25">
      <c r="A322" s="1"/>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x14ac:dyDescent="0.25">
      <c r="A323" s="1"/>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x14ac:dyDescent="0.25">
      <c r="A324" s="1"/>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x14ac:dyDescent="0.25">
      <c r="A325" s="1"/>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x14ac:dyDescent="0.25">
      <c r="A326" s="1"/>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x14ac:dyDescent="0.25">
      <c r="A327" s="1"/>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x14ac:dyDescent="0.25">
      <c r="A328" s="1"/>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x14ac:dyDescent="0.25">
      <c r="A329" s="1"/>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x14ac:dyDescent="0.25">
      <c r="A330" s="1"/>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x14ac:dyDescent="0.25">
      <c r="A331" s="1"/>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x14ac:dyDescent="0.25">
      <c r="A332" s="1"/>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x14ac:dyDescent="0.25">
      <c r="A333" s="1"/>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x14ac:dyDescent="0.25">
      <c r="A334" s="1"/>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x14ac:dyDescent="0.25">
      <c r="A335" s="1"/>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x14ac:dyDescent="0.25">
      <c r="A336" s="1"/>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x14ac:dyDescent="0.25">
      <c r="A337" s="1"/>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x14ac:dyDescent="0.25">
      <c r="A338" s="1"/>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x14ac:dyDescent="0.25">
      <c r="A339" s="1"/>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x14ac:dyDescent="0.25">
      <c r="A340" s="1"/>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x14ac:dyDescent="0.25">
      <c r="A341" s="1"/>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x14ac:dyDescent="0.25">
      <c r="A342" s="1"/>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x14ac:dyDescent="0.25">
      <c r="A343" s="1"/>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x14ac:dyDescent="0.25">
      <c r="A344" s="1"/>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x14ac:dyDescent="0.25">
      <c r="A345" s="1"/>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x14ac:dyDescent="0.25">
      <c r="A346" s="1"/>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x14ac:dyDescent="0.25">
      <c r="A347" s="1"/>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x14ac:dyDescent="0.25">
      <c r="A348" s="1"/>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x14ac:dyDescent="0.25">
      <c r="A349" s="1"/>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x14ac:dyDescent="0.25">
      <c r="A350" s="1"/>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x14ac:dyDescent="0.25">
      <c r="A351" s="1"/>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x14ac:dyDescent="0.25">
      <c r="A352" s="1"/>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x14ac:dyDescent="0.25">
      <c r="A353" s="1"/>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x14ac:dyDescent="0.25">
      <c r="A354" s="1"/>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x14ac:dyDescent="0.25">
      <c r="A355" s="1"/>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x14ac:dyDescent="0.25">
      <c r="A356" s="1"/>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x14ac:dyDescent="0.25">
      <c r="A357" s="1"/>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x14ac:dyDescent="0.25">
      <c r="A358" s="1"/>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x14ac:dyDescent="0.25">
      <c r="A359" s="1"/>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x14ac:dyDescent="0.25">
      <c r="A360" s="1"/>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x14ac:dyDescent="0.25">
      <c r="A361" s="1"/>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x14ac:dyDescent="0.25">
      <c r="A362" s="1"/>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x14ac:dyDescent="0.25">
      <c r="A363" s="1"/>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x14ac:dyDescent="0.25">
      <c r="A364" s="1"/>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x14ac:dyDescent="0.25">
      <c r="A365" s="1"/>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x14ac:dyDescent="0.25">
      <c r="A366" s="1"/>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x14ac:dyDescent="0.25">
      <c r="A367" s="1"/>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x14ac:dyDescent="0.25">
      <c r="A368" s="1"/>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x14ac:dyDescent="0.25">
      <c r="A369" s="1"/>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x14ac:dyDescent="0.25">
      <c r="A370" s="1"/>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x14ac:dyDescent="0.25">
      <c r="A371" s="1"/>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x14ac:dyDescent="0.25">
      <c r="A372" s="1"/>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x14ac:dyDescent="0.25">
      <c r="A373" s="1"/>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x14ac:dyDescent="0.25">
      <c r="A374" s="1"/>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x14ac:dyDescent="0.25">
      <c r="A375" s="1"/>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x14ac:dyDescent="0.25">
      <c r="A376" s="1"/>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x14ac:dyDescent="0.25">
      <c r="A377" s="1"/>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x14ac:dyDescent="0.25">
      <c r="A378" s="1"/>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x14ac:dyDescent="0.25">
      <c r="A379" s="1"/>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x14ac:dyDescent="0.25">
      <c r="A380" s="1"/>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x14ac:dyDescent="0.25">
      <c r="A381" s="1"/>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x14ac:dyDescent="0.25">
      <c r="A382" s="1"/>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x14ac:dyDescent="0.25">
      <c r="A383" s="1"/>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x14ac:dyDescent="0.25">
      <c r="A384" s="1"/>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x14ac:dyDescent="0.25">
      <c r="A385" s="1"/>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x14ac:dyDescent="0.25">
      <c r="A386" s="1"/>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x14ac:dyDescent="0.25">
      <c r="A387" s="1"/>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x14ac:dyDescent="0.25">
      <c r="A388" s="1"/>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x14ac:dyDescent="0.25">
      <c r="A389" s="1"/>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x14ac:dyDescent="0.25">
      <c r="A390" s="1"/>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x14ac:dyDescent="0.25">
      <c r="A391" s="1"/>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x14ac:dyDescent="0.25">
      <c r="A392" s="1"/>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x14ac:dyDescent="0.25">
      <c r="A393" s="1"/>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x14ac:dyDescent="0.25">
      <c r="A394" s="1"/>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x14ac:dyDescent="0.25">
      <c r="A395" s="1"/>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x14ac:dyDescent="0.25">
      <c r="A396" s="1"/>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x14ac:dyDescent="0.25">
      <c r="A397" s="1"/>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x14ac:dyDescent="0.25">
      <c r="A398" s="1"/>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x14ac:dyDescent="0.25">
      <c r="A399" s="1"/>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x14ac:dyDescent="0.25">
      <c r="A400" s="1"/>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x14ac:dyDescent="0.25">
      <c r="A401" s="1"/>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x14ac:dyDescent="0.25">
      <c r="A402" s="1"/>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x14ac:dyDescent="0.25">
      <c r="A403" s="1"/>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x14ac:dyDescent="0.25">
      <c r="A404" s="1"/>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x14ac:dyDescent="0.25">
      <c r="A405" s="1"/>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x14ac:dyDescent="0.25">
      <c r="A406" s="1"/>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x14ac:dyDescent="0.25">
      <c r="A407" s="1"/>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x14ac:dyDescent="0.25">
      <c r="A408" s="1"/>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x14ac:dyDescent="0.25">
      <c r="A409" s="1"/>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x14ac:dyDescent="0.25">
      <c r="A410" s="1"/>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x14ac:dyDescent="0.25">
      <c r="A411" s="1"/>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x14ac:dyDescent="0.25">
      <c r="A412" s="1"/>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x14ac:dyDescent="0.25">
      <c r="A413" s="1"/>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x14ac:dyDescent="0.25">
      <c r="A414" s="1"/>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x14ac:dyDescent="0.25">
      <c r="A415" s="1"/>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x14ac:dyDescent="0.25">
      <c r="A416" s="1"/>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x14ac:dyDescent="0.25">
      <c r="A417" s="1"/>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x14ac:dyDescent="0.25">
      <c r="A418" s="1"/>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x14ac:dyDescent="0.25">
      <c r="A419" s="1"/>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x14ac:dyDescent="0.25">
      <c r="A420" s="1"/>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x14ac:dyDescent="0.25">
      <c r="A421" s="1"/>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x14ac:dyDescent="0.25">
      <c r="A422" s="1"/>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x14ac:dyDescent="0.25">
      <c r="A423" s="1"/>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x14ac:dyDescent="0.25">
      <c r="A424" s="1"/>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x14ac:dyDescent="0.25">
      <c r="A425" s="1"/>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x14ac:dyDescent="0.25">
      <c r="A426" s="1"/>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x14ac:dyDescent="0.25">
      <c r="A427" s="1"/>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x14ac:dyDescent="0.25">
      <c r="A428" s="1"/>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x14ac:dyDescent="0.25">
      <c r="A429" s="1"/>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x14ac:dyDescent="0.25">
      <c r="A430" s="1"/>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x14ac:dyDescent="0.25">
      <c r="A431" s="1"/>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x14ac:dyDescent="0.25">
      <c r="A432" s="1"/>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x14ac:dyDescent="0.25">
      <c r="A433" s="1"/>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x14ac:dyDescent="0.25">
      <c r="A434" s="1"/>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x14ac:dyDescent="0.25">
      <c r="A435" s="1"/>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x14ac:dyDescent="0.25">
      <c r="A436" s="1"/>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x14ac:dyDescent="0.25">
      <c r="A437" s="1"/>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x14ac:dyDescent="0.25">
      <c r="A438" s="1"/>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x14ac:dyDescent="0.25">
      <c r="A439" s="1"/>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x14ac:dyDescent="0.25">
      <c r="A440" s="1"/>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x14ac:dyDescent="0.25">
      <c r="A441" s="1"/>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x14ac:dyDescent="0.25">
      <c r="A442" s="1"/>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x14ac:dyDescent="0.25">
      <c r="A443" s="1"/>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x14ac:dyDescent="0.25">
      <c r="A444" s="1"/>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x14ac:dyDescent="0.25">
      <c r="A445" s="1"/>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x14ac:dyDescent="0.25">
      <c r="A446" s="1"/>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x14ac:dyDescent="0.25">
      <c r="A447" s="1"/>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x14ac:dyDescent="0.25">
      <c r="A448" s="1"/>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x14ac:dyDescent="0.25">
      <c r="A449" s="1"/>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x14ac:dyDescent="0.25">
      <c r="A450" s="1"/>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x14ac:dyDescent="0.25">
      <c r="A451" s="1"/>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x14ac:dyDescent="0.25">
      <c r="A452" s="1"/>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x14ac:dyDescent="0.25">
      <c r="A453" s="1"/>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x14ac:dyDescent="0.25">
      <c r="A454" s="1"/>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x14ac:dyDescent="0.25">
      <c r="A455" s="1"/>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x14ac:dyDescent="0.25">
      <c r="A456" s="1"/>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x14ac:dyDescent="0.25">
      <c r="A457" s="1"/>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x14ac:dyDescent="0.25">
      <c r="A458" s="1"/>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x14ac:dyDescent="0.25">
      <c r="A459" s="1"/>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x14ac:dyDescent="0.25">
      <c r="A460" s="1"/>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x14ac:dyDescent="0.25">
      <c r="A461" s="1"/>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x14ac:dyDescent="0.25">
      <c r="A462" s="1"/>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x14ac:dyDescent="0.25">
      <c r="A463" s="1"/>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x14ac:dyDescent="0.25">
      <c r="A464" s="1"/>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x14ac:dyDescent="0.25">
      <c r="A465" s="1"/>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x14ac:dyDescent="0.25">
      <c r="A466" s="1"/>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x14ac:dyDescent="0.25">
      <c r="A467" s="1"/>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x14ac:dyDescent="0.25">
      <c r="A468" s="1"/>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x14ac:dyDescent="0.25">
      <c r="A469" s="1"/>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x14ac:dyDescent="0.25">
      <c r="A470" s="1"/>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x14ac:dyDescent="0.25">
      <c r="A471" s="1"/>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x14ac:dyDescent="0.25">
      <c r="A472" s="1"/>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x14ac:dyDescent="0.25">
      <c r="A473" s="1"/>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x14ac:dyDescent="0.25">
      <c r="A474" s="1"/>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x14ac:dyDescent="0.25">
      <c r="A475" s="1"/>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x14ac:dyDescent="0.25">
      <c r="A476" s="1"/>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x14ac:dyDescent="0.25">
      <c r="A477" s="1"/>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x14ac:dyDescent="0.25">
      <c r="A478" s="1"/>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x14ac:dyDescent="0.25">
      <c r="A479" s="1"/>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x14ac:dyDescent="0.25">
      <c r="A480" s="1"/>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x14ac:dyDescent="0.25">
      <c r="A481" s="1"/>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x14ac:dyDescent="0.25">
      <c r="A482" s="1"/>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x14ac:dyDescent="0.25">
      <c r="A483" s="1"/>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x14ac:dyDescent="0.25">
      <c r="A484" s="1"/>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x14ac:dyDescent="0.25">
      <c r="A485" s="1"/>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x14ac:dyDescent="0.25">
      <c r="A486" s="1"/>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x14ac:dyDescent="0.25">
      <c r="A487" s="1"/>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x14ac:dyDescent="0.25">
      <c r="A488" s="1"/>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x14ac:dyDescent="0.25">
      <c r="A489" s="1"/>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x14ac:dyDescent="0.25">
      <c r="A490" s="1"/>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x14ac:dyDescent="0.25">
      <c r="A491" s="1"/>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x14ac:dyDescent="0.25">
      <c r="A492" s="1"/>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x14ac:dyDescent="0.25">
      <c r="A493" s="1"/>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x14ac:dyDescent="0.25">
      <c r="A494" s="1"/>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x14ac:dyDescent="0.25">
      <c r="A495" s="1"/>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x14ac:dyDescent="0.25">
      <c r="A496" s="1"/>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x14ac:dyDescent="0.25">
      <c r="A497" s="1"/>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x14ac:dyDescent="0.25">
      <c r="A498" s="1"/>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x14ac:dyDescent="0.25">
      <c r="A499" s="1"/>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x14ac:dyDescent="0.25">
      <c r="A500" s="1"/>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x14ac:dyDescent="0.25">
      <c r="A501" s="1"/>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x14ac:dyDescent="0.25">
      <c r="A502" s="1"/>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x14ac:dyDescent="0.25">
      <c r="A503" s="1"/>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x14ac:dyDescent="0.25">
      <c r="A504" s="1"/>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x14ac:dyDescent="0.25">
      <c r="A505" s="1"/>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x14ac:dyDescent="0.25">
      <c r="A506" s="1"/>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x14ac:dyDescent="0.25">
      <c r="A507" s="1"/>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x14ac:dyDescent="0.25">
      <c r="A508" s="1"/>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x14ac:dyDescent="0.25">
      <c r="A509" s="1"/>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x14ac:dyDescent="0.25">
      <c r="A510" s="1"/>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x14ac:dyDescent="0.25">
      <c r="A511" s="1"/>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x14ac:dyDescent="0.25">
      <c r="A512" s="1"/>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x14ac:dyDescent="0.25">
      <c r="A513" s="1"/>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x14ac:dyDescent="0.25">
      <c r="A514" s="1"/>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x14ac:dyDescent="0.25">
      <c r="A515" s="1"/>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x14ac:dyDescent="0.25">
      <c r="A516" s="1"/>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x14ac:dyDescent="0.25">
      <c r="A517" s="1"/>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x14ac:dyDescent="0.25">
      <c r="A518" s="1"/>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x14ac:dyDescent="0.25">
      <c r="A519" s="1"/>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x14ac:dyDescent="0.25">
      <c r="A520" s="1"/>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x14ac:dyDescent="0.25">
      <c r="A521" s="1"/>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x14ac:dyDescent="0.25">
      <c r="A522" s="1"/>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x14ac:dyDescent="0.25">
      <c r="A523" s="1"/>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x14ac:dyDescent="0.25">
      <c r="A524" s="1"/>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x14ac:dyDescent="0.25">
      <c r="A525" s="1"/>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x14ac:dyDescent="0.25">
      <c r="A526" s="1"/>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x14ac:dyDescent="0.25">
      <c r="A527" s="1"/>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x14ac:dyDescent="0.25">
      <c r="A528" s="1"/>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x14ac:dyDescent="0.25">
      <c r="A529" s="1"/>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x14ac:dyDescent="0.25">
      <c r="A530" s="1"/>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x14ac:dyDescent="0.25">
      <c r="A531" s="1"/>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x14ac:dyDescent="0.25">
      <c r="A532" s="1"/>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x14ac:dyDescent="0.25">
      <c r="A533" s="1"/>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x14ac:dyDescent="0.25">
      <c r="A534" s="1"/>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x14ac:dyDescent="0.25">
      <c r="A535" s="1"/>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x14ac:dyDescent="0.25">
      <c r="A536" s="1"/>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x14ac:dyDescent="0.25">
      <c r="A537" s="1"/>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x14ac:dyDescent="0.25">
      <c r="A538" s="1"/>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x14ac:dyDescent="0.25">
      <c r="A539" s="1"/>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x14ac:dyDescent="0.25">
      <c r="A540" s="1"/>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x14ac:dyDescent="0.25">
      <c r="A541" s="1"/>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x14ac:dyDescent="0.25">
      <c r="A542" s="1"/>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x14ac:dyDescent="0.25">
      <c r="A543" s="1"/>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x14ac:dyDescent="0.25">
      <c r="A544" s="1"/>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x14ac:dyDescent="0.25">
      <c r="A545" s="1"/>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x14ac:dyDescent="0.25">
      <c r="A546" s="1"/>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x14ac:dyDescent="0.25">
      <c r="A547" s="1"/>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x14ac:dyDescent="0.25">
      <c r="A548" s="1"/>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x14ac:dyDescent="0.25">
      <c r="A549" s="1"/>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x14ac:dyDescent="0.25">
      <c r="A550" s="1"/>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x14ac:dyDescent="0.25">
      <c r="A551" s="1"/>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x14ac:dyDescent="0.25">
      <c r="A552" s="1"/>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x14ac:dyDescent="0.25">
      <c r="A553" s="1"/>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x14ac:dyDescent="0.25">
      <c r="A554" s="1"/>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x14ac:dyDescent="0.25">
      <c r="A555" s="1"/>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x14ac:dyDescent="0.25">
      <c r="A556" s="1"/>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x14ac:dyDescent="0.25">
      <c r="A557" s="1"/>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x14ac:dyDescent="0.25">
      <c r="A558" s="1"/>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x14ac:dyDescent="0.25">
      <c r="A559" s="1"/>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x14ac:dyDescent="0.25">
      <c r="A560" s="1"/>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x14ac:dyDescent="0.25">
      <c r="A561" s="1"/>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x14ac:dyDescent="0.25">
      <c r="A562" s="1"/>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x14ac:dyDescent="0.25">
      <c r="A563" s="1"/>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x14ac:dyDescent="0.25">
      <c r="A564" s="1"/>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x14ac:dyDescent="0.25">
      <c r="A565" s="1"/>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x14ac:dyDescent="0.25">
      <c r="A566" s="1"/>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x14ac:dyDescent="0.25">
      <c r="A567" s="1"/>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x14ac:dyDescent="0.25">
      <c r="A568" s="1"/>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x14ac:dyDescent="0.25">
      <c r="A569" s="1"/>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x14ac:dyDescent="0.25">
      <c r="A570" s="1"/>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x14ac:dyDescent="0.25">
      <c r="A571" s="1"/>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x14ac:dyDescent="0.25">
      <c r="A572" s="1"/>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x14ac:dyDescent="0.25">
      <c r="A573" s="1"/>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x14ac:dyDescent="0.25">
      <c r="A574" s="1"/>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x14ac:dyDescent="0.25">
      <c r="A575" s="1"/>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x14ac:dyDescent="0.25">
      <c r="A576" s="1"/>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x14ac:dyDescent="0.25">
      <c r="A577" s="1"/>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x14ac:dyDescent="0.25">
      <c r="A578" s="1"/>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x14ac:dyDescent="0.25">
      <c r="A579" s="1"/>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x14ac:dyDescent="0.25">
      <c r="A580" s="1"/>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x14ac:dyDescent="0.25">
      <c r="A581" s="1"/>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x14ac:dyDescent="0.25">
      <c r="A582" s="1"/>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x14ac:dyDescent="0.25">
      <c r="A583" s="1"/>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x14ac:dyDescent="0.25">
      <c r="A584" s="1"/>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x14ac:dyDescent="0.25">
      <c r="A585" s="1"/>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x14ac:dyDescent="0.25">
      <c r="A586" s="1"/>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x14ac:dyDescent="0.25">
      <c r="A587" s="1"/>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x14ac:dyDescent="0.25">
      <c r="A588" s="1"/>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x14ac:dyDescent="0.25">
      <c r="A589" s="1"/>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x14ac:dyDescent="0.25">
      <c r="A590" s="1"/>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x14ac:dyDescent="0.25">
      <c r="A591" s="1"/>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x14ac:dyDescent="0.25">
      <c r="A592" s="1"/>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x14ac:dyDescent="0.25">
      <c r="A593" s="1"/>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x14ac:dyDescent="0.25">
      <c r="A594" s="1"/>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x14ac:dyDescent="0.25">
      <c r="A595" s="1"/>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x14ac:dyDescent="0.25">
      <c r="A596" s="1"/>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x14ac:dyDescent="0.25">
      <c r="A597" s="1"/>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x14ac:dyDescent="0.25">
      <c r="A598" s="1"/>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x14ac:dyDescent="0.25">
      <c r="A599" s="1"/>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x14ac:dyDescent="0.25">
      <c r="A600" s="1"/>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x14ac:dyDescent="0.25">
      <c r="A601" s="1"/>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x14ac:dyDescent="0.25">
      <c r="A602" s="1"/>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x14ac:dyDescent="0.25">
      <c r="A603" s="1"/>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x14ac:dyDescent="0.25">
      <c r="A604" s="1"/>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x14ac:dyDescent="0.25">
      <c r="A605" s="1"/>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x14ac:dyDescent="0.25">
      <c r="A606" s="1"/>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x14ac:dyDescent="0.25">
      <c r="A607" s="1"/>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x14ac:dyDescent="0.25">
      <c r="A608" s="1"/>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x14ac:dyDescent="0.25">
      <c r="A609" s="1"/>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x14ac:dyDescent="0.25">
      <c r="A610" s="1"/>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x14ac:dyDescent="0.25">
      <c r="A611" s="1"/>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x14ac:dyDescent="0.25">
      <c r="A612" s="1"/>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x14ac:dyDescent="0.25">
      <c r="A613" s="1"/>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x14ac:dyDescent="0.25">
      <c r="A614" s="1"/>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x14ac:dyDescent="0.25">
      <c r="A615" s="1"/>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x14ac:dyDescent="0.25">
      <c r="A616" s="1"/>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x14ac:dyDescent="0.25">
      <c r="A617" s="1"/>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x14ac:dyDescent="0.25">
      <c r="A618" s="1"/>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x14ac:dyDescent="0.25">
      <c r="A619" s="1"/>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x14ac:dyDescent="0.25">
      <c r="A620" s="1"/>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x14ac:dyDescent="0.25">
      <c r="A621" s="1"/>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x14ac:dyDescent="0.25">
      <c r="A622" s="1"/>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x14ac:dyDescent="0.25">
      <c r="A623" s="1"/>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x14ac:dyDescent="0.25">
      <c r="A624" s="1"/>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x14ac:dyDescent="0.25">
      <c r="A625" s="1"/>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x14ac:dyDescent="0.25">
      <c r="A626" s="1"/>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x14ac:dyDescent="0.25">
      <c r="A627" s="1"/>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x14ac:dyDescent="0.25">
      <c r="A628" s="1"/>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x14ac:dyDescent="0.25">
      <c r="A629" s="1"/>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x14ac:dyDescent="0.25">
      <c r="A630" s="1"/>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x14ac:dyDescent="0.25">
      <c r="A631" s="1"/>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x14ac:dyDescent="0.25">
      <c r="A632" s="1"/>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x14ac:dyDescent="0.25">
      <c r="A633" s="1"/>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x14ac:dyDescent="0.25">
      <c r="A634" s="1"/>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x14ac:dyDescent="0.25">
      <c r="A635" s="1"/>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x14ac:dyDescent="0.25">
      <c r="A636" s="1"/>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x14ac:dyDescent="0.25">
      <c r="A637" s="1"/>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x14ac:dyDescent="0.25">
      <c r="A638" s="1"/>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x14ac:dyDescent="0.25">
      <c r="A639" s="1"/>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x14ac:dyDescent="0.25">
      <c r="A640" s="1"/>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x14ac:dyDescent="0.25">
      <c r="A641" s="1"/>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x14ac:dyDescent="0.25">
      <c r="A642" s="1"/>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x14ac:dyDescent="0.25">
      <c r="A643" s="1"/>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x14ac:dyDescent="0.25">
      <c r="A644" s="1"/>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x14ac:dyDescent="0.25">
      <c r="A645" s="1"/>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x14ac:dyDescent="0.25">
      <c r="A646" s="1"/>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x14ac:dyDescent="0.25">
      <c r="A647" s="1"/>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x14ac:dyDescent="0.25">
      <c r="A648" s="1"/>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x14ac:dyDescent="0.25">
      <c r="A649" s="1"/>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x14ac:dyDescent="0.25">
      <c r="A650" s="1"/>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x14ac:dyDescent="0.25">
      <c r="A651" s="1"/>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x14ac:dyDescent="0.25">
      <c r="A652" s="1"/>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x14ac:dyDescent="0.25">
      <c r="A653" s="1"/>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x14ac:dyDescent="0.25">
      <c r="A654" s="1"/>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x14ac:dyDescent="0.25">
      <c r="A655" s="1"/>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x14ac:dyDescent="0.25">
      <c r="A656" s="1"/>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x14ac:dyDescent="0.25">
      <c r="A657" s="1"/>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x14ac:dyDescent="0.25">
      <c r="A658" s="1"/>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x14ac:dyDescent="0.25">
      <c r="A659" s="1"/>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x14ac:dyDescent="0.25">
      <c r="A660" s="1"/>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x14ac:dyDescent="0.25">
      <c r="A661" s="1"/>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x14ac:dyDescent="0.25">
      <c r="A662" s="1"/>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x14ac:dyDescent="0.25">
      <c r="A663" s="1"/>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x14ac:dyDescent="0.25">
      <c r="A664" s="1"/>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x14ac:dyDescent="0.25">
      <c r="A665" s="1"/>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x14ac:dyDescent="0.25">
      <c r="A666" s="1"/>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x14ac:dyDescent="0.25">
      <c r="A667" s="1"/>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x14ac:dyDescent="0.25">
      <c r="A668" s="1"/>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x14ac:dyDescent="0.25">
      <c r="A669" s="1"/>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x14ac:dyDescent="0.25">
      <c r="A670" s="1"/>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x14ac:dyDescent="0.25">
      <c r="A671" s="1"/>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x14ac:dyDescent="0.25">
      <c r="A672" s="1"/>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x14ac:dyDescent="0.25">
      <c r="A673" s="1"/>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x14ac:dyDescent="0.25">
      <c r="A674" s="1"/>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x14ac:dyDescent="0.25">
      <c r="A675" s="1"/>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x14ac:dyDescent="0.25">
      <c r="A676" s="1"/>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x14ac:dyDescent="0.25">
      <c r="A677" s="1"/>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x14ac:dyDescent="0.25">
      <c r="A678" s="1"/>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x14ac:dyDescent="0.25">
      <c r="A679" s="1"/>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x14ac:dyDescent="0.25">
      <c r="A680" s="1"/>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x14ac:dyDescent="0.25">
      <c r="A681" s="1"/>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x14ac:dyDescent="0.25">
      <c r="A682" s="1"/>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x14ac:dyDescent="0.25">
      <c r="A683" s="1"/>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x14ac:dyDescent="0.25">
      <c r="A684" s="1"/>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x14ac:dyDescent="0.25">
      <c r="A685" s="1"/>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x14ac:dyDescent="0.25">
      <c r="A686" s="1"/>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x14ac:dyDescent="0.25">
      <c r="A687" s="1"/>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x14ac:dyDescent="0.25">
      <c r="A688" s="1"/>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x14ac:dyDescent="0.25">
      <c r="A689" s="1"/>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x14ac:dyDescent="0.25">
      <c r="A690" s="1"/>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x14ac:dyDescent="0.25">
      <c r="A691" s="1"/>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x14ac:dyDescent="0.25">
      <c r="A692" s="1"/>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x14ac:dyDescent="0.25">
      <c r="A693" s="1"/>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x14ac:dyDescent="0.25">
      <c r="A694" s="1"/>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x14ac:dyDescent="0.25">
      <c r="A695" s="1"/>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x14ac:dyDescent="0.25">
      <c r="A696" s="1"/>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x14ac:dyDescent="0.25">
      <c r="A697" s="1"/>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x14ac:dyDescent="0.25">
      <c r="A698" s="1"/>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x14ac:dyDescent="0.25">
      <c r="A699" s="1"/>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x14ac:dyDescent="0.25">
      <c r="A700" s="1"/>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x14ac:dyDescent="0.25">
      <c r="A701" s="1"/>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x14ac:dyDescent="0.25">
      <c r="A702" s="1"/>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x14ac:dyDescent="0.25">
      <c r="A703" s="1"/>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x14ac:dyDescent="0.25">
      <c r="A704" s="1"/>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x14ac:dyDescent="0.25">
      <c r="A705" s="1"/>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x14ac:dyDescent="0.25">
      <c r="A706" s="1"/>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x14ac:dyDescent="0.25">
      <c r="A707" s="1"/>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x14ac:dyDescent="0.25">
      <c r="A708" s="1"/>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x14ac:dyDescent="0.25">
      <c r="A709" s="1"/>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x14ac:dyDescent="0.25">
      <c r="A710" s="1"/>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x14ac:dyDescent="0.25">
      <c r="A711" s="1"/>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x14ac:dyDescent="0.25">
      <c r="A712" s="1"/>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x14ac:dyDescent="0.25">
      <c r="A713" s="1"/>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x14ac:dyDescent="0.25">
      <c r="A714" s="1"/>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x14ac:dyDescent="0.25">
      <c r="A715" s="1"/>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x14ac:dyDescent="0.25">
      <c r="A716" s="1"/>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x14ac:dyDescent="0.25">
      <c r="A717" s="1"/>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x14ac:dyDescent="0.25">
      <c r="A718" s="1"/>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x14ac:dyDescent="0.25">
      <c r="A719" s="1"/>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x14ac:dyDescent="0.25">
      <c r="A720" s="1"/>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x14ac:dyDescent="0.25">
      <c r="A721" s="1"/>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x14ac:dyDescent="0.25">
      <c r="A722" s="1"/>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x14ac:dyDescent="0.25">
      <c r="A723" s="1"/>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x14ac:dyDescent="0.25">
      <c r="A724" s="1"/>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x14ac:dyDescent="0.25">
      <c r="A725" s="1"/>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x14ac:dyDescent="0.25">
      <c r="A726" s="1"/>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x14ac:dyDescent="0.25">
      <c r="A727" s="1"/>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x14ac:dyDescent="0.25">
      <c r="A728" s="1"/>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x14ac:dyDescent="0.25">
      <c r="A729" s="1"/>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x14ac:dyDescent="0.25">
      <c r="A730" s="1"/>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x14ac:dyDescent="0.25">
      <c r="A731" s="1"/>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x14ac:dyDescent="0.25">
      <c r="A732" s="1"/>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x14ac:dyDescent="0.25">
      <c r="A733" s="1"/>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x14ac:dyDescent="0.25">
      <c r="A734" s="1"/>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x14ac:dyDescent="0.25">
      <c r="A735" s="1"/>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x14ac:dyDescent="0.25">
      <c r="A736" s="1"/>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x14ac:dyDescent="0.25">
      <c r="A737" s="1"/>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x14ac:dyDescent="0.25">
      <c r="A738" s="1"/>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x14ac:dyDescent="0.25">
      <c r="A739" s="1"/>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x14ac:dyDescent="0.25">
      <c r="A740" s="1"/>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x14ac:dyDescent="0.25">
      <c r="A741" s="1"/>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x14ac:dyDescent="0.25">
      <c r="A742" s="1"/>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x14ac:dyDescent="0.25">
      <c r="A743" s="1"/>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x14ac:dyDescent="0.25">
      <c r="A744" s="1"/>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x14ac:dyDescent="0.25">
      <c r="A745" s="1"/>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x14ac:dyDescent="0.25">
      <c r="A746" s="1"/>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x14ac:dyDescent="0.25">
      <c r="A747" s="1"/>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x14ac:dyDescent="0.25">
      <c r="A748" s="1"/>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x14ac:dyDescent="0.25">
      <c r="A749" s="1"/>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x14ac:dyDescent="0.25">
      <c r="A750" s="1"/>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x14ac:dyDescent="0.25">
      <c r="A751" s="1"/>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x14ac:dyDescent="0.25">
      <c r="A752" s="1"/>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x14ac:dyDescent="0.25">
      <c r="A753" s="1"/>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x14ac:dyDescent="0.25">
      <c r="A754" s="1"/>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x14ac:dyDescent="0.25">
      <c r="A755" s="1"/>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x14ac:dyDescent="0.25">
      <c r="A756" s="1"/>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x14ac:dyDescent="0.25">
      <c r="A757" s="1"/>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x14ac:dyDescent="0.25">
      <c r="A758" s="1"/>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x14ac:dyDescent="0.25">
      <c r="A759" s="1"/>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x14ac:dyDescent="0.25">
      <c r="A760" s="1"/>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x14ac:dyDescent="0.25">
      <c r="A761" s="1"/>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x14ac:dyDescent="0.25">
      <c r="A762" s="1"/>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x14ac:dyDescent="0.25">
      <c r="A763" s="1"/>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x14ac:dyDescent="0.25">
      <c r="A764" s="1"/>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x14ac:dyDescent="0.25">
      <c r="A765" s="1"/>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x14ac:dyDescent="0.25">
      <c r="A766" s="1"/>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x14ac:dyDescent="0.25">
      <c r="A767" s="1"/>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x14ac:dyDescent="0.25">
      <c r="A768" s="1"/>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x14ac:dyDescent="0.25">
      <c r="A769" s="1"/>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x14ac:dyDescent="0.25">
      <c r="A770" s="1"/>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x14ac:dyDescent="0.25">
      <c r="A771" s="1"/>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x14ac:dyDescent="0.25">
      <c r="A772" s="1"/>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x14ac:dyDescent="0.25">
      <c r="A773" s="1"/>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x14ac:dyDescent="0.25">
      <c r="A774" s="1"/>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x14ac:dyDescent="0.25">
      <c r="A775" s="1"/>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x14ac:dyDescent="0.25">
      <c r="A776" s="1"/>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x14ac:dyDescent="0.25">
      <c r="A777" s="1"/>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x14ac:dyDescent="0.25">
      <c r="A778" s="1"/>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x14ac:dyDescent="0.25">
      <c r="A779" s="1"/>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x14ac:dyDescent="0.25">
      <c r="A780" s="1"/>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x14ac:dyDescent="0.25">
      <c r="A781" s="1"/>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x14ac:dyDescent="0.25">
      <c r="A782" s="1"/>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x14ac:dyDescent="0.25">
      <c r="A783" s="1"/>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x14ac:dyDescent="0.25">
      <c r="A784" s="1"/>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x14ac:dyDescent="0.25">
      <c r="A785" s="1"/>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x14ac:dyDescent="0.25">
      <c r="A786" s="1"/>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x14ac:dyDescent="0.25">
      <c r="A787" s="1"/>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x14ac:dyDescent="0.25">
      <c r="A788" s="1"/>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x14ac:dyDescent="0.25">
      <c r="A789" s="1"/>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x14ac:dyDescent="0.25">
      <c r="A790" s="1"/>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x14ac:dyDescent="0.25">
      <c r="A791" s="1"/>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x14ac:dyDescent="0.25">
      <c r="A792" s="1"/>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x14ac:dyDescent="0.25">
      <c r="A793" s="1"/>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x14ac:dyDescent="0.25">
      <c r="A794" s="1"/>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x14ac:dyDescent="0.25">
      <c r="A795" s="1"/>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x14ac:dyDescent="0.25">
      <c r="A796" s="1"/>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x14ac:dyDescent="0.25">
      <c r="A797" s="1"/>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x14ac:dyDescent="0.25">
      <c r="A798" s="1"/>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x14ac:dyDescent="0.25">
      <c r="A799" s="1"/>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x14ac:dyDescent="0.25">
      <c r="A800" s="1"/>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x14ac:dyDescent="0.25">
      <c r="A801" s="1"/>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x14ac:dyDescent="0.25">
      <c r="A802" s="1"/>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x14ac:dyDescent="0.25">
      <c r="A803" s="1"/>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x14ac:dyDescent="0.25">
      <c r="A804" s="1"/>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x14ac:dyDescent="0.25">
      <c r="A805" s="1"/>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x14ac:dyDescent="0.25">
      <c r="A806" s="1"/>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x14ac:dyDescent="0.25">
      <c r="A807" s="1"/>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x14ac:dyDescent="0.25">
      <c r="A808" s="1"/>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x14ac:dyDescent="0.25">
      <c r="A809" s="1"/>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x14ac:dyDescent="0.25">
      <c r="A810" s="1"/>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x14ac:dyDescent="0.25">
      <c r="A811" s="1"/>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x14ac:dyDescent="0.25">
      <c r="A812" s="1"/>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x14ac:dyDescent="0.25">
      <c r="A813" s="1"/>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x14ac:dyDescent="0.25">
      <c r="A814" s="1"/>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x14ac:dyDescent="0.25">
      <c r="A815" s="1"/>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x14ac:dyDescent="0.25">
      <c r="A816" s="1"/>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x14ac:dyDescent="0.25">
      <c r="A817" s="1"/>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x14ac:dyDescent="0.25">
      <c r="A818" s="1"/>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x14ac:dyDescent="0.25">
      <c r="A819" s="1"/>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x14ac:dyDescent="0.25">
      <c r="A820" s="1"/>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x14ac:dyDescent="0.25">
      <c r="A821" s="1"/>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x14ac:dyDescent="0.25">
      <c r="A822" s="1"/>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x14ac:dyDescent="0.25">
      <c r="A823" s="1"/>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x14ac:dyDescent="0.25">
      <c r="A824" s="1"/>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x14ac:dyDescent="0.25">
      <c r="A825" s="1"/>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x14ac:dyDescent="0.25">
      <c r="A826" s="1"/>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x14ac:dyDescent="0.25">
      <c r="A827" s="1"/>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x14ac:dyDescent="0.25">
      <c r="A828" s="1"/>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x14ac:dyDescent="0.25">
      <c r="A829" s="1"/>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x14ac:dyDescent="0.25">
      <c r="A830" s="1"/>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x14ac:dyDescent="0.25">
      <c r="A831" s="1"/>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x14ac:dyDescent="0.25">
      <c r="A832" s="1"/>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x14ac:dyDescent="0.25">
      <c r="A833" s="1"/>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x14ac:dyDescent="0.25">
      <c r="A834" s="1"/>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x14ac:dyDescent="0.25">
      <c r="A835" s="1"/>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x14ac:dyDescent="0.25">
      <c r="A836" s="1"/>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x14ac:dyDescent="0.25">
      <c r="A837" s="1"/>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x14ac:dyDescent="0.25">
      <c r="A838" s="1"/>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x14ac:dyDescent="0.25">
      <c r="A839" s="1"/>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x14ac:dyDescent="0.25">
      <c r="A840" s="1"/>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x14ac:dyDescent="0.25">
      <c r="A841" s="1"/>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x14ac:dyDescent="0.25">
      <c r="A842" s="1"/>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x14ac:dyDescent="0.25">
      <c r="A843" s="1"/>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x14ac:dyDescent="0.25">
      <c r="A844" s="1"/>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x14ac:dyDescent="0.25">
      <c r="A845" s="1"/>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x14ac:dyDescent="0.25">
      <c r="A846" s="1"/>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x14ac:dyDescent="0.25">
      <c r="A847" s="1"/>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x14ac:dyDescent="0.25">
      <c r="A848" s="1"/>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x14ac:dyDescent="0.25">
      <c r="A849" s="1"/>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x14ac:dyDescent="0.25">
      <c r="A850" s="1"/>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x14ac:dyDescent="0.25">
      <c r="A851" s="1"/>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x14ac:dyDescent="0.25">
      <c r="A852" s="1"/>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x14ac:dyDescent="0.25">
      <c r="A853" s="1"/>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x14ac:dyDescent="0.25">
      <c r="A854" s="1"/>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x14ac:dyDescent="0.25">
      <c r="A855" s="1"/>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x14ac:dyDescent="0.25">
      <c r="A856" s="1"/>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x14ac:dyDescent="0.25">
      <c r="A857" s="1"/>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x14ac:dyDescent="0.25">
      <c r="A858" s="1"/>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x14ac:dyDescent="0.25">
      <c r="A859" s="1"/>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x14ac:dyDescent="0.25">
      <c r="A860" s="1"/>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x14ac:dyDescent="0.25">
      <c r="A861" s="1"/>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x14ac:dyDescent="0.25">
      <c r="A862" s="1"/>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x14ac:dyDescent="0.25">
      <c r="A863" s="1"/>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x14ac:dyDescent="0.25">
      <c r="A864" s="1"/>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x14ac:dyDescent="0.25">
      <c r="A865" s="1"/>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x14ac:dyDescent="0.25">
      <c r="A866" s="1"/>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x14ac:dyDescent="0.25">
      <c r="A867" s="1"/>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x14ac:dyDescent="0.25">
      <c r="A868" s="1"/>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x14ac:dyDescent="0.25">
      <c r="A869" s="1"/>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x14ac:dyDescent="0.25">
      <c r="A870" s="1"/>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x14ac:dyDescent="0.25">
      <c r="A871" s="1"/>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x14ac:dyDescent="0.25">
      <c r="A872" s="1"/>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x14ac:dyDescent="0.25">
      <c r="A873" s="1"/>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x14ac:dyDescent="0.25">
      <c r="A874" s="1"/>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x14ac:dyDescent="0.25">
      <c r="A875" s="1"/>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x14ac:dyDescent="0.25">
      <c r="A876" s="1"/>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x14ac:dyDescent="0.25">
      <c r="A877" s="1"/>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x14ac:dyDescent="0.25">
      <c r="A878" s="1"/>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x14ac:dyDescent="0.25">
      <c r="A879" s="1"/>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x14ac:dyDescent="0.25">
      <c r="A880" s="1"/>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x14ac:dyDescent="0.25">
      <c r="A881" s="1"/>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x14ac:dyDescent="0.25">
      <c r="A882" s="1"/>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x14ac:dyDescent="0.25">
      <c r="A883" s="1"/>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x14ac:dyDescent="0.25">
      <c r="A884" s="1"/>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x14ac:dyDescent="0.25">
      <c r="A885" s="1"/>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x14ac:dyDescent="0.25">
      <c r="A886" s="1"/>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x14ac:dyDescent="0.25">
      <c r="A887" s="1"/>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x14ac:dyDescent="0.25">
      <c r="A888" s="1"/>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x14ac:dyDescent="0.25">
      <c r="A889" s="1"/>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x14ac:dyDescent="0.25">
      <c r="A890" s="1"/>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x14ac:dyDescent="0.25">
      <c r="A891" s="1"/>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x14ac:dyDescent="0.25">
      <c r="A892" s="1"/>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x14ac:dyDescent="0.25">
      <c r="A893" s="1"/>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x14ac:dyDescent="0.25">
      <c r="A894" s="1"/>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x14ac:dyDescent="0.25">
      <c r="A895" s="1"/>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x14ac:dyDescent="0.25">
      <c r="A896" s="1"/>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x14ac:dyDescent="0.25">
      <c r="A897" s="1"/>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x14ac:dyDescent="0.25">
      <c r="A898" s="1"/>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x14ac:dyDescent="0.25">
      <c r="A899" s="1"/>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x14ac:dyDescent="0.25">
      <c r="A900" s="1"/>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x14ac:dyDescent="0.25">
      <c r="A901" s="1"/>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x14ac:dyDescent="0.25">
      <c r="A902" s="1"/>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x14ac:dyDescent="0.25">
      <c r="A903" s="1"/>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x14ac:dyDescent="0.25">
      <c r="A904" s="1"/>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x14ac:dyDescent="0.25">
      <c r="A905" s="1"/>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x14ac:dyDescent="0.25">
      <c r="A906" s="1"/>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x14ac:dyDescent="0.25">
      <c r="A907" s="1"/>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x14ac:dyDescent="0.25">
      <c r="A908" s="1"/>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x14ac:dyDescent="0.25">
      <c r="A909" s="1"/>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x14ac:dyDescent="0.25">
      <c r="A910" s="1"/>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x14ac:dyDescent="0.25">
      <c r="A911" s="1"/>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x14ac:dyDescent="0.25">
      <c r="A912" s="1"/>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x14ac:dyDescent="0.25">
      <c r="A913" s="1"/>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x14ac:dyDescent="0.25">
      <c r="A914" s="1"/>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x14ac:dyDescent="0.25">
      <c r="A915" s="1"/>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x14ac:dyDescent="0.25">
      <c r="A916" s="1"/>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x14ac:dyDescent="0.25">
      <c r="A917" s="1"/>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x14ac:dyDescent="0.25">
      <c r="A918" s="1"/>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x14ac:dyDescent="0.25">
      <c r="A919" s="1"/>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x14ac:dyDescent="0.25">
      <c r="A920" s="1"/>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x14ac:dyDescent="0.25">
      <c r="A921" s="1"/>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x14ac:dyDescent="0.25">
      <c r="A922" s="1"/>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x14ac:dyDescent="0.25">
      <c r="A923" s="1"/>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x14ac:dyDescent="0.25">
      <c r="A924" s="1"/>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x14ac:dyDescent="0.25">
      <c r="A925" s="1"/>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x14ac:dyDescent="0.25">
      <c r="A926" s="1"/>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x14ac:dyDescent="0.25">
      <c r="A927" s="1"/>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x14ac:dyDescent="0.25">
      <c r="A928" s="1"/>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x14ac:dyDescent="0.25">
      <c r="A929" s="1"/>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x14ac:dyDescent="0.25">
      <c r="A930" s="1"/>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x14ac:dyDescent="0.25">
      <c r="A931" s="1"/>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x14ac:dyDescent="0.25">
      <c r="A932" s="1"/>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x14ac:dyDescent="0.25">
      <c r="A933" s="1"/>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x14ac:dyDescent="0.25">
      <c r="A934" s="1"/>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x14ac:dyDescent="0.25">
      <c r="A935" s="1"/>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x14ac:dyDescent="0.25">
      <c r="A936" s="1"/>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x14ac:dyDescent="0.25">
      <c r="A937" s="1"/>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x14ac:dyDescent="0.25">
      <c r="A938" s="1"/>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x14ac:dyDescent="0.25">
      <c r="A939" s="1"/>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x14ac:dyDescent="0.25">
      <c r="A940" s="1"/>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x14ac:dyDescent="0.25">
      <c r="A941" s="1"/>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x14ac:dyDescent="0.25">
      <c r="A942" s="1"/>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x14ac:dyDescent="0.25">
      <c r="A943" s="1"/>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x14ac:dyDescent="0.25">
      <c r="A944" s="1"/>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x14ac:dyDescent="0.25">
      <c r="A945" s="1"/>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x14ac:dyDescent="0.25">
      <c r="A946" s="1"/>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x14ac:dyDescent="0.25">
      <c r="A947" s="1"/>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x14ac:dyDescent="0.25">
      <c r="A948" s="1"/>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x14ac:dyDescent="0.25">
      <c r="A949" s="1"/>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x14ac:dyDescent="0.25">
      <c r="A950" s="1"/>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x14ac:dyDescent="0.25">
      <c r="A951" s="1"/>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x14ac:dyDescent="0.25">
      <c r="A952" s="1"/>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x14ac:dyDescent="0.25">
      <c r="A953" s="1"/>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x14ac:dyDescent="0.25">
      <c r="A954" s="1"/>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x14ac:dyDescent="0.25">
      <c r="A955" s="1"/>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x14ac:dyDescent="0.25">
      <c r="A956" s="1"/>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x14ac:dyDescent="0.25">
      <c r="A957" s="1"/>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x14ac:dyDescent="0.25">
      <c r="A958" s="1"/>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x14ac:dyDescent="0.25">
      <c r="A959" s="1"/>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x14ac:dyDescent="0.25">
      <c r="A960" s="1"/>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x14ac:dyDescent="0.25">
      <c r="A961" s="1"/>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x14ac:dyDescent="0.25">
      <c r="A962" s="1"/>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x14ac:dyDescent="0.25">
      <c r="A963" s="1"/>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x14ac:dyDescent="0.25">
      <c r="A964" s="1"/>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x14ac:dyDescent="0.25">
      <c r="A965" s="1"/>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x14ac:dyDescent="0.25">
      <c r="A966" s="1"/>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x14ac:dyDescent="0.25">
      <c r="A967" s="1"/>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x14ac:dyDescent="0.25">
      <c r="A968" s="1"/>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x14ac:dyDescent="0.25">
      <c r="A969" s="1"/>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x14ac:dyDescent="0.25">
      <c r="A970" s="1"/>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x14ac:dyDescent="0.25">
      <c r="A971" s="1"/>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x14ac:dyDescent="0.25">
      <c r="A972" s="1"/>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x14ac:dyDescent="0.25">
      <c r="A973" s="1"/>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x14ac:dyDescent="0.25">
      <c r="A974" s="1"/>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x14ac:dyDescent="0.25">
      <c r="A975" s="1"/>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x14ac:dyDescent="0.25">
      <c r="A976" s="1"/>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x14ac:dyDescent="0.25">
      <c r="A977" s="1"/>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x14ac:dyDescent="0.25">
      <c r="A978" s="1"/>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x14ac:dyDescent="0.25">
      <c r="A979" s="1"/>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x14ac:dyDescent="0.25">
      <c r="A980" s="1"/>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x14ac:dyDescent="0.25">
      <c r="A981" s="1"/>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x14ac:dyDescent="0.25">
      <c r="A982" s="1"/>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x14ac:dyDescent="0.25">
      <c r="A983" s="1"/>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x14ac:dyDescent="0.25">
      <c r="A984" s="1"/>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x14ac:dyDescent="0.25">
      <c r="A985" s="1"/>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x14ac:dyDescent="0.25">
      <c r="A986" s="1"/>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x14ac:dyDescent="0.25">
      <c r="A987" s="1"/>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x14ac:dyDescent="0.25">
      <c r="A988" s="1"/>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x14ac:dyDescent="0.25">
      <c r="A989" s="1"/>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x14ac:dyDescent="0.25">
      <c r="A990" s="1"/>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x14ac:dyDescent="0.25">
      <c r="A991" s="1"/>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x14ac:dyDescent="0.25">
      <c r="A992" s="1"/>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x14ac:dyDescent="0.25">
      <c r="A993" s="1"/>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x14ac:dyDescent="0.25">
      <c r="A994" s="1"/>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x14ac:dyDescent="0.25">
      <c r="A995" s="1"/>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x14ac:dyDescent="0.25">
      <c r="A996" s="1"/>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x14ac:dyDescent="0.25">
      <c r="A997" s="1"/>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x14ac:dyDescent="0.25">
      <c r="A998" s="1"/>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x14ac:dyDescent="0.25">
      <c r="A999" s="1"/>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x14ac:dyDescent="0.25">
      <c r="A1000" s="1"/>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hyperlinks>
    <hyperlink ref="A59" r:id="rId2" xr:uid="{00000000-0004-0000-0900-000000000000}"/>
    <hyperlink ref="A60" r:id="rId3" xr:uid="{00000000-0004-0000-0900-000001000000}"/>
  </hyperlinks>
  <pageMargins left="0.7" right="0.7" top="0.75" bottom="0.75" header="0" footer="0"/>
  <pageSetup orientation="portrait"/>
  <drawing r:id="rId4"/>
  <tableParts count="2">
    <tablePart r:id="rId5"/>
    <tablePart r:id="rId6"/>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1000"/>
  <sheetViews>
    <sheetView workbookViewId="0"/>
  </sheetViews>
  <sheetFormatPr defaultColWidth="14.42578125" defaultRowHeight="15" customHeight="1" x14ac:dyDescent="0.25"/>
  <cols>
    <col min="1" max="1" width="28.42578125" customWidth="1"/>
    <col min="2" max="3" width="8.7109375" customWidth="1"/>
    <col min="4" max="4" width="58.42578125" customWidth="1"/>
    <col min="5" max="6" width="8.7109375" customWidth="1"/>
    <col min="7" max="7" width="41" customWidth="1"/>
    <col min="8" max="8" width="16.5703125" customWidth="1"/>
    <col min="9" max="9" width="8.7109375" customWidth="1"/>
    <col min="10" max="10" width="35.5703125" customWidth="1"/>
    <col min="11" max="11" width="29.42578125" customWidth="1"/>
    <col min="12" max="12" width="8.7109375" customWidth="1"/>
    <col min="13" max="13" width="40.28515625" customWidth="1"/>
    <col min="14" max="26" width="8.7109375" customWidth="1"/>
  </cols>
  <sheetData>
    <row r="1" spans="1:14" ht="19.5" x14ac:dyDescent="0.3">
      <c r="A1" s="57" t="s">
        <v>368</v>
      </c>
      <c r="B1" s="58"/>
      <c r="C1" s="3"/>
      <c r="D1" s="59" t="s">
        <v>369</v>
      </c>
      <c r="E1" s="58"/>
      <c r="F1" s="3"/>
      <c r="G1" s="60" t="s">
        <v>370</v>
      </c>
      <c r="H1" s="58"/>
      <c r="I1" s="3"/>
      <c r="J1" s="61" t="s">
        <v>371</v>
      </c>
      <c r="K1" s="58"/>
      <c r="L1" s="3"/>
      <c r="M1" s="62" t="s">
        <v>372</v>
      </c>
      <c r="N1" s="58"/>
    </row>
    <row r="2" spans="1:14" x14ac:dyDescent="0.25">
      <c r="A2" s="33" t="s">
        <v>373</v>
      </c>
      <c r="B2" s="33" t="s">
        <v>374</v>
      </c>
      <c r="C2" s="3"/>
      <c r="D2" s="33" t="s">
        <v>375</v>
      </c>
      <c r="E2" s="33" t="s">
        <v>376</v>
      </c>
      <c r="F2" s="3"/>
      <c r="G2" s="33" t="s">
        <v>377</v>
      </c>
      <c r="H2" s="33" t="s">
        <v>378</v>
      </c>
      <c r="I2" s="3"/>
      <c r="J2" s="33" t="s">
        <v>379</v>
      </c>
      <c r="K2" s="34" t="s">
        <v>380</v>
      </c>
      <c r="L2" s="3"/>
      <c r="M2" s="33" t="s">
        <v>381</v>
      </c>
      <c r="N2" s="33" t="s">
        <v>382</v>
      </c>
    </row>
    <row r="3" spans="1:14" x14ac:dyDescent="0.25">
      <c r="A3" s="33" t="s">
        <v>383</v>
      </c>
      <c r="B3" s="33" t="s">
        <v>384</v>
      </c>
      <c r="C3" s="3"/>
      <c r="D3" s="33" t="s">
        <v>385</v>
      </c>
      <c r="E3" s="33" t="s">
        <v>386</v>
      </c>
      <c r="F3" s="3"/>
      <c r="G3" s="33" t="s">
        <v>387</v>
      </c>
      <c r="H3" s="33" t="s">
        <v>388</v>
      </c>
      <c r="I3" s="3"/>
      <c r="J3" s="33" t="s">
        <v>389</v>
      </c>
      <c r="K3" s="34" t="s">
        <v>390</v>
      </c>
      <c r="L3" s="3"/>
      <c r="M3" s="33" t="s">
        <v>391</v>
      </c>
      <c r="N3" s="33" t="s">
        <v>392</v>
      </c>
    </row>
    <row r="4" spans="1:14" x14ac:dyDescent="0.25">
      <c r="A4" s="33" t="s">
        <v>393</v>
      </c>
      <c r="B4" s="33" t="s">
        <v>394</v>
      </c>
      <c r="C4" s="3"/>
      <c r="D4" s="33" t="s">
        <v>395</v>
      </c>
      <c r="E4" s="33" t="s">
        <v>396</v>
      </c>
      <c r="F4" s="3"/>
      <c r="G4" s="33" t="s">
        <v>397</v>
      </c>
      <c r="H4" s="33" t="s">
        <v>398</v>
      </c>
      <c r="I4" s="3"/>
      <c r="J4" s="33" t="s">
        <v>399</v>
      </c>
      <c r="K4" s="34" t="s">
        <v>400</v>
      </c>
      <c r="L4" s="3"/>
      <c r="M4" s="33" t="s">
        <v>401</v>
      </c>
      <c r="N4" s="33" t="s">
        <v>402</v>
      </c>
    </row>
    <row r="5" spans="1:14" x14ac:dyDescent="0.25">
      <c r="A5" s="33" t="s">
        <v>403</v>
      </c>
      <c r="B5" s="33" t="s">
        <v>404</v>
      </c>
      <c r="C5" s="3"/>
      <c r="D5" s="33" t="s">
        <v>405</v>
      </c>
      <c r="E5" s="33" t="s">
        <v>406</v>
      </c>
      <c r="F5" s="3"/>
      <c r="G5" s="33" t="s">
        <v>407</v>
      </c>
      <c r="H5" s="33" t="s">
        <v>408</v>
      </c>
      <c r="I5" s="3"/>
      <c r="J5" s="33" t="s">
        <v>409</v>
      </c>
      <c r="K5" s="34" t="s">
        <v>410</v>
      </c>
      <c r="L5" s="3"/>
      <c r="M5" s="33" t="s">
        <v>411</v>
      </c>
      <c r="N5" s="33" t="s">
        <v>412</v>
      </c>
    </row>
    <row r="6" spans="1:14" x14ac:dyDescent="0.25">
      <c r="A6" s="33" t="s">
        <v>413</v>
      </c>
      <c r="B6" s="33" t="s">
        <v>414</v>
      </c>
      <c r="C6" s="3"/>
      <c r="D6" s="33" t="s">
        <v>415</v>
      </c>
      <c r="E6" s="33" t="s">
        <v>416</v>
      </c>
      <c r="F6" s="3"/>
      <c r="G6" s="33" t="s">
        <v>417</v>
      </c>
      <c r="H6" s="33" t="s">
        <v>418</v>
      </c>
      <c r="I6" s="3"/>
      <c r="J6" s="33" t="s">
        <v>419</v>
      </c>
      <c r="K6" s="34" t="s">
        <v>420</v>
      </c>
      <c r="L6" s="3"/>
      <c r="M6" s="33" t="s">
        <v>421</v>
      </c>
      <c r="N6" s="33" t="s">
        <v>422</v>
      </c>
    </row>
    <row r="7" spans="1:14" x14ac:dyDescent="0.25">
      <c r="A7" s="33" t="s">
        <v>423</v>
      </c>
      <c r="B7" s="33" t="s">
        <v>424</v>
      </c>
      <c r="C7" s="3"/>
      <c r="D7" s="33" t="s">
        <v>425</v>
      </c>
      <c r="E7" s="33" t="s">
        <v>426</v>
      </c>
      <c r="F7" s="3"/>
      <c r="G7" s="33" t="s">
        <v>427</v>
      </c>
      <c r="H7" s="33" t="s">
        <v>428</v>
      </c>
      <c r="I7" s="3"/>
      <c r="J7" s="33" t="s">
        <v>429</v>
      </c>
      <c r="K7" s="34" t="s">
        <v>430</v>
      </c>
      <c r="L7" s="3"/>
      <c r="M7" s="3"/>
      <c r="N7" s="3"/>
    </row>
    <row r="8" spans="1:14" x14ac:dyDescent="0.25">
      <c r="A8" s="33" t="s">
        <v>431</v>
      </c>
      <c r="B8" s="33" t="s">
        <v>432</v>
      </c>
      <c r="C8" s="3"/>
      <c r="D8" s="33" t="s">
        <v>433</v>
      </c>
      <c r="E8" s="33" t="s">
        <v>434</v>
      </c>
      <c r="F8" s="3"/>
      <c r="G8" s="33" t="s">
        <v>435</v>
      </c>
      <c r="H8" s="33" t="s">
        <v>436</v>
      </c>
      <c r="I8" s="3"/>
      <c r="J8" s="33" t="s">
        <v>437</v>
      </c>
      <c r="K8" s="34" t="s">
        <v>438</v>
      </c>
      <c r="L8" s="3"/>
      <c r="M8" s="3"/>
      <c r="N8" s="3"/>
    </row>
    <row r="9" spans="1:14" x14ac:dyDescent="0.25">
      <c r="A9" s="33" t="s">
        <v>439</v>
      </c>
      <c r="B9" s="33" t="s">
        <v>440</v>
      </c>
      <c r="C9" s="3"/>
      <c r="D9" s="33" t="s">
        <v>441</v>
      </c>
      <c r="E9" s="33" t="s">
        <v>442</v>
      </c>
      <c r="F9" s="3"/>
      <c r="G9" s="33" t="s">
        <v>443</v>
      </c>
      <c r="H9" s="33" t="s">
        <v>444</v>
      </c>
      <c r="I9" s="3"/>
      <c r="J9" s="33" t="s">
        <v>445</v>
      </c>
      <c r="K9" s="34" t="s">
        <v>446</v>
      </c>
      <c r="L9" s="3"/>
      <c r="M9" s="3"/>
      <c r="N9" s="3"/>
    </row>
    <row r="10" spans="1:14" x14ac:dyDescent="0.25">
      <c r="A10" s="33" t="s">
        <v>447</v>
      </c>
      <c r="B10" s="33" t="s">
        <v>448</v>
      </c>
      <c r="C10" s="3"/>
      <c r="D10" s="33" t="s">
        <v>449</v>
      </c>
      <c r="E10" s="33" t="s">
        <v>450</v>
      </c>
      <c r="F10" s="3"/>
      <c r="G10" s="33" t="s">
        <v>451</v>
      </c>
      <c r="H10" s="33" t="s">
        <v>452</v>
      </c>
      <c r="I10" s="3"/>
      <c r="J10" s="33" t="s">
        <v>453</v>
      </c>
      <c r="K10" s="34" t="s">
        <v>454</v>
      </c>
      <c r="L10" s="3"/>
      <c r="M10" s="3"/>
      <c r="N10" s="3"/>
    </row>
    <row r="11" spans="1:14" x14ac:dyDescent="0.25">
      <c r="A11" s="33" t="s">
        <v>455</v>
      </c>
      <c r="B11" s="33" t="s">
        <v>456</v>
      </c>
      <c r="C11" s="3"/>
      <c r="D11" s="33" t="s">
        <v>457</v>
      </c>
      <c r="E11" s="33" t="s">
        <v>458</v>
      </c>
      <c r="F11" s="3"/>
      <c r="G11" s="3"/>
      <c r="H11" s="3"/>
      <c r="I11" s="3"/>
      <c r="J11" s="33" t="s">
        <v>459</v>
      </c>
      <c r="K11" s="34" t="s">
        <v>460</v>
      </c>
      <c r="L11" s="3"/>
      <c r="M11" s="3"/>
      <c r="N11" s="3"/>
    </row>
    <row r="12" spans="1:14" x14ac:dyDescent="0.25">
      <c r="A12" s="33"/>
      <c r="B12" s="33"/>
      <c r="C12" s="3"/>
      <c r="D12" s="33" t="s">
        <v>461</v>
      </c>
      <c r="E12" s="33" t="s">
        <v>462</v>
      </c>
      <c r="F12" s="3"/>
      <c r="G12" s="3"/>
      <c r="H12" s="3"/>
      <c r="I12" s="3"/>
      <c r="J12" s="33" t="s">
        <v>463</v>
      </c>
      <c r="K12" s="34" t="s">
        <v>382</v>
      </c>
      <c r="L12" s="3"/>
      <c r="M12" s="3"/>
      <c r="N12" s="3"/>
    </row>
    <row r="13" spans="1:14" x14ac:dyDescent="0.25">
      <c r="A13" s="3"/>
      <c r="B13" s="3"/>
      <c r="C13" s="3"/>
      <c r="D13" s="33" t="s">
        <v>464</v>
      </c>
      <c r="E13" s="33" t="s">
        <v>465</v>
      </c>
      <c r="F13" s="3"/>
      <c r="G13" s="3"/>
      <c r="H13" s="3"/>
      <c r="I13" s="3"/>
      <c r="J13" s="33" t="s">
        <v>466</v>
      </c>
      <c r="K13" s="34" t="s">
        <v>392</v>
      </c>
      <c r="L13" s="3"/>
      <c r="M13" s="3"/>
      <c r="N13" s="3"/>
    </row>
    <row r="14" spans="1:14" x14ac:dyDescent="0.25">
      <c r="A14" s="3"/>
      <c r="B14" s="3"/>
      <c r="C14" s="3"/>
      <c r="D14" s="33" t="s">
        <v>467</v>
      </c>
      <c r="E14" s="33" t="s">
        <v>468</v>
      </c>
      <c r="F14" s="3"/>
      <c r="G14" s="3"/>
      <c r="H14" s="3"/>
      <c r="I14" s="3"/>
      <c r="J14" s="3"/>
      <c r="K14" s="3"/>
      <c r="L14" s="3"/>
      <c r="M14" s="3"/>
      <c r="N14" s="3"/>
    </row>
    <row r="15" spans="1:14" x14ac:dyDescent="0.25">
      <c r="A15" s="3"/>
      <c r="B15" s="3"/>
      <c r="C15" s="3"/>
      <c r="D15" s="33" t="s">
        <v>469</v>
      </c>
      <c r="E15" s="33" t="s">
        <v>470</v>
      </c>
      <c r="F15" s="3"/>
      <c r="G15" s="3"/>
      <c r="H15" s="3"/>
      <c r="I15" s="3"/>
      <c r="J15" s="3"/>
      <c r="K15" s="3"/>
      <c r="L15" s="3"/>
      <c r="M15" s="3"/>
      <c r="N15" s="3"/>
    </row>
    <row r="16" spans="1:14" x14ac:dyDescent="0.25">
      <c r="A16" s="3"/>
      <c r="B16" s="3"/>
      <c r="C16" s="3"/>
      <c r="D16" s="33" t="s">
        <v>471</v>
      </c>
      <c r="E16" s="33" t="s">
        <v>472</v>
      </c>
      <c r="F16" s="3"/>
      <c r="G16" s="3"/>
      <c r="H16" s="3"/>
      <c r="I16" s="3"/>
      <c r="J16" s="3"/>
      <c r="K16" s="3"/>
      <c r="L16" s="3"/>
      <c r="M16" s="3"/>
      <c r="N16" s="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5">
    <mergeCell ref="A1:B1"/>
    <mergeCell ref="D1:E1"/>
    <mergeCell ref="G1:H1"/>
    <mergeCell ref="J1:K1"/>
    <mergeCell ref="M1:N1"/>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11</vt:i4>
      </vt:variant>
    </vt:vector>
  </HeadingPairs>
  <TitlesOfParts>
    <vt:vector size="23" baseType="lpstr">
      <vt:lpstr>1. Add</vt:lpstr>
      <vt:lpstr>2. Fill</vt:lpstr>
      <vt:lpstr>3. Split</vt:lpstr>
      <vt:lpstr>4. Transpose</vt:lpstr>
      <vt:lpstr>5. Sort &amp; filter</vt:lpstr>
      <vt:lpstr>6. Tables</vt:lpstr>
      <vt:lpstr>7. Drop-downs</vt:lpstr>
      <vt:lpstr>Sheet1</vt:lpstr>
      <vt:lpstr>8. Analyze</vt:lpstr>
      <vt:lpstr>9. Charts</vt:lpstr>
      <vt:lpstr>10. PivotTables</vt:lpstr>
      <vt:lpstr>Excel Shortcut Keys</vt:lpstr>
      <vt:lpstr>ExtraCredit</vt:lpstr>
      <vt:lpstr>Fruit</vt:lpstr>
      <vt:lpstr>Items</vt:lpstr>
      <vt:lpstr>Meat</vt:lpstr>
      <vt:lpstr>MoreFruit</vt:lpstr>
      <vt:lpstr>MoreItem</vt:lpstr>
      <vt:lpstr>MoreItems</vt:lpstr>
      <vt:lpstr>SUMExtraCredit</vt:lpstr>
      <vt:lpstr>SUMIF</vt:lpstr>
      <vt:lpstr>SUMIFExtraCredit</vt:lpstr>
      <vt:lpstr>Total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Arun Sharma</cp:lastModifiedBy>
  <dcterms:created xsi:type="dcterms:W3CDTF">2019-12-05T19:12:26Z</dcterms:created>
  <dcterms:modified xsi:type="dcterms:W3CDTF">2023-08-08T18:50:44Z</dcterms:modified>
</cp:coreProperties>
</file>